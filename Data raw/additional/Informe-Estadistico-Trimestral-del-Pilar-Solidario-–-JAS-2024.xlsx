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W:\Repositorio\UAPP\4. Estadísticas y Visualizaciones\Informes PGU y Pilar Solidario\2024\9. Septiembre 2024\versiones\"/>
    </mc:Choice>
  </mc:AlternateContent>
  <xr:revisionPtr revIDLastSave="0" documentId="13_ncr:1_{7FD80CCC-6E89-438B-A97F-5DAA4678AA30}" xr6:coauthVersionLast="47" xr6:coauthVersionMax="47" xr10:uidLastSave="{00000000-0000-0000-0000-000000000000}"/>
  <bookViews>
    <workbookView xWindow="-28920" yWindow="-8085" windowWidth="29040" windowHeight="15840" xr2:uid="{808C5E25-15EF-4816-8B38-FC89F7F69CB8}"/>
    <workbookView xWindow="-28920" yWindow="-8085" windowWidth="29040" windowHeight="15840" xr2:uid="{7DA18055-C9A6-4A35-AA63-A63F1DA3B50D}"/>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37" r:id="rId7"/>
    <sheet name="1.3" sheetId="2" r:id="rId8"/>
    <sheet name="1.4" sheetId="3" r:id="rId9"/>
    <sheet name="DINAMICA APS" sheetId="23" state="hidden" r:id="rId10"/>
    <sheet name="1.5" sheetId="4" r:id="rId11"/>
    <sheet name="Hoja2" sheetId="16" state="hidden" r:id="rId12"/>
    <sheet name="II. Estado de Solicitudes" sheetId="30" r:id="rId13"/>
    <sheet name="2.1" sheetId="7" r:id="rId14"/>
    <sheet name="Solicitudes_compl" sheetId="8" state="hidden" r:id="rId15"/>
    <sheet name="2.2" sheetId="27" r:id="rId16"/>
    <sheet name="2.3" sheetId="9" r:id="rId17"/>
    <sheet name="2.4" sheetId="28" r:id="rId18"/>
    <sheet name="2.5" sheetId="10" r:id="rId19"/>
    <sheet name="2.6" sheetId="12" r:id="rId20"/>
    <sheet name="III. Bono por hijo" sheetId="31" r:id="rId21"/>
    <sheet name="3.1" sheetId="34" r:id="rId22"/>
    <sheet name="IV. Subsidio STJ" sheetId="35" r:id="rId23"/>
    <sheet name="4.1" sheetId="33" r:id="rId24"/>
    <sheet name="4.2" sheetId="32" r:id="rId25"/>
    <sheet name="4.3" sheetId="36" r:id="rId26"/>
    <sheet name="Regiones" sheetId="14" state="hidden" r:id="rId27"/>
    <sheet name="Comunas" sheetId="15" state="hidden" r:id="rId28"/>
    <sheet name="Hoja2 (2)" sheetId="18" state="hidden" r:id="rId29"/>
    <sheet name="Por sexo" sheetId="11" state="hidden" r:id="rId30"/>
    <sheet name="Focalización y monto del benef" sheetId="13" state="hidden" r:id="rId31"/>
  </sheets>
  <definedNames>
    <definedName name="_xlnm._FilterDatabase" localSheetId="13" hidden="1">'2.1'!$A$9:$AD$27</definedName>
  </definedNames>
  <calcPr calcId="191029"/>
  <pivotCaches>
    <pivotCache cacheId="0" r:id="rId32"/>
    <pivotCache cacheId="1" r:id="rId33"/>
    <pivotCache cacheId="2" r:id="rId34"/>
    <pivotCache cacheId="3"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<sst xmlns="http://schemas.openxmlformats.org/spreadsheetml/2006/main" count="5454" uniqueCount="953">
  <si>
    <t>(julio 2008 a diciembre 2022)</t>
  </si>
  <si>
    <t>N°</t>
  </si>
  <si>
    <t>PBS Vejez</t>
  </si>
  <si>
    <t>PBS Invalidez</t>
  </si>
  <si>
    <t>APS Vejez</t>
  </si>
  <si>
    <t>APS Invalidez</t>
  </si>
  <si>
    <t>TOTAL</t>
  </si>
  <si>
    <t>%</t>
  </si>
  <si>
    <t>(febrero 2022 a diciembre 2022)</t>
  </si>
  <si>
    <t>PERIODO</t>
  </si>
  <si>
    <t>(julio 2008  a diciembre 2022)</t>
  </si>
  <si>
    <t>APSV</t>
  </si>
  <si>
    <t>APSV***</t>
  </si>
  <si>
    <t>PGU</t>
  </si>
  <si>
    <t>Concedidas</t>
  </si>
  <si>
    <t>Rechazadas</t>
  </si>
  <si>
    <t>Anuladas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</si>
  <si>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</si>
  <si>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</si>
  <si>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</si>
  <si>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</si>
  <si>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</si>
  <si>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</si>
  <si>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</si>
  <si>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</si>
  <si>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</si>
  <si>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</si>
  <si>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</si>
  <si>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</si>
  <si>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</si>
  <si>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</si>
  <si>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</si>
  <si>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</si>
  <si>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</si>
  <si>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</si>
  <si>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</si>
  <si>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</si>
  <si>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</si>
  <si>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</si>
  <si>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</si>
  <si>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</si>
  <si>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</si>
  <si>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</si>
  <si>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</si>
  <si>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</si>
  <si>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</si>
  <si>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</si>
  <si>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</si>
  <si>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</si>
  <si>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</si>
  <si>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</si>
  <si>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</si>
  <si>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</si>
  <si>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</si>
  <si>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</si>
  <si>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</si>
  <si>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</si>
  <si>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</si>
  <si>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</si>
  <si>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</si>
  <si>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</si>
  <si>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</si>
  <si>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</si>
  <si>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</si>
  <si>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</si>
  <si>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</si>
  <si>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</si>
  <si>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</si>
  <si>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</si>
  <si>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</si>
  <si>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</si>
  <si>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</si>
  <si>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</si>
  <si>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</si>
  <si>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</si>
  <si>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</si>
  <si>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</si>
  <si>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</si>
  <si>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</si>
  <si>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</si>
  <si>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</si>
  <si>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</si>
  <si>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</si>
  <si>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</si>
  <si>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</si>
  <si>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</si>
  <si>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</si>
  <si>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</si>
  <si>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</si>
  <si>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</si>
  <si>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</si>
  <si>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</si>
  <si>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</si>
  <si>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</si>
  <si>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</si>
  <si>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</si>
  <si>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</si>
  <si>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</si>
  <si>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</si>
  <si>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</si>
  <si>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</si>
  <si>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</si>
  <si>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</si>
  <si>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</si>
  <si>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</si>
  <si>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</si>
  <si>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</si>
  <si>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</si>
  <si>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</si>
  <si>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</si>
  <si>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</si>
  <si>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</si>
  <si>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</si>
  <si>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</si>
  <si>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</si>
  <si>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</si>
  <si>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</si>
  <si>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</si>
  <si>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</si>
  <si>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</si>
  <si>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</si>
  <si>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</si>
  <si>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</si>
  <si>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</si>
  <si>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</si>
  <si>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</si>
  <si>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</si>
  <si>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</si>
  <si>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</si>
  <si>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</si>
  <si>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</si>
  <si>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</si>
  <si>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</si>
  <si>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</si>
  <si>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</si>
  <si>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</si>
  <si>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</si>
  <si>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</si>
  <si>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</si>
  <si>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</si>
  <si>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</si>
  <si>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</si>
  <si>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</si>
  <si>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</si>
  <si>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</si>
  <si>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</si>
  <si>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</si>
  <si>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</si>
  <si>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</si>
  <si>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</si>
  <si>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</si>
  <si>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</si>
  <si>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</si>
  <si>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</si>
  <si>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</si>
  <si>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</si>
  <si>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</si>
  <si>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</si>
  <si>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</si>
  <si>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</si>
  <si>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</si>
  <si>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</si>
  <si>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</si>
  <si>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</si>
  <si>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</si>
  <si>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</si>
  <si>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</si>
  <si>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</si>
  <si>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</si>
  <si>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</si>
  <si>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</si>
  <si>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</si>
  <si>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</si>
  <si>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</si>
  <si>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</si>
  <si>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</si>
  <si>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</si>
  <si>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</si>
  <si>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</si>
  <si>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</si>
  <si>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</si>
  <si>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</si>
  <si>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</si>
  <si>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</si>
  <si>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</si>
  <si>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</si>
  <si>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</si>
  <si>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</si>
  <si>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</si>
  <si>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</si>
  <si>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</si>
  <si>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</si>
  <si>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</si>
  <si>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</si>
  <si>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</si>
  <si>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</si>
  <si>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</si>
  <si>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</si>
  <si>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</si>
  <si>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</si>
  <si>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</si>
  <si>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</si>
  <si>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</si>
  <si>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</si>
  <si>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</si>
  <si>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</si>
  <si>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</si>
  <si>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</si>
  <si>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</si>
  <si>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</si>
  <si>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</si>
  <si>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</si>
  <si>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</si>
  <si>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</si>
  <si>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</si>
  <si>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</si>
  <si>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</si>
  <si>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</si>
  <si>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</si>
  <si>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</si>
  <si>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</si>
  <si>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</si>
  <si>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</si>
  <si>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</si>
  <si>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</si>
  <si>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</si>
  <si>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</si>
  <si>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</si>
  <si>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</si>
  <si>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</si>
  <si>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</si>
  <si>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</si>
  <si>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</si>
  <si>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</si>
  <si>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</si>
  <si>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</si>
  <si>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</si>
  <si>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</si>
  <si>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</si>
  <si>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</si>
  <si>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</si>
  <si>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</si>
  <si>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</si>
  <si>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</si>
  <si>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</si>
  <si>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</si>
  <si>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</si>
  <si>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</si>
  <si>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</si>
  <si>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</si>
  <si>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</si>
  <si>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</si>
  <si>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</si>
  <si>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</si>
  <si>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</si>
  <si>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</si>
  <si>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</si>
  <si>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</si>
  <si>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</si>
  <si>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</si>
  <si>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</si>
  <si>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</si>
  <si>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</si>
  <si>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</si>
  <si>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</si>
  <si>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</si>
  <si>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</si>
  <si>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</si>
  <si>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</si>
  <si>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</si>
  <si>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</si>
  <si>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</si>
  <si>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</si>
  <si>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</si>
  <si>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</si>
  <si>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</si>
  <si>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</si>
  <si>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</si>
  <si>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</si>
  <si>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</si>
  <si>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</si>
  <si>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</si>
  <si>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</si>
  <si>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</si>
  <si>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</si>
  <si>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</si>
  <si>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</si>
  <si>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</si>
  <si>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</si>
  <si>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</si>
  <si>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</si>
  <si>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</si>
  <si>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</si>
  <si>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</si>
  <si>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</si>
  <si>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</si>
  <si>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</si>
  <si>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</si>
  <si>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</si>
  <si>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</si>
  <si>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</si>
  <si>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</si>
  <si>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</si>
  <si>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</si>
  <si>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</si>
  <si>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</si>
  <si>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</si>
  <si>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</si>
  <si>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</si>
  <si>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</si>
  <si>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</si>
  <si>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</si>
  <si>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</si>
  <si>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</si>
  <si>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</si>
  <si>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</si>
  <si>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</si>
  <si>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</si>
  <si>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</si>
  <si>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</si>
  <si>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</si>
  <si>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</si>
  <si>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</si>
  <si>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</si>
  <si>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</si>
  <si>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</si>
  <si>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</si>
  <si>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</si>
  <si>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</si>
  <si>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</si>
  <si>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</si>
  <si>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</si>
  <si>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</si>
  <si>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</si>
  <si>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</si>
  <si>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</si>
  <si>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</si>
  <si>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</si>
  <si>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</si>
  <si>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</si>
  <si>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</si>
  <si>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</si>
  <si>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</si>
  <si>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</si>
  <si>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</si>
  <si>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</si>
  <si>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</si>
  <si>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</si>
  <si>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</si>
  <si>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</si>
  <si>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</si>
  <si>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</si>
  <si>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</si>
  <si>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</si>
  <si>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</si>
  <si>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</si>
  <si>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</si>
  <si>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</si>
  <si>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</si>
  <si>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</si>
  <si>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</si>
  <si>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</si>
  <si>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</si>
  <si>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</si>
  <si>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</si>
  <si>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</si>
  <si>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</si>
  <si>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</si>
  <si>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</si>
  <si>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</si>
  <si>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</si>
  <si>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</si>
  <si>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</si>
  <si>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</si>
  <si>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</si>
  <si>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</si>
  <si>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</si>
  <si>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</si>
  <si>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</si>
  <si>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</si>
  <si>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</si>
  <si>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</si>
  <si>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</si>
  <si>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</si>
  <si>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</si>
  <si>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</si>
  <si>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</si>
  <si>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</si>
  <si>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</si>
  <si>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</si>
  <si>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</si>
  <si>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</si>
  <si>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</si>
  <si>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</si>
  <si>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</si>
  <si>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</si>
  <si>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</si>
  <si>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</si>
  <si>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</si>
  <si>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</si>
  <si>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</si>
  <si>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</si>
  <si>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</si>
  <si>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</si>
  <si>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</si>
  <si>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</si>
  <si>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</si>
  <si>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</si>
  <si>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</si>
  <si>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</si>
  <si>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</si>
  <si>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</si>
  <si>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</si>
  <si>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</si>
  <si>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</si>
  <si>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</si>
  <si>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</si>
  <si>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</si>
  <si>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</si>
  <si>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</si>
  <si>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</si>
  <si>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</si>
  <si>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</si>
  <si>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</si>
  <si>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</si>
  <si>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</si>
  <si>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</si>
  <si>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</si>
  <si>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</si>
  <si>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</si>
  <si>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</si>
  <si>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</si>
  <si>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</si>
  <si>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</si>
  <si>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</si>
  <si>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</si>
  <si>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</si>
  <si>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</si>
  <si>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</si>
  <si>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</si>
  <si>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</si>
  <si>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</si>
  <si>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</si>
  <si>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</si>
  <si>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</si>
  <si>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</si>
  <si>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</si>
  <si>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</si>
  <si>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</si>
  <si>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</si>
  <si>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</si>
  <si>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</si>
  <si>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</si>
  <si>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</si>
  <si>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</si>
  <si>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</si>
  <si>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</si>
  <si>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</si>
  <si>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</si>
  <si>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</si>
  <si>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</si>
  <si>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</si>
  <si>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</si>
  <si>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</si>
  <si>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</si>
  <si>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</si>
  <si>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</si>
  <si>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</si>
  <si>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</si>
  <si>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</si>
  <si>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</si>
  <si>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</si>
  <si>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</si>
  <si>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</si>
  <si>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</si>
  <si>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</si>
  <si>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</si>
  <si>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</si>
  <si>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</si>
  <si>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</si>
  <si>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</si>
  <si>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</si>
  <si>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</si>
  <si>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</si>
  <si>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</si>
  <si>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</si>
  <si>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</si>
  <si>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</si>
  <si>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</si>
  <si>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</si>
  <si>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</si>
  <si>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</si>
  <si>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</si>
  <si>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</si>
  <si>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</si>
  <si>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</si>
  <si>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</si>
  <si>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</si>
  <si>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</si>
  <si>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</si>
  <si>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</si>
  <si>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</si>
  <si>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</si>
  <si>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</si>
  <si>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</si>
  <si>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</si>
  <si>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</si>
  <si>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</si>
  <si>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</si>
  <si>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</si>
  <si>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</si>
  <si>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</si>
  <si>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</si>
  <si>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</si>
  <si>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</si>
  <si>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</si>
  <si>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</si>
  <si>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</si>
  <si>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</si>
  <si>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</si>
  <si>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</si>
  <si>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</si>
  <si>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</si>
  <si>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</si>
  <si>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</si>
  <si>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</si>
  <si>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</si>
  <si>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</si>
  <si>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</si>
  <si>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</si>
  <si>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</si>
  <si>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</si>
  <si>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</si>
  <si>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</si>
  <si>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</si>
  <si>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</si>
  <si>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</si>
  <si>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</si>
  <si>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</si>
  <si>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</si>
  <si>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</si>
  <si>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</si>
  <si>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</si>
  <si>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</si>
  <si>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</si>
  <si>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</si>
  <si>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</si>
  <si>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</si>
  <si>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</si>
  <si>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</si>
  <si>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</si>
  <si>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</si>
  <si>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</si>
  <si>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</si>
  <si>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</si>
  <si>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</si>
  <si>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</si>
  <si>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</si>
  <si>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</si>
  <si>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</si>
  <si>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</si>
  <si>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</si>
  <si>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</si>
  <si>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</si>
  <si>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</si>
  <si>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</si>
  <si>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</si>
  <si>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</si>
  <si>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</si>
  <si>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</si>
  <si>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</si>
  <si>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</si>
  <si>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</si>
  <si>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</si>
  <si>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</si>
  <si>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</si>
  <si>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</si>
  <si>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</si>
  <si>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</si>
  <si>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</si>
  <si>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</si>
  <si>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</si>
  <si>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</si>
  <si>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</si>
  <si>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</si>
  <si>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</si>
  <si>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</si>
  <si>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</si>
  <si>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</si>
  <si>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</si>
  <si>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</si>
  <si>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</si>
  <si>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</si>
  <si>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</si>
  <si>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</si>
  <si>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</si>
  <si>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</si>
  <si>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</si>
  <si>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</si>
  <si>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</si>
  <si>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</si>
  <si>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</si>
  <si>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</si>
  <si>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</si>
  <si>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</si>
  <si>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</si>
  <si>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</si>
  <si>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</si>
  <si>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</si>
  <si>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</si>
  <si>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</si>
  <si>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</si>
  <si>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</si>
  <si>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</si>
  <si>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</si>
  <si>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</si>
  <si>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</si>
  <si>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</si>
  <si>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</si>
  <si>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</si>
  <si>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</si>
  <si>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</si>
  <si>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</si>
  <si>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</si>
  <si>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</si>
  <si>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</si>
  <si>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</si>
  <si>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</si>
  <si>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</si>
  <si>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</si>
  <si>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</si>
  <si>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</si>
  <si>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</si>
  <si>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</si>
  <si>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</si>
  <si>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</si>
  <si>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</si>
  <si>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</si>
  <si>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</si>
  <si>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</si>
  <si>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</si>
  <si>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</si>
  <si>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</si>
  <si>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</si>
  <si>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</si>
  <si>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</si>
  <si>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</si>
  <si>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</si>
  <si>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</si>
  <si>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</si>
  <si>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</si>
  <si>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</si>
  <si>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</si>
  <si>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</si>
  <si>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</si>
  <si>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</si>
  <si>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</si>
  <si>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</si>
  <si>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</si>
  <si>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</si>
  <si>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</si>
  <si>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</si>
  <si>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</si>
  <si>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</si>
  <si>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</si>
  <si>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</si>
  <si>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</si>
  <si>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</si>
  <si>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</si>
  <si>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</si>
  <si>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</si>
  <si>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</si>
  <si>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</si>
  <si>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</si>
  <si>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</si>
  <si>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</si>
  <si>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</si>
  <si>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</si>
  <si>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</si>
  <si>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</si>
  <si>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</si>
  <si>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</si>
  <si>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</si>
  <si>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</si>
  <si>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</si>
  <si>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</si>
  <si>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</si>
  <si>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</si>
  <si>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</si>
  <si>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</si>
  <si>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II. Estado de solicitudes</t>
  </si>
  <si>
    <t>Subsecretaría de Previsión Social
Dirección de Estudios Previsionales</t>
  </si>
  <si>
    <t>PAGOS PENSIÓN BÁSICA SOLIDARIA (PBS)</t>
  </si>
  <si>
    <t xml:space="preserve">PAGOS PENSIÓN GARANTIZADA UNIVERSAL (PGU) </t>
  </si>
  <si>
    <t>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</si>
  <si>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</si>
  <si>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</si>
  <si>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</si>
  <si>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</si>
  <si>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</si>
  <si>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</si>
  <si>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</si>
  <si>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</si>
  <si>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</si>
  <si>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</si>
  <si>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</si>
  <si>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</si>
  <si>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</si>
  <si>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</si>
  <si>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</si>
  <si>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</si>
  <si>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</si>
  <si>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</si>
  <si>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</si>
  <si>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</si>
  <si>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</si>
  <si>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</si>
  <si>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</si>
  <si>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</si>
  <si>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</si>
  <si>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</si>
  <si>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</si>
  <si>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</si>
  <si>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</si>
  <si>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</si>
  <si>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</si>
  <si>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</si>
  <si>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</si>
  <si>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</si>
  <si>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</si>
  <si>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</si>
  <si>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</si>
  <si>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</si>
  <si>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</si>
  <si>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</si>
  <si>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</si>
  <si>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</si>
  <si>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</si>
  <si>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</si>
  <si>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</si>
  <si>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</si>
  <si>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</si>
  <si>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</si>
  <si>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Resumen trimestral de concesiones de beneficios del Pilar No Contributivo</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</si>
  <si>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</si>
  <si>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</si>
  <si>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</si>
  <si>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</si>
  <si>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</si>
  <si>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</si>
  <si>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Causal de Rechazo</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</si>
  <si>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</si>
  <si>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</si>
  <si>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</si>
  <si>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</si>
  <si>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</si>
  <si>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</si>
  <si>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</si>
  <si>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</si>
  <si>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</si>
  <si>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</si>
  <si>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</si>
  <si>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</si>
  <si>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Percibe Pensión de Ley Especial de monto superior a la PBS</t>
  </si>
  <si>
    <t>La suma de las pensiones percibidas supera el valor de la PBS para postular al beneficio artículo 9°bis</t>
  </si>
  <si>
    <t>Serie resumen de solicitudes de beneficios, por tipo de beneficio y sexo</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</si>
  <si>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</si>
  <si>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</si>
  <si>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</si>
  <si>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</si>
  <si>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</si>
  <si>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Serie resumen de tasas de concesión de solicitudes por tipo de beneficio y sexo</t>
  </si>
  <si>
    <t>Fuente: Elaboración propia con datos de la Superintendencia de Pensiones</t>
  </si>
  <si>
    <t>Resumen trimestral de beneficios pagados, por tipo de beneficio y sexo</t>
  </si>
  <si>
    <t>Serie resumen de pagos de beneficios acumulados, por tipo de beneficio</t>
  </si>
  <si>
    <t>ii. Serie resumen de pagos de beneficios acumulados, por tipo de beneficio</t>
  </si>
  <si>
    <t>i. Resumen trimestral de beneficios pagados, por tipo de beneficio y sexo</t>
  </si>
  <si>
    <t>Serie resumen de pagos de beneficios acumulado,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</si>
  <si>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</si>
  <si>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</si>
  <si>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</si>
  <si>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</si>
  <si>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</si>
  <si>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</si>
  <si>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</si>
  <si>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</si>
  <si>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</si>
  <si>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</si>
  <si>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</si>
  <si>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N° Beneficios</t>
  </si>
  <si>
    <t>N° Beneficiarios</t>
  </si>
  <si>
    <t>Total Nacional</t>
  </si>
  <si>
    <t>jul-20</t>
  </si>
  <si>
    <t>S/I</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</si>
  <si>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</si>
  <si>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</si>
  <si>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</si>
  <si>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</si>
  <si>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</si>
  <si>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</si>
  <si>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</si>
  <si>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</si>
  <si>
    <t>Región del Ñuble</t>
  </si>
  <si>
    <t>Fuente: Elaboración propia con datos del Instituto de Previsión Social</t>
  </si>
  <si>
    <t xml:space="preserve">   Región de Arica y Parinacota</t>
  </si>
  <si>
    <t xml:space="preserve">   Región de Tarapacá</t>
  </si>
  <si>
    <t xml:space="preserve">   Región de Antofagasta</t>
  </si>
  <si>
    <t xml:space="preserve">   Región de Atacama</t>
  </si>
  <si>
    <t xml:space="preserve">   Región de Coquimbo</t>
  </si>
  <si>
    <t xml:space="preserve">   Región de Valparaíso</t>
  </si>
  <si>
    <t xml:space="preserve">   Región Metropolitana de Santiago</t>
  </si>
  <si>
    <t xml:space="preserve">   Región del Libertador General Bernardo O’Higgins</t>
  </si>
  <si>
    <t xml:space="preserve">   Región del Maule</t>
  </si>
  <si>
    <t xml:space="preserve">   Región del Ñuble</t>
  </si>
  <si>
    <t xml:space="preserve">   Región de La Araucanía</t>
  </si>
  <si>
    <t xml:space="preserve">   Región de Los Ríos</t>
  </si>
  <si>
    <t xml:space="preserve">   Región de Los Lagos</t>
  </si>
  <si>
    <t xml:space="preserve">   Región Aysén del General Carlos Ibáñez del Campo</t>
  </si>
  <si>
    <t xml:space="preserve">   Región de Magallanes y Antártica Chilena</t>
  </si>
  <si>
    <t>1. Total de beneficios pagados del Pilar No Contributivo a nivel nacional</t>
  </si>
  <si>
    <t>2. Total de beneficios pagados del Pilar No Contributivo a nivel regional</t>
  </si>
  <si>
    <t>i. Resumen trimestral de beneficios pagados, por región, tipo de beneficio y sexo</t>
  </si>
  <si>
    <t>3. Pagos Pensión Garantizada Universal (PGU)</t>
  </si>
  <si>
    <t>4. Pagos Pensión Básica Solidaria (PBS)</t>
  </si>
  <si>
    <t>5. Pagos Aporte Previsional Solidario (APS)</t>
  </si>
  <si>
    <t>SOLICITUDES DEL PILAR NO CONTRIBUTIVO A NIVEL REGIONAL Y COMUNAL</t>
  </si>
  <si>
    <t>Número de solicitudes trimestrales por comuna, según tipo de beneficio y sexo</t>
  </si>
  <si>
    <t>SOLICITUDES CONCEDIDAS PILAR NO CONTRIBUTIVO A NIVEL REGIONAL Y COMUNAL</t>
  </si>
  <si>
    <t>TASAS DE CONCESIÓN DE SOLICITUDES</t>
  </si>
  <si>
    <t>TOTAL DE BENEFICIOS PAGADOS DEL PILAR NO CONTRIBUTIVO A NIVEL REGIONAL</t>
  </si>
  <si>
    <t>Resumen trimestral de beneficios pagados, por región, tipo de beneficio y sexo</t>
  </si>
  <si>
    <t>Región del Libertador Bernardo O'Higgins</t>
  </si>
  <si>
    <t>Región del Bío-Bío</t>
  </si>
  <si>
    <t>Región de Aysén del General Carlos Ibañez del Campo</t>
  </si>
  <si>
    <t>Región de Magallanes y la Antártica Chilena</t>
  </si>
  <si>
    <t>Total nacional</t>
  </si>
  <si>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sí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</si>
  <si>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t>TOTAL BENEFICIOS PAGADOS DEL PILAR NO CONTRIBUTIVO A NIVEL NACIONAL</t>
  </si>
  <si>
    <t>Sin información</t>
  </si>
  <si>
    <t>N° beneficiarios</t>
  </si>
  <si>
    <r>
      <t>PGU no contributiva</t>
    </r>
    <r>
      <rPr>
        <vertAlign val="superscript"/>
        <sz val="11"/>
        <color theme="1"/>
        <rFont val="Calibri"/>
        <family val="2"/>
        <scheme val="minor"/>
      </rPr>
      <t>1</t>
    </r>
  </si>
  <si>
    <t>PBS invalidez</t>
  </si>
  <si>
    <r>
      <t>APS vejez</t>
    </r>
    <r>
      <rPr>
        <vertAlign val="superscript"/>
        <sz val="11"/>
        <color theme="1"/>
        <rFont val="Calibri"/>
        <family val="2"/>
        <scheme val="minor"/>
      </rPr>
      <t>1</t>
    </r>
  </si>
  <si>
    <t>APS invalidez</t>
  </si>
  <si>
    <r>
      <t>PBS vejez</t>
    </r>
    <r>
      <rPr>
        <b/>
        <vertAlign val="superscript"/>
        <sz val="11"/>
        <color theme="1"/>
        <rFont val="Calibri"/>
        <family val="2"/>
        <scheme val="minor"/>
      </rPr>
      <t>1</t>
    </r>
  </si>
  <si>
    <r>
      <t>APS vejez</t>
    </r>
    <r>
      <rPr>
        <b/>
        <vertAlign val="superscript"/>
        <sz val="11"/>
        <color theme="1"/>
        <rFont val="Calibri"/>
        <family val="2"/>
        <scheme val="minor"/>
      </rPr>
      <t>1</t>
    </r>
  </si>
  <si>
    <r>
      <t>Nbis</t>
    </r>
    <r>
      <rPr>
        <b/>
        <vertAlign val="superscript"/>
        <sz val="11"/>
        <color theme="1"/>
        <rFont val="Calibri"/>
        <family val="2"/>
        <scheme val="minor"/>
      </rPr>
      <t>1</t>
    </r>
  </si>
  <si>
    <t xml:space="preserve">PBS invalidez </t>
  </si>
  <si>
    <t xml:space="preserve">APS invalidez </t>
  </si>
  <si>
    <r>
      <t>PGU No Contributiva</t>
    </r>
    <r>
      <rPr>
        <b/>
        <vertAlign val="superscript"/>
        <sz val="11"/>
        <color theme="1"/>
        <rFont val="Calibri"/>
        <family val="2"/>
        <scheme val="minor"/>
      </rPr>
      <t>1</t>
    </r>
  </si>
  <si>
    <r>
      <t>PGU Contributiva</t>
    </r>
    <r>
      <rPr>
        <b/>
        <vertAlign val="superscript"/>
        <sz val="11"/>
        <color theme="1"/>
        <rFont val="Calibri"/>
        <family val="2"/>
        <scheme val="minor"/>
      </rPr>
      <t>1</t>
    </r>
  </si>
  <si>
    <r>
      <t>PGU Total</t>
    </r>
    <r>
      <rPr>
        <b/>
        <vertAlign val="superscript"/>
        <sz val="11"/>
        <color theme="1"/>
        <rFont val="Calibri"/>
        <family val="2"/>
        <scheme val="minor"/>
      </rPr>
      <t>1</t>
    </r>
  </si>
  <si>
    <r>
      <t>PBS Invalidez</t>
    </r>
    <r>
      <rPr>
        <b/>
        <vertAlign val="superscript"/>
        <sz val="11"/>
        <color theme="1"/>
        <rFont val="Calibri"/>
        <family val="2"/>
        <scheme val="minor"/>
      </rPr>
      <t>1</t>
    </r>
  </si>
  <si>
    <r>
      <rPr>
        <vertAlign val="superscript"/>
        <sz val="9"/>
        <rFont val="Calibri"/>
        <family val="2"/>
        <scheme val="minor"/>
      </rPr>
      <t>1</t>
    </r>
    <r>
      <rPr>
        <sz val="9"/>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</si>
  <si>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rPr>
        <vertAlign val="superscript"/>
        <sz val="9"/>
        <color theme="1"/>
        <rFont val="Calibri"/>
        <family val="2"/>
        <scheme val="minor"/>
      </rPr>
      <t>1</t>
    </r>
    <r>
      <rPr>
        <sz val="9"/>
        <color theme="1"/>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</si>
  <si>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t>PBS Vejez</t>
    </r>
    <r>
      <rPr>
        <b/>
        <vertAlign val="superscript"/>
        <sz val="11"/>
        <color theme="1"/>
        <rFont val="Calibri"/>
        <family val="2"/>
        <scheme val="minor"/>
      </rPr>
      <t>1</t>
    </r>
  </si>
  <si>
    <r>
      <t>APS Vejez</t>
    </r>
    <r>
      <rPr>
        <b/>
        <vertAlign val="superscript"/>
        <sz val="11"/>
        <color theme="1"/>
        <rFont val="Calibri"/>
        <family val="2"/>
        <scheme val="minor"/>
      </rPr>
      <t>1</t>
    </r>
  </si>
  <si>
    <r>
      <t>PGU no contributiva</t>
    </r>
    <r>
      <rPr>
        <b/>
        <vertAlign val="superscript"/>
        <sz val="11"/>
        <color theme="1"/>
        <rFont val="Calibri"/>
        <family val="2"/>
        <scheme val="minor"/>
      </rPr>
      <t>2</t>
    </r>
  </si>
  <si>
    <r>
      <t>PGU contributiva</t>
    </r>
    <r>
      <rPr>
        <b/>
        <vertAlign val="superscript"/>
        <sz val="11"/>
        <color theme="1"/>
        <rFont val="Calibri"/>
        <family val="2"/>
        <scheme val="minor"/>
      </rPr>
      <t>2</t>
    </r>
  </si>
  <si>
    <t>Complemento trabajo pesado</t>
  </si>
  <si>
    <t>PEÑALOLÉN</t>
  </si>
  <si>
    <t>No cumple requisito, no tiene 5 años de residencia en los últimos 6 años</t>
  </si>
  <si>
    <t>Percibe Pensión de Ley Especial de monto superior al APS Calculado</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</si>
  <si>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r>
      <rPr>
        <vertAlign val="superscript"/>
        <sz val="9"/>
        <rFont val="Calibri"/>
        <family val="2"/>
        <scheme val="minor"/>
      </rPr>
      <t>2</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t>
    </r>
  </si>
  <si>
    <r>
      <t xml:space="preserve">Fuente: Elaboración propia con datos del Instituto de Previsión Social
</t>
    </r>
    <r>
      <rPr>
        <vertAlign val="superscript"/>
        <sz val="9"/>
        <rFont val="Calibri"/>
        <family val="2"/>
        <scheme val="minor"/>
      </rPr>
      <t xml:space="preserve">1 </t>
    </r>
    <r>
      <rPr>
        <sz val="9"/>
        <rFont val="Calibri"/>
        <family val="2"/>
        <scheme val="minor"/>
      </rPr>
      <t xml:space="preserve">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</si>
  <si>
    <r>
      <t>Total solicitudes</t>
    </r>
    <r>
      <rPr>
        <b/>
        <vertAlign val="superscript"/>
        <sz val="11"/>
        <color theme="1"/>
        <rFont val="Calibri"/>
        <family val="2"/>
        <scheme val="minor"/>
      </rPr>
      <t>2</t>
    </r>
  </si>
  <si>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t>
    </r>
  </si>
  <si>
    <r>
      <t>Estado de las solicitudes</t>
    </r>
    <r>
      <rPr>
        <b/>
        <vertAlign val="superscript"/>
        <sz val="11"/>
        <rFont val="Calibri"/>
        <family val="2"/>
        <scheme val="minor"/>
      </rPr>
      <t>1</t>
    </r>
  </si>
  <si>
    <r>
      <t>PGU No Contributiva</t>
    </r>
    <r>
      <rPr>
        <b/>
        <vertAlign val="superscript"/>
        <sz val="11"/>
        <rFont val="Calibri"/>
        <family val="2"/>
        <scheme val="minor"/>
      </rPr>
      <t>1</t>
    </r>
  </si>
  <si>
    <r>
      <t>PGU Contributiva</t>
    </r>
    <r>
      <rPr>
        <b/>
        <vertAlign val="superscript"/>
        <sz val="11"/>
        <rFont val="Calibri"/>
        <family val="2"/>
        <scheme val="minor"/>
      </rPr>
      <t>1</t>
    </r>
  </si>
  <si>
    <r>
      <t>PBS Vejez</t>
    </r>
    <r>
      <rPr>
        <b/>
        <vertAlign val="superscript"/>
        <sz val="11"/>
        <rFont val="Calibri"/>
        <family val="2"/>
        <scheme val="minor"/>
      </rPr>
      <t>1</t>
    </r>
  </si>
  <si>
    <r>
      <t>APS Vejez</t>
    </r>
    <r>
      <rPr>
        <b/>
        <vertAlign val="superscript"/>
        <sz val="11"/>
        <rFont val="Calibri"/>
        <family val="2"/>
        <scheme val="minor"/>
      </rPr>
      <t>1</t>
    </r>
  </si>
  <si>
    <r>
      <t>Total solicitudes</t>
    </r>
    <r>
      <rPr>
        <b/>
        <vertAlign val="superscript"/>
        <sz val="11"/>
        <rFont val="Calibri"/>
        <family val="2"/>
        <scheme val="minor"/>
      </rPr>
      <t>2</t>
    </r>
  </si>
  <si>
    <r>
      <t>Número de concesiones</t>
    </r>
    <r>
      <rPr>
        <b/>
        <vertAlign val="superscript"/>
        <sz val="11"/>
        <color theme="1"/>
        <rFont val="Calibri"/>
        <family val="2"/>
        <scheme val="minor"/>
      </rPr>
      <t>1</t>
    </r>
  </si>
  <si>
    <r>
      <t>Total solicitudes concedidas</t>
    </r>
    <r>
      <rPr>
        <b/>
        <vertAlign val="superscript"/>
        <sz val="11"/>
        <rFont val="Calibri"/>
        <family val="2"/>
        <scheme val="minor"/>
      </rPr>
      <t>2</t>
    </r>
  </si>
  <si>
    <r>
      <t>Total acumulado de concesiones</t>
    </r>
    <r>
      <rPr>
        <b/>
        <vertAlign val="superscript"/>
        <sz val="11"/>
        <rFont val="Calibri"/>
        <family val="2"/>
        <scheme val="minor"/>
      </rPr>
      <t>2</t>
    </r>
  </si>
  <si>
    <r>
      <t>Total acumulado de solicitudes</t>
    </r>
    <r>
      <rPr>
        <b/>
        <vertAlign val="superscript"/>
        <sz val="11"/>
        <rFont val="Calibri"/>
        <family val="2"/>
        <scheme val="minor"/>
      </rPr>
      <t>2</t>
    </r>
  </si>
  <si>
    <r>
      <t>Total solicitudes concedidas</t>
    </r>
    <r>
      <rPr>
        <b/>
        <vertAlign val="superscript"/>
        <sz val="11"/>
        <color theme="1"/>
        <rFont val="Calibri"/>
        <family val="2"/>
        <scheme val="minor"/>
      </rPr>
      <t>2</t>
    </r>
  </si>
  <si>
    <r>
      <t>Total solicitudes rechazadas</t>
    </r>
    <r>
      <rPr>
        <b/>
        <vertAlign val="superscript"/>
        <sz val="11"/>
        <rFont val="Calibri"/>
        <family val="2"/>
        <scheme val="minor"/>
      </rPr>
      <t>2</t>
    </r>
  </si>
  <si>
    <t>Total concesiones BPH</t>
  </si>
  <si>
    <t>Total Beneficiarias y Causantes BPH</t>
  </si>
  <si>
    <t>i. Serie resumen de tasas de concesión de solicitudes por tipo de beneficio y sexo</t>
  </si>
  <si>
    <r>
      <t>PGU contributiva</t>
    </r>
    <r>
      <rPr>
        <vertAlign val="superscript"/>
        <sz val="11"/>
        <color theme="1"/>
        <rFont val="Calibri"/>
        <family val="2"/>
        <scheme val="minor"/>
      </rPr>
      <t>1 2</t>
    </r>
  </si>
  <si>
    <r>
      <t>Total beneficios</t>
    </r>
    <r>
      <rPr>
        <b/>
        <vertAlign val="superscript"/>
        <sz val="11"/>
        <color theme="1"/>
        <rFont val="Calibri"/>
        <family val="2"/>
        <scheme val="minor"/>
      </rPr>
      <t>3</t>
    </r>
  </si>
  <si>
    <r>
      <rPr>
        <vertAlign val="superscript"/>
        <sz val="9"/>
        <rFont val="Calibri"/>
        <family val="2"/>
        <scheme val="minor"/>
      </rPr>
      <t>2</t>
    </r>
    <r>
      <rPr>
        <sz val="9"/>
        <rFont val="Calibri"/>
        <family val="2"/>
        <scheme val="minor"/>
      </rPr>
      <t xml:space="preserve"> El beneficio Complemento por trabajo pesado se informa dentro de la categoría de beneficios pagados por PGU contributiva.</t>
    </r>
  </si>
  <si>
    <r>
      <t>%</t>
    </r>
    <r>
      <rPr>
        <b/>
        <vertAlign val="superscript"/>
        <sz val="11"/>
        <color theme="1"/>
        <rFont val="Calibri"/>
        <family val="2"/>
        <scheme val="minor"/>
      </rPr>
      <t>6</t>
    </r>
  </si>
  <si>
    <r>
      <t>PGU contributiva</t>
    </r>
    <r>
      <rPr>
        <vertAlign val="superscript"/>
        <sz val="11"/>
        <color theme="1"/>
        <rFont val="Calibri"/>
        <family val="2"/>
        <scheme val="minor"/>
      </rPr>
      <t>1</t>
    </r>
    <r>
      <rPr>
        <sz val="11"/>
        <color theme="1"/>
        <rFont val="Calibri"/>
        <family val="2"/>
        <scheme val="minor"/>
      </rPr>
      <t xml:space="preserve"> </t>
    </r>
    <r>
      <rPr>
        <vertAlign val="superscript"/>
        <sz val="11"/>
        <color theme="1"/>
        <rFont val="Calibri"/>
        <family val="2"/>
        <scheme val="minor"/>
      </rPr>
      <t>2</t>
    </r>
  </si>
  <si>
    <r>
      <t>Total beneficios</t>
    </r>
    <r>
      <rPr>
        <vertAlign val="superscript"/>
        <sz val="11"/>
        <color theme="1"/>
        <rFont val="Calibri"/>
        <family val="2"/>
        <scheme val="minor"/>
      </rPr>
      <t>3</t>
    </r>
  </si>
  <si>
    <r>
      <t>Monto total (M$)</t>
    </r>
    <r>
      <rPr>
        <b/>
        <vertAlign val="superscript"/>
        <sz val="11"/>
        <color theme="1"/>
        <rFont val="Calibri"/>
        <family val="2"/>
        <scheme val="minor"/>
      </rPr>
      <t>4</t>
    </r>
  </si>
  <si>
    <r>
      <t>Monto promedio por beneficiario ($)</t>
    </r>
    <r>
      <rPr>
        <b/>
        <vertAlign val="superscript"/>
        <sz val="11"/>
        <color theme="1"/>
        <rFont val="Calibri"/>
        <family val="2"/>
        <scheme val="minor"/>
      </rPr>
      <t>5</t>
    </r>
  </si>
  <si>
    <r>
      <t>N° promedio beneficiarios</t>
    </r>
    <r>
      <rPr>
        <b/>
        <vertAlign val="superscript"/>
        <sz val="11"/>
        <color theme="1"/>
        <rFont val="Calibri"/>
        <family val="2"/>
        <scheme val="minor"/>
      </rPr>
      <t>6</t>
    </r>
  </si>
  <si>
    <r>
      <t>Monto total (M$)</t>
    </r>
    <r>
      <rPr>
        <b/>
        <vertAlign val="superscript"/>
        <sz val="11"/>
        <color theme="1"/>
        <rFont val="Calibri"/>
        <family val="2"/>
        <scheme val="minor"/>
      </rPr>
      <t>7</t>
    </r>
  </si>
  <si>
    <r>
      <t>Monto promedio por beneficiario ($)</t>
    </r>
    <r>
      <rPr>
        <b/>
        <vertAlign val="superscript"/>
        <sz val="11"/>
        <color theme="1"/>
        <rFont val="Calibri"/>
        <family val="2"/>
        <scheme val="minor"/>
      </rPr>
      <t>8</t>
    </r>
  </si>
  <si>
    <r>
      <t>PGU Contributiva</t>
    </r>
    <r>
      <rPr>
        <b/>
        <vertAlign val="superscript"/>
        <sz val="11"/>
        <color theme="1"/>
        <rFont val="Calibri"/>
        <family val="2"/>
        <scheme val="minor"/>
      </rPr>
      <t>1</t>
    </r>
    <r>
      <rPr>
        <b/>
        <sz val="11"/>
        <color theme="1"/>
        <rFont val="Calibri"/>
        <family val="2"/>
        <scheme val="minor"/>
      </rPr>
      <t xml:space="preserve"> </t>
    </r>
    <r>
      <rPr>
        <b/>
        <vertAlign val="superscript"/>
        <sz val="11"/>
        <color theme="1"/>
        <rFont val="Calibri"/>
        <family val="2"/>
        <scheme val="minor"/>
      </rPr>
      <t>2</t>
    </r>
  </si>
  <si>
    <t>Trimestre AMJ 2024</t>
  </si>
  <si>
    <r>
      <t>Monto nominal (MM$)</t>
    </r>
    <r>
      <rPr>
        <b/>
        <vertAlign val="superscript"/>
        <sz val="11"/>
        <color theme="1"/>
        <rFont val="Calibri"/>
        <family val="2"/>
        <scheme val="minor"/>
      </rPr>
      <t>4</t>
    </r>
  </si>
  <si>
    <r>
      <t>Monto real (MM$)</t>
    </r>
    <r>
      <rPr>
        <b/>
        <vertAlign val="superscript"/>
        <sz val="11"/>
        <color theme="1"/>
        <rFont val="Calibri"/>
        <family val="2"/>
        <scheme val="minor"/>
      </rPr>
      <t>5</t>
    </r>
  </si>
  <si>
    <r>
      <t>PGU</t>
    </r>
    <r>
      <rPr>
        <b/>
        <vertAlign val="superscript"/>
        <sz val="11"/>
        <color theme="1"/>
        <rFont val="Calibri"/>
        <family val="2"/>
        <scheme val="minor"/>
      </rPr>
      <t>1</t>
    </r>
  </si>
  <si>
    <r>
      <t>Monto real (MM$)</t>
    </r>
    <r>
      <rPr>
        <b/>
        <vertAlign val="superscript"/>
        <sz val="11"/>
        <color theme="1"/>
        <rFont val="Calibri"/>
        <family val="2"/>
        <scheme val="minor"/>
      </rPr>
      <t>4</t>
    </r>
  </si>
  <si>
    <r>
      <t>Monto nominal (MM$)</t>
    </r>
    <r>
      <rPr>
        <b/>
        <vertAlign val="superscript"/>
        <sz val="11"/>
        <color theme="1"/>
        <rFont val="Calibri"/>
        <family val="2"/>
        <scheme val="minor"/>
      </rPr>
      <t>5</t>
    </r>
  </si>
  <si>
    <t>(julio 2008 a junio 2024)</t>
  </si>
  <si>
    <r>
      <t>Monto nominal (MM$)</t>
    </r>
    <r>
      <rPr>
        <b/>
        <vertAlign val="superscript"/>
        <sz val="11"/>
        <color theme="1"/>
        <rFont val="Calibri"/>
        <family val="2"/>
        <scheme val="minor"/>
      </rPr>
      <t>3</t>
    </r>
  </si>
  <si>
    <r>
      <t>Monto real (MM$)</t>
    </r>
    <r>
      <rPr>
        <b/>
        <vertAlign val="superscript"/>
        <sz val="11"/>
        <color theme="1"/>
        <rFont val="Calibri"/>
        <family val="2"/>
        <scheme val="minor"/>
      </rPr>
      <t>3</t>
    </r>
  </si>
  <si>
    <r>
      <t>Monto nominal (MM$)</t>
    </r>
    <r>
      <rPr>
        <b/>
        <vertAlign val="superscript"/>
        <sz val="11"/>
        <color theme="1"/>
        <rFont val="Calibri"/>
        <family val="2"/>
        <scheme val="minor"/>
      </rPr>
      <t>2</t>
    </r>
  </si>
  <si>
    <r>
      <t>Monto real (MM$)</t>
    </r>
    <r>
      <rPr>
        <b/>
        <vertAlign val="superscript"/>
        <sz val="11"/>
        <color theme="1"/>
        <rFont val="Calibri"/>
        <family val="2"/>
        <scheme val="minor"/>
      </rPr>
      <t>2</t>
    </r>
  </si>
  <si>
    <t>Imponente o pensionado de la Caja de Defensa y/o de la Dirección de Previsión de Carabineros</t>
  </si>
  <si>
    <t>Sin derecho a pago</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</si>
  <si>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La tasa de concesión de cada periodo se estima como el número de concesiones sobre el número total de solicitudes concedidas y rechazadas, considerando como periodo la fecha de ingreso de la solicitud y un desfase en la fecha de resolución de la solicitud de 3 meses observando los datos en el último periodo reportado en el informe.</t>
    </r>
  </si>
  <si>
    <t>Región del Biobío</t>
  </si>
  <si>
    <t xml:space="preserve">   Región del Biobío</t>
  </si>
  <si>
    <t>Región del Bíobío</t>
  </si>
  <si>
    <t>Trimestre JAS 2024</t>
  </si>
  <si>
    <t>(julio 2024 a septiembre 2024)</t>
  </si>
  <si>
    <t>(julio 2008 a septiembre 2024)</t>
  </si>
  <si>
    <t>Total tercer trimestre 2024</t>
  </si>
  <si>
    <r>
      <rPr>
        <vertAlign val="superscript"/>
        <sz val="9"/>
        <color theme="1"/>
        <rFont val="Calibri"/>
        <family val="2"/>
        <scheme val="minor"/>
      </rPr>
      <t>3</t>
    </r>
    <r>
      <rPr>
        <sz val="9"/>
        <color theme="1"/>
        <rFont val="Calibri"/>
        <family val="2"/>
        <scheme val="minor"/>
      </rPr>
      <t xml:space="preserve"> Montos nominales de cada periodo de pago. </t>
    </r>
    <r>
      <rPr>
        <vertAlign val="superscript"/>
        <sz val="9"/>
        <color theme="1"/>
        <rFont val="Calibri"/>
        <family val="2"/>
        <scheme val="minor"/>
      </rPr>
      <t>4</t>
    </r>
    <r>
      <rPr>
        <sz val="9"/>
        <color theme="1"/>
        <rFont val="Calibri"/>
        <family val="2"/>
        <scheme val="minor"/>
      </rPr>
      <t xml:space="preserve"> Montos deflactados a septiembre 2024.</t>
    </r>
  </si>
  <si>
    <t>(febrero 2022 a septiembre 2024)</t>
  </si>
  <si>
    <r>
      <rPr>
        <vertAlign val="superscript"/>
        <sz val="9"/>
        <color theme="1"/>
        <rFont val="Calibri"/>
        <family val="2"/>
        <scheme val="minor"/>
      </rPr>
      <t>3</t>
    </r>
    <r>
      <rPr>
        <sz val="9"/>
        <color theme="1"/>
        <rFont val="Calibri"/>
        <family val="2"/>
        <scheme val="minor"/>
      </rPr>
      <t xml:space="preserve"> Montos deflactados a septiembre 2024. </t>
    </r>
    <r>
      <rPr>
        <vertAlign val="superscript"/>
        <sz val="9"/>
        <color theme="1"/>
        <rFont val="Calibri"/>
        <family val="2"/>
        <scheme val="minor"/>
      </rPr>
      <t>4</t>
    </r>
    <r>
      <rPr>
        <sz val="9"/>
        <color theme="1"/>
        <rFont val="Calibri"/>
        <family val="2"/>
        <scheme val="minor"/>
      </rPr>
      <t xml:space="preserve"> Montos nominales de cada periodo de pago.</t>
    </r>
  </si>
  <si>
    <r>
      <rPr>
        <vertAlign val="superscript"/>
        <sz val="9"/>
        <color theme="1"/>
        <rFont val="Calibri"/>
        <family val="2"/>
        <scheme val="minor"/>
      </rPr>
      <t>2</t>
    </r>
    <r>
      <rPr>
        <sz val="9"/>
        <color theme="1"/>
        <rFont val="Calibri"/>
        <family val="2"/>
        <scheme val="minor"/>
      </rPr>
      <t xml:space="preserve"> Montos nominales de cada periodo de pago. </t>
    </r>
    <r>
      <rPr>
        <vertAlign val="superscript"/>
        <sz val="9"/>
        <color theme="1"/>
        <rFont val="Calibri"/>
        <family val="2"/>
        <scheme val="minor"/>
      </rPr>
      <t>3</t>
    </r>
    <r>
      <rPr>
        <sz val="9"/>
        <color theme="1"/>
        <rFont val="Calibri"/>
        <family val="2"/>
        <scheme val="minor"/>
      </rPr>
      <t xml:space="preserve"> Montos deflactados a septiembre 2024.</t>
    </r>
  </si>
  <si>
    <r>
      <rPr>
        <vertAlign val="superscript"/>
        <sz val="9"/>
        <color theme="1"/>
        <rFont val="Calibri"/>
        <family val="2"/>
        <scheme val="minor"/>
      </rPr>
      <t>2</t>
    </r>
    <r>
      <rPr>
        <sz val="9"/>
        <color theme="1"/>
        <rFont val="Calibri"/>
        <family val="2"/>
        <scheme val="minor"/>
      </rPr>
      <t xml:space="preserve"> Montos deflactados a septiembre 2024. </t>
    </r>
    <r>
      <rPr>
        <vertAlign val="superscript"/>
        <sz val="9"/>
        <color theme="1"/>
        <rFont val="Calibri"/>
        <family val="2"/>
        <scheme val="minor"/>
      </rPr>
      <t>3</t>
    </r>
    <r>
      <rPr>
        <sz val="9"/>
        <color theme="1"/>
        <rFont val="Calibri"/>
        <family val="2"/>
        <scheme val="minor"/>
      </rPr>
      <t xml:space="preserve"> Montos nominales de cada periodo de pago.</t>
    </r>
  </si>
  <si>
    <t>Total acumulado de solicitudes rechazadas</t>
  </si>
  <si>
    <t>(agosto 2009 a septiembre 2024)</t>
  </si>
  <si>
    <t>(marzo 2009 a septiembre 2024)</t>
  </si>
  <si>
    <t>(octubre 2008 a septiembre 2024)</t>
  </si>
  <si>
    <t>(enero 2012 a septiembre 2024)</t>
  </si>
  <si>
    <t>(julio 2011 a septiembre 2024)</t>
  </si>
  <si>
    <t>Desistidas</t>
  </si>
  <si>
    <t>Otras causales de rechazo</t>
  </si>
  <si>
    <t>Total  2015</t>
  </si>
  <si>
    <t>Total 2023</t>
  </si>
  <si>
    <t>Total al tercer trimestre de 2024</t>
  </si>
  <si>
    <t>Total solicitudes BPH</t>
  </si>
  <si>
    <t>Promedio mar - dic 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</si>
  <si>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</si>
  <si>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</si>
  <si>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</si>
  <si>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</si>
  <si>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</si>
  <si>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</si>
  <si>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</si>
  <si>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</si>
  <si>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</si>
  <si>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</si>
  <si>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</si>
  <si>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</si>
  <si>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</si>
  <si>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Promedio 2023</t>
  </si>
  <si>
    <t>Promedio al tercer trimestre 2024</t>
  </si>
  <si>
    <t>Total al tercer trimestre 2024</t>
  </si>
  <si>
    <t>Total solicitudes</t>
  </si>
  <si>
    <r>
      <rPr>
        <vertAlign val="superscript"/>
        <sz val="9"/>
        <rFont val="Calibri"/>
        <family val="2"/>
        <scheme val="minor"/>
      </rPr>
      <t>3</t>
    </r>
    <r>
      <rPr>
        <sz val="9"/>
        <rFont val="Calibri"/>
        <family val="2"/>
        <scheme val="minor"/>
      </rPr>
      <t xml:space="preserve"> A la fecha de publicación de este informe no se cuenta con información de las pensiones asistenciales (ex PASIS) que continúan vigentes, pagadas a septiembre 2024. </t>
    </r>
    <r>
      <rPr>
        <vertAlign val="superscript"/>
        <sz val="9"/>
        <rFont val="Calibri"/>
        <family val="2"/>
        <scheme val="minor"/>
      </rPr>
      <t>4</t>
    </r>
    <r>
      <rPr>
        <sz val="9"/>
        <rFont val="Calibri"/>
        <family val="2"/>
        <scheme val="minor"/>
      </rPr>
      <t xml:space="preserve"> Montos nominales de cada periodo de pago. </t>
    </r>
    <r>
      <rPr>
        <vertAlign val="superscript"/>
        <sz val="9"/>
        <rFont val="Calibri"/>
        <family val="2"/>
        <scheme val="minor"/>
      </rPr>
      <t>5</t>
    </r>
    <r>
      <rPr>
        <sz val="9"/>
        <rFont val="Calibri"/>
        <family val="2"/>
        <scheme val="minor"/>
      </rPr>
      <t xml:space="preserve"> Montos deflactados a septiembre 2024.</t>
    </r>
  </si>
  <si>
    <r>
      <rPr>
        <vertAlign val="superscript"/>
        <sz val="9"/>
        <rFont val="Calibri"/>
        <family val="2"/>
        <scheme val="minor"/>
      </rPr>
      <t>3</t>
    </r>
    <r>
      <rPr>
        <sz val="9"/>
        <rFont val="Calibri"/>
        <family val="2"/>
        <scheme val="minor"/>
      </rPr>
      <t xml:space="preserve"> A la fecha de publicación de este informe no se cuenta con información de las pensiones asistenciales (ex PASIS) que continúan vigentes, pagadas a septiembre 2024. </t>
    </r>
    <r>
      <rPr>
        <vertAlign val="superscript"/>
        <sz val="9"/>
        <rFont val="Calibri"/>
        <family val="2"/>
        <scheme val="minor"/>
      </rPr>
      <t>4</t>
    </r>
    <r>
      <rPr>
        <sz val="9"/>
        <rFont val="Calibri"/>
        <family val="2"/>
        <scheme val="minor"/>
      </rPr>
      <t xml:space="preserve"> Montos deflactados a septiembre 2024. </t>
    </r>
    <r>
      <rPr>
        <vertAlign val="superscript"/>
        <sz val="9"/>
        <rFont val="Calibri"/>
        <family val="2"/>
        <scheme val="minor"/>
      </rPr>
      <t>5</t>
    </r>
    <r>
      <rPr>
        <sz val="9"/>
        <rFont val="Calibri"/>
        <family val="2"/>
        <scheme val="minor"/>
      </rPr>
      <t xml:space="preserve"> Montos nominales de cada periodo de pago. </t>
    </r>
    <r>
      <rPr>
        <vertAlign val="superscript"/>
        <sz val="9"/>
        <rFont val="Calibri"/>
        <family val="2"/>
        <scheme val="minor"/>
      </rPr>
      <t>6</t>
    </r>
    <r>
      <rPr>
        <sz val="9"/>
        <rFont val="Calibri"/>
        <family val="2"/>
        <scheme val="minor"/>
      </rPr>
      <t xml:space="preserve"> Porcentaje del total de beneficios pagados en el periodo.</t>
    </r>
  </si>
  <si>
    <r>
      <rPr>
        <vertAlign val="superscript"/>
        <sz val="9"/>
        <rFont val="Calibri"/>
        <family val="2"/>
        <scheme val="minor"/>
      </rPr>
      <t>3</t>
    </r>
    <r>
      <rPr>
        <sz val="9"/>
        <rFont val="Calibri"/>
        <family val="2"/>
        <scheme val="minor"/>
      </rPr>
      <t xml:space="preserve"> A la fecha de publicación de este informe no se cuenta con información de las pensiones asistenciales (ex PASIS) que continúan vigentes, pagadas a septiembre 2024. </t>
    </r>
    <r>
      <rPr>
        <vertAlign val="superscript"/>
        <sz val="9"/>
        <rFont val="Calibri"/>
        <family val="2"/>
        <scheme val="minor"/>
      </rPr>
      <t>4</t>
    </r>
    <r>
      <rPr>
        <sz val="9"/>
        <rFont val="Calibri"/>
        <family val="2"/>
        <scheme val="minor"/>
      </rPr>
      <t xml:space="preserve"> Monto total pagado en el periodo en pesos de septiembre 2024. </t>
    </r>
    <r>
      <rPr>
        <vertAlign val="superscript"/>
        <sz val="9"/>
        <rFont val="Calibri"/>
        <family val="2"/>
        <scheme val="minor"/>
      </rPr>
      <t>5</t>
    </r>
    <r>
      <rPr>
        <sz val="9"/>
        <rFont val="Calibri"/>
        <family val="2"/>
        <scheme val="minor"/>
      </rPr>
      <t xml:space="preserve"> Monto promedio pagado por beneficiario en el periodo en pesos de septiembre 2024. </t>
    </r>
    <r>
      <rPr>
        <vertAlign val="superscript"/>
        <sz val="9"/>
        <rFont val="Calibri"/>
        <family val="2"/>
        <scheme val="minor"/>
      </rPr>
      <t>6</t>
    </r>
    <r>
      <rPr>
        <sz val="9"/>
        <rFont val="Calibri"/>
        <family val="2"/>
        <scheme val="minor"/>
      </rPr>
      <t xml:space="preserve"> Promedio mensual de beneficiarios en el trimestre. </t>
    </r>
    <r>
      <rPr>
        <vertAlign val="superscript"/>
        <sz val="9"/>
        <rFont val="Calibri"/>
        <family val="2"/>
        <scheme val="minor"/>
      </rPr>
      <t>7</t>
    </r>
    <r>
      <rPr>
        <sz val="9"/>
        <rFont val="Calibri"/>
        <family val="2"/>
        <scheme val="minor"/>
      </rPr>
      <t xml:space="preserve"> Monto total pagado en el trimestre en pesos a septiembre 2024. </t>
    </r>
    <r>
      <rPr>
        <vertAlign val="superscript"/>
        <sz val="9"/>
        <rFont val="Calibri"/>
        <family val="2"/>
        <scheme val="minor"/>
      </rPr>
      <t>8</t>
    </r>
    <r>
      <rPr>
        <sz val="9"/>
        <rFont val="Calibri"/>
        <family val="2"/>
        <scheme val="minor"/>
      </rPr>
      <t xml:space="preserve"> Monto promedio mensual pagado por beneficiario en el trimestre, en pesos de septiembre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</si>
</sst>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 numFmtId="172" formatCode="mmmm\ yyyy"/>
  </numFmts>
  <fonts count="45"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
      <b/>
      <vertAlign val="superscript"/>
      <sz val="11"/>
      <color theme="1"/>
      <name val="Calibri"/>
      <family val="2"/>
      <scheme val="minor"/>
    </font>
    <font>
      <vertAlign val="superscript"/>
      <sz val="9"/>
      <color theme="1"/>
      <name val="Calibri"/>
      <family val="2"/>
      <scheme val="minor"/>
    </font>
    <font>
      <vertAlign val="superscript"/>
      <sz val="11"/>
      <color theme="1"/>
      <name val="Calibri"/>
      <family val="2"/>
      <scheme val="minor"/>
    </font>
    <font>
      <vertAlign val="superscript"/>
      <sz val="9"/>
      <name val="Calibri"/>
      <family val="2"/>
      <scheme val="minor"/>
    </font>
    <font>
      <b/>
      <vertAlign val="superscript"/>
      <sz val="11"/>
      <name val="Calibri"/>
      <family val="2"/>
      <scheme val="minor"/>
    </font>
    <font>
      <b/>
      <u/>
      <sz val="12"/>
      <color theme="10"/>
      <name val="Calibri"/>
      <family val="2"/>
    </font>
    <font>
      <b/>
      <sz val="14"/>
      <name val="Calibri"/>
      <family val="2"/>
      <scheme val="minor"/>
    </font>
  </fonts>
  <fills count="1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20">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5" fillId="0" borderId="0"/>
    <xf numFmtId="0" fontId="35" fillId="0" borderId="0"/>
    <xf numFmtId="0" fontId="1" fillId="0" borderId="0"/>
    <xf numFmtId="0" fontId="35" fillId="0" borderId="0"/>
    <xf numFmtId="0" fontId="35"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cellStyleXfs>
  <cellXfs count="556">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3" fillId="0" borderId="0" xfId="0" applyFont="1"/>
    <xf numFmtId="0" fontId="0" fillId="0" borderId="0" xfId="0" quotePrefix="1" applyAlignment="1">
      <alignment vertical="top"/>
    </xf>
    <xf numFmtId="0" fontId="22" fillId="0" borderId="0" xfId="5" applyAlignment="1" applyProtection="1"/>
    <xf numFmtId="0" fontId="14" fillId="0" borderId="0" xfId="0" quotePrefix="1" applyFont="1" applyAlignment="1">
      <alignment vertical="top"/>
    </xf>
    <xf numFmtId="0" fontId="36"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7" fillId="3" borderId="0" xfId="0" applyFont="1" applyFill="1" applyAlignment="1">
      <alignment vertical="center"/>
    </xf>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0" borderId="62" xfId="0" applyFont="1" applyBorder="1" applyAlignment="1">
      <alignment vertical="center" wrapText="1"/>
    </xf>
    <xf numFmtId="0" fontId="6" fillId="0" borderId="64" xfId="0" applyFont="1" applyBorder="1" applyAlignment="1">
      <alignment vertical="center" wrapText="1"/>
    </xf>
    <xf numFmtId="0" fontId="6" fillId="14" borderId="1" xfId="0" applyFont="1" applyFill="1" applyBorder="1" applyAlignment="1">
      <alignment horizontal="left"/>
    </xf>
    <xf numFmtId="0" fontId="7" fillId="2" borderId="0" xfId="0" applyFont="1" applyFill="1" applyAlignment="1">
      <alignment horizontal="left" vertical="top" wrapText="1"/>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0" fillId="0" borderId="64" xfId="0" applyBorder="1" applyAlignment="1">
      <alignment horizontal="left" vertical="center" wrapText="1"/>
    </xf>
    <xf numFmtId="0" fontId="0" fillId="0" borderId="75" xfId="0" applyBorder="1" applyAlignment="1">
      <alignment horizontal="left" vertical="center" wrapText="1"/>
    </xf>
    <xf numFmtId="0" fontId="7" fillId="3" borderId="0" xfId="0" applyFont="1" applyFill="1" applyAlignment="1">
      <alignment horizontal="left" vertical="center" wrapText="1"/>
    </xf>
    <xf numFmtId="0" fontId="6" fillId="14" borderId="64" xfId="0" applyFont="1" applyFill="1" applyBorder="1" applyAlignment="1">
      <alignment vertical="center" wrapText="1"/>
    </xf>
    <xf numFmtId="0" fontId="4" fillId="0" borderId="0" xfId="0" applyFont="1"/>
    <xf numFmtId="0" fontId="22" fillId="0" borderId="0" xfId="5" applyFill="1" applyAlignment="1" applyProtection="1">
      <alignment horizontal="left"/>
    </xf>
    <xf numFmtId="0" fontId="22" fillId="0" borderId="0" xfId="5" applyAlignment="1" applyProtection="1">
      <alignment horizontal="left"/>
    </xf>
    <xf numFmtId="0" fontId="22" fillId="0" borderId="0" xfId="5" applyFill="1" applyAlignment="1" applyProtection="1"/>
    <xf numFmtId="0" fontId="6" fillId="0" borderId="1" xfId="0" applyFont="1" applyBorder="1" applyAlignment="1">
      <alignment horizontal="left" vertical="center" wrapText="1"/>
    </xf>
    <xf numFmtId="0" fontId="13" fillId="0" borderId="0" xfId="0" quotePrefix="1" applyFont="1" applyAlignment="1">
      <alignment vertical="top"/>
    </xf>
    <xf numFmtId="0" fontId="6" fillId="0" borderId="60" xfId="0" applyFont="1" applyBorder="1" applyAlignment="1">
      <alignment horizontal="left" vertical="center" wrapText="1"/>
    </xf>
    <xf numFmtId="0" fontId="6" fillId="14" borderId="3" xfId="0" applyFont="1" applyFill="1" applyBorder="1" applyAlignment="1">
      <alignment vertical="center" wrapText="1"/>
    </xf>
    <xf numFmtId="9" fontId="0" fillId="0" borderId="0" xfId="2" applyFont="1"/>
    <xf numFmtId="0" fontId="7" fillId="0" borderId="0" xfId="0" quotePrefix="1" applyFont="1" applyAlignment="1">
      <alignment horizontal="left" vertical="top" wrapText="1"/>
    </xf>
    <xf numFmtId="164" fontId="0" fillId="0" borderId="0" xfId="2" applyNumberFormat="1" applyFont="1"/>
    <xf numFmtId="0" fontId="6" fillId="0" borderId="1" xfId="0" applyFont="1" applyBorder="1" applyAlignment="1">
      <alignment horizontal="right" vertical="center" wrapText="1"/>
    </xf>
    <xf numFmtId="3" fontId="0" fillId="0" borderId="1" xfId="1" applyNumberFormat="1" applyFont="1" applyBorder="1" applyAlignment="1">
      <alignment horizontal="right" vertical="center"/>
    </xf>
    <xf numFmtId="3" fontId="0" fillId="0" borderId="1" xfId="1" applyNumberFormat="1" applyFont="1" applyFill="1" applyBorder="1" applyAlignment="1">
      <alignment horizontal="right" vertical="center"/>
    </xf>
    <xf numFmtId="3" fontId="6" fillId="14" borderId="1" xfId="1" applyNumberFormat="1" applyFont="1" applyFill="1" applyBorder="1" applyAlignment="1">
      <alignment horizontal="right" vertical="center"/>
    </xf>
    <xf numFmtId="0" fontId="6" fillId="0" borderId="1" xfId="0" applyFont="1" applyBorder="1" applyAlignment="1">
      <alignment horizontal="left" vertical="center"/>
    </xf>
    <xf numFmtId="0" fontId="0" fillId="0" borderId="1" xfId="0" applyBorder="1" applyAlignment="1">
      <alignment horizontal="left"/>
    </xf>
    <xf numFmtId="0" fontId="0" fillId="0" borderId="51" xfId="0" applyBorder="1" applyAlignment="1">
      <alignment horizontal="left"/>
    </xf>
    <xf numFmtId="0" fontId="6" fillId="15" borderId="1" xfId="0" applyFont="1" applyFill="1" applyBorder="1" applyAlignment="1">
      <alignment horizontal="right" vertical="center" wrapText="1"/>
    </xf>
    <xf numFmtId="0" fontId="6" fillId="16" borderId="1" xfId="0" applyFont="1" applyFill="1" applyBorder="1" applyAlignment="1">
      <alignment horizontal="right" vertical="center" wrapText="1"/>
    </xf>
    <xf numFmtId="0" fontId="6" fillId="17" borderId="1" xfId="0" applyFont="1" applyFill="1" applyBorder="1" applyAlignment="1">
      <alignment horizontal="right" vertical="center" wrapText="1"/>
    </xf>
    <xf numFmtId="0" fontId="6" fillId="14" borderId="1" xfId="0" applyFont="1" applyFill="1" applyBorder="1" applyAlignment="1">
      <alignment horizontal="right" vertical="center" wrapText="1"/>
    </xf>
    <xf numFmtId="3" fontId="0" fillId="0" borderId="1" xfId="0" applyNumberFormat="1" applyBorder="1" applyAlignment="1">
      <alignment horizontal="right" vertical="center"/>
    </xf>
    <xf numFmtId="3" fontId="0" fillId="15" borderId="1" xfId="0" applyNumberFormat="1" applyFill="1" applyBorder="1" applyAlignment="1">
      <alignment horizontal="right" vertical="center"/>
    </xf>
    <xf numFmtId="3" fontId="0" fillId="16" borderId="1" xfId="0" applyNumberFormat="1" applyFill="1" applyBorder="1" applyAlignment="1">
      <alignment horizontal="right" vertical="center"/>
    </xf>
    <xf numFmtId="3" fontId="0" fillId="17" borderId="1" xfId="0" applyNumberFormat="1" applyFill="1" applyBorder="1" applyAlignment="1">
      <alignment horizontal="right" vertical="center"/>
    </xf>
    <xf numFmtId="3" fontId="6" fillId="14" borderId="1" xfId="0" applyNumberFormat="1" applyFont="1" applyFill="1" applyBorder="1" applyAlignment="1">
      <alignment horizontal="right" vertical="center"/>
    </xf>
    <xf numFmtId="0" fontId="0" fillId="0" borderId="50" xfId="0" applyBorder="1" applyAlignment="1">
      <alignment horizontal="left" vertical="center"/>
    </xf>
    <xf numFmtId="0" fontId="0" fillId="0" borderId="1" xfId="0" applyBorder="1" applyAlignment="1">
      <alignment horizontal="left" vertical="center"/>
    </xf>
    <xf numFmtId="3" fontId="6" fillId="14" borderId="1" xfId="1" applyNumberFormat="1" applyFont="1" applyFill="1" applyBorder="1" applyAlignment="1">
      <alignment horizontal="right" vertical="center" wrapText="1"/>
    </xf>
    <xf numFmtId="3" fontId="6" fillId="14" borderId="1" xfId="1" applyNumberFormat="1" applyFont="1" applyFill="1" applyBorder="1" applyAlignment="1">
      <alignment horizontal="right" wrapText="1"/>
    </xf>
    <xf numFmtId="3" fontId="0" fillId="0" borderId="1" xfId="1" applyNumberFormat="1" applyFont="1" applyBorder="1" applyAlignment="1">
      <alignment horizontal="right"/>
    </xf>
    <xf numFmtId="3" fontId="6" fillId="14" borderId="1" xfId="1" applyNumberFormat="1" applyFont="1" applyFill="1" applyBorder="1" applyAlignment="1">
      <alignment horizontal="right"/>
    </xf>
    <xf numFmtId="0" fontId="6" fillId="0" borderId="2" xfId="0" applyFont="1" applyBorder="1" applyAlignment="1">
      <alignment horizontal="right" vertical="center" wrapText="1"/>
    </xf>
    <xf numFmtId="17" fontId="10" fillId="0" borderId="1" xfId="0" applyNumberFormat="1" applyFont="1" applyBorder="1" applyAlignment="1">
      <alignment horizontal="left" vertical="center"/>
    </xf>
    <xf numFmtId="17" fontId="6" fillId="0" borderId="1" xfId="0" applyNumberFormat="1" applyFont="1" applyBorder="1" applyAlignment="1">
      <alignment horizontal="left" vertical="center" wrapText="1"/>
    </xf>
    <xf numFmtId="0" fontId="6" fillId="0" borderId="1" xfId="0" applyFont="1" applyBorder="1" applyAlignment="1">
      <alignment horizontal="right" vertical="center"/>
    </xf>
    <xf numFmtId="3" fontId="0" fillId="0" borderId="1" xfId="1" applyNumberFormat="1" applyFont="1" applyFill="1" applyBorder="1" applyAlignment="1">
      <alignment horizontal="right"/>
    </xf>
    <xf numFmtId="17" fontId="6" fillId="0" borderId="1" xfId="0" applyNumberFormat="1" applyFont="1" applyBorder="1" applyAlignment="1">
      <alignment horizontal="left" vertical="center"/>
    </xf>
    <xf numFmtId="0" fontId="6" fillId="0" borderId="31" xfId="0" applyFont="1" applyBorder="1" applyAlignment="1">
      <alignment horizontal="right" vertical="center" wrapText="1"/>
    </xf>
    <xf numFmtId="0" fontId="6" fillId="0" borderId="50" xfId="0" applyFont="1" applyBorder="1" applyAlignment="1">
      <alignment horizontal="right" vertical="center" wrapText="1"/>
    </xf>
    <xf numFmtId="3" fontId="0" fillId="0" borderId="1" xfId="0" applyNumberFormat="1" applyBorder="1" applyAlignment="1">
      <alignment horizontal="right" vertical="center" wrapText="1"/>
    </xf>
    <xf numFmtId="3" fontId="6" fillId="14" borderId="1" xfId="0" applyNumberFormat="1" applyFont="1" applyFill="1" applyBorder="1" applyAlignment="1">
      <alignment horizontal="right" vertical="center" wrapText="1"/>
    </xf>
    <xf numFmtId="0" fontId="6" fillId="0" borderId="3" xfId="0" applyFont="1" applyBorder="1" applyAlignment="1">
      <alignment horizontal="left" vertical="center" wrapText="1"/>
    </xf>
    <xf numFmtId="0" fontId="6" fillId="14" borderId="3" xfId="0" applyFont="1" applyFill="1" applyBorder="1" applyAlignment="1">
      <alignment horizontal="left" vertical="center" wrapText="1"/>
    </xf>
    <xf numFmtId="0" fontId="10" fillId="3" borderId="1" xfId="0" applyFont="1" applyFill="1" applyBorder="1" applyAlignment="1">
      <alignment horizontal="right" vertical="center" wrapText="1"/>
    </xf>
    <xf numFmtId="164" fontId="0" fillId="0" borderId="1" xfId="2" applyNumberFormat="1" applyFont="1" applyFill="1" applyBorder="1" applyAlignment="1">
      <alignment horizontal="right" vertical="center" wrapText="1"/>
    </xf>
    <xf numFmtId="9" fontId="6" fillId="14" borderId="1" xfId="2" applyFont="1" applyFill="1" applyBorder="1" applyAlignment="1">
      <alignment horizontal="right"/>
    </xf>
    <xf numFmtId="0" fontId="0" fillId="0" borderId="52" xfId="0" applyBorder="1" applyAlignment="1">
      <alignment horizontal="right" vertical="center" wrapText="1"/>
    </xf>
    <xf numFmtId="0" fontId="0" fillId="3" borderId="0" xfId="0" applyFill="1" applyAlignment="1">
      <alignment horizontal="right"/>
    </xf>
    <xf numFmtId="164" fontId="6" fillId="14" borderId="1" xfId="2" applyNumberFormat="1" applyFont="1" applyFill="1" applyBorder="1" applyAlignment="1">
      <alignment horizontal="right"/>
    </xf>
    <xf numFmtId="17" fontId="10" fillId="0" borderId="1" xfId="3" applyNumberFormat="1" applyFont="1" applyFill="1" applyBorder="1" applyAlignment="1">
      <alignment horizontal="left" vertical="center" wrapText="1"/>
    </xf>
    <xf numFmtId="17" fontId="10" fillId="14" borderId="1" xfId="3" applyNumberFormat="1" applyFont="1" applyFill="1" applyBorder="1" applyAlignment="1">
      <alignment horizontal="left" vertical="center" wrapText="1"/>
    </xf>
    <xf numFmtId="0" fontId="10" fillId="14" borderId="1" xfId="0" applyFont="1" applyFill="1" applyBorder="1" applyAlignment="1">
      <alignment horizontal="right" vertical="center" wrapText="1"/>
    </xf>
    <xf numFmtId="3" fontId="0" fillId="0" borderId="1" xfId="1" applyNumberFormat="1" applyFont="1" applyBorder="1" applyAlignment="1">
      <alignment horizontal="right" vertical="center" wrapText="1"/>
    </xf>
    <xf numFmtId="3" fontId="0" fillId="3" borderId="1" xfId="0" applyNumberFormat="1" applyFill="1" applyBorder="1" applyAlignment="1">
      <alignment horizontal="right" vertical="center"/>
    </xf>
    <xf numFmtId="3" fontId="6" fillId="14" borderId="57" xfId="1" applyNumberFormat="1" applyFont="1" applyFill="1" applyBorder="1" applyAlignment="1">
      <alignment horizontal="right" vertical="center" wrapText="1"/>
    </xf>
    <xf numFmtId="3" fontId="6" fillId="14" borderId="59" xfId="1" applyNumberFormat="1" applyFont="1" applyFill="1" applyBorder="1" applyAlignment="1">
      <alignment horizontal="right" vertical="center" wrapText="1"/>
    </xf>
    <xf numFmtId="3" fontId="6" fillId="14" borderId="82" xfId="1" applyNumberFormat="1" applyFont="1" applyFill="1" applyBorder="1" applyAlignment="1">
      <alignment horizontal="right" vertical="center" wrapText="1"/>
    </xf>
    <xf numFmtId="0" fontId="0" fillId="0" borderId="59" xfId="0" applyBorder="1" applyAlignment="1">
      <alignment horizontal="left" vertical="center" wrapText="1"/>
    </xf>
    <xf numFmtId="0" fontId="0" fillId="0" borderId="52" xfId="0" applyBorder="1" applyAlignment="1">
      <alignment horizontal="left" vertical="center" wrapText="1"/>
    </xf>
    <xf numFmtId="3" fontId="0" fillId="0" borderId="59" xfId="1" applyNumberFormat="1" applyFont="1" applyBorder="1" applyAlignment="1">
      <alignment horizontal="right" vertical="center" wrapText="1"/>
    </xf>
    <xf numFmtId="0" fontId="6" fillId="14" borderId="2" xfId="0" applyFont="1" applyFill="1" applyBorder="1" applyAlignment="1">
      <alignment horizontal="right" vertical="center" wrapText="1"/>
    </xf>
    <xf numFmtId="3" fontId="0" fillId="0" borderId="52" xfId="1" applyNumberFormat="1" applyFont="1" applyBorder="1" applyAlignment="1">
      <alignment horizontal="right" vertical="center" wrapText="1"/>
    </xf>
    <xf numFmtId="3" fontId="0" fillId="0" borderId="58" xfId="1" applyNumberFormat="1" applyFont="1" applyBorder="1" applyAlignment="1">
      <alignment horizontal="right" vertical="center" wrapText="1"/>
    </xf>
    <xf numFmtId="3" fontId="6" fillId="14" borderId="50" xfId="0" applyNumberFormat="1" applyFont="1" applyFill="1" applyBorder="1" applyAlignment="1">
      <alignment horizontal="right" vertical="center" wrapText="1"/>
    </xf>
    <xf numFmtId="0" fontId="6" fillId="0" borderId="3" xfId="0" applyFont="1" applyBorder="1" applyAlignment="1">
      <alignment horizontal="right" vertical="center" wrapText="1"/>
    </xf>
    <xf numFmtId="3" fontId="0" fillId="0" borderId="64" xfId="1" applyNumberFormat="1" applyFont="1" applyBorder="1" applyAlignment="1">
      <alignment horizontal="right" vertical="center" wrapText="1"/>
    </xf>
    <xf numFmtId="3" fontId="0" fillId="0" borderId="75" xfId="1" applyNumberFormat="1" applyFont="1" applyBorder="1" applyAlignment="1">
      <alignment horizontal="right" vertical="center" wrapText="1"/>
    </xf>
    <xf numFmtId="3" fontId="6" fillId="14" borderId="3" xfId="1" applyNumberFormat="1" applyFont="1" applyFill="1" applyBorder="1" applyAlignment="1">
      <alignment horizontal="right"/>
    </xf>
    <xf numFmtId="3" fontId="0" fillId="0" borderId="3" xfId="1" applyNumberFormat="1" applyFont="1" applyBorder="1" applyAlignment="1">
      <alignment horizontal="right" vertical="center" wrapText="1"/>
    </xf>
    <xf numFmtId="3" fontId="0" fillId="0" borderId="62" xfId="1" applyNumberFormat="1" applyFont="1" applyBorder="1" applyAlignment="1">
      <alignment horizontal="right" vertical="center" wrapText="1"/>
    </xf>
    <xf numFmtId="3" fontId="0" fillId="3" borderId="1" xfId="1" applyNumberFormat="1" applyFont="1" applyFill="1" applyBorder="1" applyAlignment="1">
      <alignment horizontal="right"/>
    </xf>
    <xf numFmtId="3" fontId="0" fillId="0" borderId="50" xfId="1" applyNumberFormat="1" applyFont="1" applyBorder="1" applyAlignment="1">
      <alignment horizontal="right" vertical="center" wrapText="1"/>
    </xf>
    <xf numFmtId="0" fontId="6" fillId="3" borderId="1" xfId="0" applyFont="1" applyFill="1" applyBorder="1" applyAlignment="1">
      <alignment horizontal="right"/>
    </xf>
    <xf numFmtId="3" fontId="1" fillId="3" borderId="1" xfId="1" applyNumberFormat="1" applyFont="1" applyFill="1" applyBorder="1" applyAlignment="1">
      <alignment horizontal="right" vertical="center"/>
    </xf>
    <xf numFmtId="3" fontId="9" fillId="3" borderId="1" xfId="0" applyNumberFormat="1" applyFont="1" applyFill="1" applyBorder="1" applyAlignment="1">
      <alignment horizontal="right" vertical="center" wrapText="1"/>
    </xf>
    <xf numFmtId="3" fontId="10" fillId="14" borderId="1" xfId="0" applyNumberFormat="1" applyFont="1" applyFill="1" applyBorder="1" applyAlignment="1">
      <alignment horizontal="right" vertical="center" wrapText="1"/>
    </xf>
    <xf numFmtId="0" fontId="6" fillId="0" borderId="62" xfId="0" applyFont="1" applyBorder="1" applyAlignment="1">
      <alignment horizontal="left" vertical="center" wrapText="1"/>
    </xf>
    <xf numFmtId="0" fontId="6" fillId="0" borderId="64" xfId="0" applyFont="1" applyBorder="1" applyAlignment="1">
      <alignment horizontal="left" vertical="center" wrapText="1"/>
    </xf>
    <xf numFmtId="0" fontId="6" fillId="14" borderId="64" xfId="0" applyFont="1" applyFill="1" applyBorder="1" applyAlignment="1">
      <alignment horizontal="left" vertical="center" wrapText="1"/>
    </xf>
    <xf numFmtId="3" fontId="0" fillId="0" borderId="1" xfId="1" applyNumberFormat="1" applyFont="1" applyFill="1" applyBorder="1" applyAlignment="1">
      <alignment horizontal="right" vertical="center" wrapText="1"/>
    </xf>
    <xf numFmtId="0" fontId="0" fillId="0" borderId="1" xfId="0" applyBorder="1" applyAlignment="1">
      <alignment horizontal="left" vertical="center" wrapText="1"/>
    </xf>
    <xf numFmtId="0" fontId="0" fillId="0" borderId="62" xfId="0" applyBorder="1" applyAlignment="1">
      <alignment horizontal="left" vertical="center" wrapText="1"/>
    </xf>
    <xf numFmtId="3" fontId="0" fillId="0" borderId="1" xfId="0" applyNumberFormat="1" applyBorder="1" applyAlignment="1">
      <alignment horizontal="right"/>
    </xf>
    <xf numFmtId="165" fontId="10" fillId="14" borderId="1" xfId="3" applyNumberFormat="1" applyFont="1" applyFill="1" applyBorder="1" applyAlignment="1">
      <alignment horizontal="right" vertical="center"/>
    </xf>
    <xf numFmtId="165" fontId="10" fillId="0" borderId="1" xfId="3" applyNumberFormat="1" applyFont="1" applyFill="1" applyBorder="1" applyAlignment="1">
      <alignment horizontal="right" vertical="center"/>
    </xf>
    <xf numFmtId="3" fontId="0" fillId="0" borderId="82" xfId="0" applyNumberFormat="1" applyBorder="1" applyAlignment="1">
      <alignment horizontal="right" vertical="center" wrapText="1"/>
    </xf>
    <xf numFmtId="3" fontId="0" fillId="0" borderId="52" xfId="0" applyNumberFormat="1" applyBorder="1" applyAlignment="1">
      <alignment horizontal="right" vertical="center" wrapText="1"/>
    </xf>
    <xf numFmtId="3" fontId="6" fillId="14" borderId="52" xfId="0" applyNumberFormat="1" applyFont="1" applyFill="1" applyBorder="1" applyAlignment="1">
      <alignment horizontal="right" vertical="center" wrapText="1"/>
    </xf>
    <xf numFmtId="3" fontId="6" fillId="14" borderId="2" xfId="1" applyNumberFormat="1" applyFont="1" applyFill="1" applyBorder="1" applyAlignment="1">
      <alignment horizontal="right"/>
    </xf>
    <xf numFmtId="164" fontId="9" fillId="3" borderId="1" xfId="2" applyNumberFormat="1" applyFont="1" applyFill="1" applyBorder="1" applyAlignment="1">
      <alignment horizontal="right" vertical="center" wrapText="1"/>
    </xf>
    <xf numFmtId="164" fontId="10" fillId="14" borderId="1" xfId="2" applyNumberFormat="1" applyFont="1" applyFill="1" applyBorder="1" applyAlignment="1">
      <alignment horizontal="right" vertical="center" wrapText="1"/>
    </xf>
    <xf numFmtId="164" fontId="9" fillId="3" borderId="1" xfId="0" applyNumberFormat="1" applyFont="1" applyFill="1" applyBorder="1" applyAlignment="1">
      <alignment horizontal="right" vertical="center" wrapText="1"/>
    </xf>
    <xf numFmtId="164" fontId="10" fillId="14" borderId="1" xfId="0" applyNumberFormat="1" applyFont="1" applyFill="1" applyBorder="1" applyAlignment="1">
      <alignment horizontal="right" vertical="center" wrapText="1"/>
    </xf>
    <xf numFmtId="0" fontId="31" fillId="0" borderId="1" xfId="0" applyFont="1" applyBorder="1" applyAlignment="1">
      <alignment horizontal="left" vertical="center"/>
    </xf>
    <xf numFmtId="0" fontId="31" fillId="0" borderId="1" xfId="0" applyFont="1" applyBorder="1" applyAlignment="1">
      <alignment horizontal="left" vertical="center" wrapText="1"/>
    </xf>
    <xf numFmtId="0" fontId="31" fillId="14" borderId="1" xfId="0" applyFont="1" applyFill="1" applyBorder="1" applyAlignment="1">
      <alignment horizontal="left" vertical="center"/>
    </xf>
    <xf numFmtId="0" fontId="31" fillId="0" borderId="1" xfId="0" applyFont="1" applyBorder="1" applyAlignment="1">
      <alignment horizontal="right" vertical="center" wrapText="1"/>
    </xf>
    <xf numFmtId="170" fontId="31" fillId="0" borderId="1" xfId="0" applyNumberFormat="1" applyFont="1" applyBorder="1" applyAlignment="1">
      <alignment horizontal="right" vertical="center" wrapText="1"/>
    </xf>
    <xf numFmtId="3" fontId="32" fillId="0" borderId="1" xfId="0" applyNumberFormat="1" applyFont="1" applyBorder="1" applyAlignment="1">
      <alignment horizontal="right" vertical="center"/>
    </xf>
    <xf numFmtId="3" fontId="33" fillId="0" borderId="1" xfId="0" applyNumberFormat="1" applyFont="1" applyBorder="1" applyAlignment="1">
      <alignment horizontal="right" vertical="center"/>
    </xf>
    <xf numFmtId="3" fontId="31" fillId="14" borderId="1" xfId="0" applyNumberFormat="1" applyFont="1" applyFill="1" applyBorder="1" applyAlignment="1">
      <alignment horizontal="right" vertical="center"/>
    </xf>
    <xf numFmtId="0" fontId="10" fillId="0" borderId="1" xfId="0" applyFont="1" applyBorder="1" applyAlignment="1">
      <alignment horizontal="left" vertical="center"/>
    </xf>
    <xf numFmtId="0" fontId="5" fillId="14" borderId="1" xfId="0" applyFont="1" applyFill="1" applyBorder="1" applyAlignment="1">
      <alignment horizontal="left" vertical="center" wrapText="1"/>
    </xf>
    <xf numFmtId="0" fontId="5" fillId="14" borderId="1" xfId="0" applyFont="1" applyFill="1" applyBorder="1" applyAlignment="1">
      <alignment horizontal="left" vertical="center"/>
    </xf>
    <xf numFmtId="17" fontId="5" fillId="0" borderId="1" xfId="0" applyNumberFormat="1" applyFont="1" applyBorder="1" applyAlignment="1">
      <alignment horizontal="left" vertical="center"/>
    </xf>
    <xf numFmtId="0" fontId="10" fillId="0" borderId="1" xfId="0" applyFont="1" applyBorder="1" applyAlignment="1">
      <alignment horizontal="right" vertical="center" wrapText="1"/>
    </xf>
    <xf numFmtId="3" fontId="5" fillId="14" borderId="1" xfId="0" applyNumberFormat="1" applyFont="1" applyFill="1" applyBorder="1" applyAlignment="1">
      <alignment horizontal="right" vertical="center"/>
    </xf>
    <xf numFmtId="3" fontId="17" fillId="0" borderId="1" xfId="0" applyNumberFormat="1" applyFont="1" applyBorder="1" applyAlignment="1">
      <alignment horizontal="right" vertical="center"/>
    </xf>
    <xf numFmtId="3" fontId="32" fillId="14" borderId="1" xfId="0" applyNumberFormat="1" applyFont="1" applyFill="1" applyBorder="1" applyAlignment="1">
      <alignment horizontal="right" vertical="center" wrapText="1"/>
    </xf>
    <xf numFmtId="3" fontId="34" fillId="14" borderId="1" xfId="0" applyNumberFormat="1" applyFont="1" applyFill="1" applyBorder="1" applyAlignment="1">
      <alignment horizontal="right" vertical="center" wrapText="1"/>
    </xf>
    <xf numFmtId="3" fontId="32" fillId="0" borderId="1" xfId="0" applyNumberFormat="1" applyFont="1" applyBorder="1" applyAlignment="1">
      <alignment horizontal="right" vertical="center" wrapText="1"/>
    </xf>
    <xf numFmtId="3" fontId="34" fillId="14" borderId="1" xfId="0" applyNumberFormat="1" applyFont="1" applyFill="1" applyBorder="1" applyAlignment="1">
      <alignment horizontal="right" vertical="center"/>
    </xf>
    <xf numFmtId="0" fontId="34" fillId="14" borderId="1" xfId="0" applyFont="1" applyFill="1" applyBorder="1" applyAlignment="1">
      <alignment horizontal="left" vertical="center" wrapText="1"/>
    </xf>
    <xf numFmtId="17" fontId="10" fillId="0" borderId="1" xfId="0" applyNumberFormat="1" applyFont="1" applyBorder="1" applyAlignment="1">
      <alignment horizontal="left" vertical="center" wrapText="1"/>
    </xf>
    <xf numFmtId="0" fontId="10" fillId="0" borderId="1" xfId="0" applyFont="1" applyBorder="1" applyAlignment="1">
      <alignment horizontal="right" vertical="center"/>
    </xf>
    <xf numFmtId="3" fontId="9" fillId="0" borderId="1"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0" fontId="10" fillId="0" borderId="50" xfId="0" applyFont="1" applyBorder="1" applyAlignment="1">
      <alignment horizontal="left" vertical="center" wrapText="1"/>
    </xf>
    <xf numFmtId="17" fontId="6" fillId="0" borderId="1" xfId="0" applyNumberFormat="1" applyFont="1" applyBorder="1" applyAlignment="1">
      <alignment horizontal="left"/>
    </xf>
    <xf numFmtId="3" fontId="1" fillId="0" borderId="1" xfId="4" applyNumberFormat="1" applyFont="1" applyFill="1" applyBorder="1" applyAlignment="1">
      <alignment horizontal="right" vertical="center"/>
    </xf>
    <xf numFmtId="17" fontId="6" fillId="0" borderId="1" xfId="0" quotePrefix="1" applyNumberFormat="1" applyFont="1" applyBorder="1" applyAlignment="1">
      <alignment horizontal="left"/>
    </xf>
    <xf numFmtId="0" fontId="10" fillId="0" borderId="1" xfId="0" applyFont="1" applyBorder="1" applyAlignment="1">
      <alignment horizontal="right"/>
    </xf>
    <xf numFmtId="3" fontId="1" fillId="0" borderId="1" xfId="4" applyNumberFormat="1" applyFont="1" applyFill="1" applyBorder="1" applyAlignment="1">
      <alignment vertical="center"/>
    </xf>
    <xf numFmtId="3" fontId="0" fillId="0" borderId="1" xfId="0" applyNumberFormat="1" applyBorder="1" applyAlignment="1">
      <alignment vertical="center"/>
    </xf>
    <xf numFmtId="17" fontId="6" fillId="0" borderId="3" xfId="0" applyNumberFormat="1" applyFont="1" applyBorder="1" applyAlignment="1">
      <alignment horizontal="left"/>
    </xf>
    <xf numFmtId="17" fontId="6" fillId="3" borderId="1" xfId="0" applyNumberFormat="1" applyFont="1" applyFill="1" applyBorder="1" applyAlignment="1">
      <alignment horizontal="left"/>
    </xf>
    <xf numFmtId="3" fontId="1" fillId="0" borderId="1" xfId="4" applyNumberFormat="1" applyFont="1" applyFill="1" applyBorder="1" applyAlignment="1">
      <alignment horizontal="right"/>
    </xf>
    <xf numFmtId="9" fontId="6" fillId="0" borderId="1" xfId="0" quotePrefix="1" applyNumberFormat="1" applyFont="1" applyBorder="1" applyAlignment="1">
      <alignment horizontal="right" vertical="center" wrapText="1"/>
    </xf>
    <xf numFmtId="3" fontId="0" fillId="0" borderId="2" xfId="0" applyNumberFormat="1" applyBorder="1" applyAlignment="1">
      <alignment horizontal="right" vertical="center" wrapText="1"/>
    </xf>
    <xf numFmtId="9" fontId="1" fillId="0" borderId="1" xfId="2" applyFont="1" applyBorder="1" applyAlignment="1">
      <alignment horizontal="right" vertical="center" wrapText="1"/>
    </xf>
    <xf numFmtId="3" fontId="1" fillId="0" borderId="1" xfId="1" applyNumberFormat="1" applyFont="1" applyBorder="1" applyAlignment="1">
      <alignment horizontal="right" vertical="center" wrapText="1"/>
    </xf>
    <xf numFmtId="3" fontId="1" fillId="0" borderId="1" xfId="1" applyNumberFormat="1" applyFont="1" applyFill="1" applyBorder="1" applyAlignment="1">
      <alignment horizontal="right" vertical="center" wrapText="1"/>
    </xf>
    <xf numFmtId="0" fontId="44" fillId="2" borderId="0" xfId="0" applyFont="1" applyFill="1"/>
    <xf numFmtId="17" fontId="6" fillId="14" borderId="1" xfId="0" applyNumberFormat="1" applyFont="1" applyFill="1" applyBorder="1" applyAlignment="1">
      <alignment horizontal="left" vertical="center" wrapText="1"/>
    </xf>
    <xf numFmtId="17" fontId="6" fillId="14" borderId="1" xfId="0" applyNumberFormat="1" applyFont="1" applyFill="1" applyBorder="1" applyAlignment="1">
      <alignment horizontal="left"/>
    </xf>
    <xf numFmtId="3" fontId="6" fillId="14" borderId="1" xfId="4" applyNumberFormat="1" applyFont="1" applyFill="1" applyBorder="1" applyAlignment="1">
      <alignment horizontal="right" vertical="center"/>
    </xf>
    <xf numFmtId="3" fontId="10" fillId="14" borderId="1" xfId="4" applyNumberFormat="1" applyFont="1" applyFill="1" applyBorder="1" applyAlignment="1">
      <alignment horizontal="right" vertical="center"/>
    </xf>
    <xf numFmtId="17" fontId="6" fillId="14" borderId="1" xfId="0" applyNumberFormat="1" applyFont="1" applyFill="1" applyBorder="1" applyAlignment="1">
      <alignment horizontal="left" wrapText="1"/>
    </xf>
    <xf numFmtId="17" fontId="6" fillId="14" borderId="1" xfId="0" quotePrefix="1" applyNumberFormat="1" applyFont="1" applyFill="1" applyBorder="1" applyAlignment="1">
      <alignment horizontal="left"/>
    </xf>
    <xf numFmtId="3" fontId="6" fillId="14" borderId="1" xfId="4" applyNumberFormat="1" applyFont="1" applyFill="1" applyBorder="1" applyAlignment="1">
      <alignment vertical="center"/>
    </xf>
    <xf numFmtId="3" fontId="6" fillId="14" borderId="1" xfId="0" applyNumberFormat="1" applyFont="1" applyFill="1" applyBorder="1" applyAlignment="1">
      <alignment vertical="center"/>
    </xf>
    <xf numFmtId="17" fontId="6" fillId="14" borderId="1" xfId="0" quotePrefix="1" applyNumberFormat="1" applyFont="1" applyFill="1" applyBorder="1" applyAlignment="1">
      <alignment horizontal="left" wrapText="1"/>
    </xf>
    <xf numFmtId="17" fontId="6" fillId="14" borderId="3" xfId="0" applyNumberFormat="1" applyFont="1" applyFill="1" applyBorder="1" applyAlignment="1">
      <alignment horizontal="left"/>
    </xf>
    <xf numFmtId="3" fontId="6" fillId="14" borderId="1" xfId="0" applyNumberFormat="1" applyFont="1" applyFill="1" applyBorder="1" applyAlignment="1">
      <alignment horizontal="right"/>
    </xf>
    <xf numFmtId="3" fontId="6" fillId="14" borderId="1" xfId="4" applyNumberFormat="1" applyFont="1" applyFill="1" applyBorder="1" applyAlignment="1">
      <alignment horizontal="right"/>
    </xf>
    <xf numFmtId="0" fontId="6" fillId="14" borderId="3" xfId="0" applyFont="1" applyFill="1" applyBorder="1" applyAlignment="1">
      <alignment horizontal="left"/>
    </xf>
    <xf numFmtId="171" fontId="6" fillId="14" borderId="1" xfId="0" applyNumberFormat="1" applyFont="1" applyFill="1" applyBorder="1" applyAlignment="1">
      <alignment horizontal="right" vertical="center"/>
    </xf>
    <xf numFmtId="0" fontId="6" fillId="14" borderId="3" xfId="0" applyFont="1" applyFill="1" applyBorder="1" applyAlignment="1">
      <alignment horizontal="left" wrapText="1"/>
    </xf>
    <xf numFmtId="0" fontId="6" fillId="14" borderId="1" xfId="0" applyFont="1" applyFill="1" applyBorder="1" applyAlignment="1">
      <alignment horizontal="left" wrapText="1"/>
    </xf>
    <xf numFmtId="0" fontId="43" fillId="0" borderId="0" xfId="5" applyFont="1" applyAlignment="1" applyProtection="1"/>
    <xf numFmtId="0" fontId="22" fillId="0" borderId="0" xfId="5" applyAlignment="1" applyProtection="1"/>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6" fillId="0" borderId="3" xfId="0" applyFont="1" applyBorder="1" applyAlignment="1">
      <alignment horizontal="right"/>
    </xf>
    <xf numFmtId="0" fontId="6" fillId="0" borderId="4" xfId="0" applyFont="1" applyBorder="1" applyAlignment="1">
      <alignment horizontal="right"/>
    </xf>
    <xf numFmtId="0" fontId="6" fillId="0" borderId="2" xfId="0" applyFont="1" applyBorder="1" applyAlignment="1">
      <alignment horizontal="right"/>
    </xf>
    <xf numFmtId="0" fontId="6" fillId="0" borderId="3" xfId="0" applyFont="1" applyBorder="1" applyAlignment="1">
      <alignment horizontal="right" vertical="center"/>
    </xf>
    <xf numFmtId="0" fontId="6" fillId="0" borderId="2" xfId="0" applyFont="1" applyBorder="1" applyAlignment="1">
      <alignment horizontal="right" vertical="center"/>
    </xf>
    <xf numFmtId="0" fontId="7" fillId="0" borderId="0" xfId="0" quotePrefix="1" applyFont="1" applyAlignment="1">
      <alignment horizontal="left" vertical="top" wrapText="1"/>
    </xf>
    <xf numFmtId="0" fontId="6" fillId="0" borderId="1" xfId="0" applyFont="1" applyBorder="1" applyAlignment="1">
      <alignment horizontal="right"/>
    </xf>
    <xf numFmtId="170" fontId="6" fillId="0" borderId="50" xfId="0" quotePrefix="1" applyNumberFormat="1" applyFont="1" applyBorder="1" applyAlignment="1">
      <alignment horizontal="left" vertical="center"/>
    </xf>
    <xf numFmtId="170" fontId="6" fillId="0" borderId="51" xfId="0" quotePrefix="1" applyNumberFormat="1" applyFont="1" applyBorder="1" applyAlignment="1">
      <alignment horizontal="left" vertical="center"/>
    </xf>
    <xf numFmtId="170" fontId="6" fillId="0" borderId="12" xfId="0" quotePrefix="1" applyNumberFormat="1" applyFont="1" applyBorder="1" applyAlignment="1">
      <alignment horizontal="left" vertical="center"/>
    </xf>
    <xf numFmtId="0" fontId="6" fillId="0" borderId="50"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left" vertical="center" wrapText="1"/>
    </xf>
    <xf numFmtId="0" fontId="7" fillId="0" borderId="0" xfId="0" quotePrefix="1" applyFont="1" applyAlignment="1">
      <alignment horizontal="left" vertical="center" wrapText="1"/>
    </xf>
    <xf numFmtId="0" fontId="6" fillId="14" borderId="1" xfId="0" applyFont="1" applyFill="1" applyBorder="1" applyAlignment="1">
      <alignment horizontal="right"/>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16" borderId="1" xfId="0" applyFont="1" applyFill="1" applyBorder="1" applyAlignment="1">
      <alignment horizontal="right"/>
    </xf>
    <xf numFmtId="0" fontId="6" fillId="17" borderId="1" xfId="0" applyFont="1" applyFill="1" applyBorder="1" applyAlignment="1">
      <alignment horizontal="right"/>
    </xf>
    <xf numFmtId="172" fontId="6" fillId="15" borderId="1" xfId="0" applyNumberFormat="1" applyFont="1" applyFill="1" applyBorder="1" applyAlignment="1">
      <alignment horizontal="right"/>
    </xf>
    <xf numFmtId="172" fontId="6" fillId="16" borderId="1" xfId="0" applyNumberFormat="1" applyFont="1" applyFill="1" applyBorder="1" applyAlignment="1">
      <alignment horizontal="right"/>
    </xf>
    <xf numFmtId="172" fontId="6" fillId="17" borderId="1" xfId="0" applyNumberFormat="1" applyFont="1" applyFill="1" applyBorder="1" applyAlignment="1">
      <alignment horizontal="right"/>
    </xf>
    <xf numFmtId="0" fontId="6" fillId="15" borderId="1" xfId="0" applyFont="1" applyFill="1" applyBorder="1" applyAlignment="1">
      <alignment horizontal="right"/>
    </xf>
    <xf numFmtId="170" fontId="6" fillId="0" borderId="1" xfId="0" quotePrefix="1" applyNumberFormat="1" applyFont="1" applyBorder="1" applyAlignment="1">
      <alignment horizontal="left" vertical="center"/>
    </xf>
    <xf numFmtId="170" fontId="6" fillId="0" borderId="1" xfId="0" applyNumberFormat="1" applyFont="1" applyBorder="1" applyAlignment="1">
      <alignment horizontal="left" vertical="center"/>
    </xf>
    <xf numFmtId="0" fontId="13" fillId="0" borderId="0" xfId="0" quotePrefix="1" applyFont="1" applyAlignment="1">
      <alignment horizontal="left" vertical="top"/>
    </xf>
    <xf numFmtId="170" fontId="6" fillId="0" borderId="51" xfId="0" applyNumberFormat="1" applyFont="1" applyBorder="1" applyAlignment="1">
      <alignment horizontal="left" vertical="center"/>
    </xf>
    <xf numFmtId="0" fontId="6" fillId="0" borderId="0" xfId="0" applyFont="1" applyAlignment="1">
      <alignment horizontal="center"/>
    </xf>
    <xf numFmtId="0" fontId="22" fillId="0" borderId="0" xfId="5" applyFill="1" applyAlignment="1" applyProtection="1"/>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3" borderId="3" xfId="0" applyFont="1" applyFill="1" applyBorder="1" applyAlignment="1">
      <alignment horizontal="right" vertical="center" wrapText="1"/>
    </xf>
    <xf numFmtId="0" fontId="10" fillId="3" borderId="4" xfId="0" applyFont="1" applyFill="1" applyBorder="1" applyAlignment="1">
      <alignment horizontal="right" vertical="center" wrapText="1"/>
    </xf>
    <xf numFmtId="0" fontId="10" fillId="3" borderId="2" xfId="0" applyFont="1" applyFill="1" applyBorder="1" applyAlignment="1">
      <alignment horizontal="right"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0" fontId="7" fillId="3" borderId="5" xfId="0" applyFont="1" applyFill="1" applyBorder="1" applyAlignment="1">
      <alignment horizontal="left" vertical="top" wrapText="1"/>
    </xf>
    <xf numFmtId="0" fontId="10" fillId="14" borderId="1" xfId="0" applyFont="1" applyFill="1" applyBorder="1" applyAlignment="1">
      <alignment horizontal="right" vertical="center" wrapText="1"/>
    </xf>
    <xf numFmtId="0" fontId="10" fillId="3" borderId="1" xfId="0" applyFont="1" applyFill="1" applyBorder="1" applyAlignment="1">
      <alignment horizontal="right" vertical="center" wrapText="1"/>
    </xf>
    <xf numFmtId="165" fontId="10" fillId="0" borderId="1" xfId="3" applyNumberFormat="1" applyFont="1" applyFill="1" applyBorder="1" applyAlignment="1">
      <alignment horizontal="left" vertical="center" wrapText="1"/>
    </xf>
    <xf numFmtId="0" fontId="6" fillId="14"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6" fillId="0" borderId="30" xfId="0" applyFont="1" applyBorder="1" applyAlignment="1">
      <alignment horizontal="left" vertical="center" wrapText="1"/>
    </xf>
    <xf numFmtId="0" fontId="6" fillId="0" borderId="32" xfId="0" applyFont="1" applyBorder="1" applyAlignment="1">
      <alignment horizontal="left" vertical="center" wrapText="1"/>
    </xf>
    <xf numFmtId="0" fontId="6" fillId="0" borderId="13" xfId="0" applyFont="1" applyBorder="1" applyAlignment="1">
      <alignment horizontal="left" vertical="center" wrapText="1"/>
    </xf>
    <xf numFmtId="0" fontId="6" fillId="0" borderId="1" xfId="0" applyFont="1" applyBorder="1" applyAlignment="1">
      <alignment horizontal="right" vertical="center" wrapText="1"/>
    </xf>
    <xf numFmtId="0" fontId="6" fillId="14" borderId="1" xfId="0" applyFont="1" applyFill="1" applyBorder="1" applyAlignment="1">
      <alignment horizontal="right" vertical="center"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14" borderId="30" xfId="0" applyFont="1" applyFill="1" applyBorder="1" applyAlignment="1">
      <alignment horizontal="right" vertical="center"/>
    </xf>
    <xf numFmtId="0" fontId="6" fillId="14" borderId="5" xfId="0" applyFont="1" applyFill="1" applyBorder="1" applyAlignment="1">
      <alignment horizontal="right" vertical="center"/>
    </xf>
    <xf numFmtId="0" fontId="6" fillId="14" borderId="31" xfId="0" applyFont="1" applyFill="1" applyBorder="1" applyAlignment="1">
      <alignment horizontal="right" vertical="center"/>
    </xf>
    <xf numFmtId="0" fontId="6" fillId="14" borderId="13" xfId="0" applyFont="1" applyFill="1" applyBorder="1" applyAlignment="1">
      <alignment horizontal="right" vertical="center"/>
    </xf>
    <xf numFmtId="0" fontId="6" fillId="14" borderId="34" xfId="0" applyFont="1" applyFill="1" applyBorder="1" applyAlignment="1">
      <alignment horizontal="right" vertical="center"/>
    </xf>
    <xf numFmtId="0" fontId="6" fillId="14" borderId="11" xfId="0" applyFont="1" applyFill="1" applyBorder="1" applyAlignment="1">
      <alignment horizontal="right"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7" fillId="3" borderId="0" xfId="0" applyFont="1" applyFill="1" applyAlignment="1">
      <alignment horizontal="left" vertical="center" wrapText="1"/>
    </xf>
    <xf numFmtId="17" fontId="10" fillId="0" borderId="0" xfId="0" applyNumberFormat="1" applyFont="1" applyAlignment="1">
      <alignment horizontal="center" vertical="center" wrapText="1"/>
    </xf>
    <xf numFmtId="0" fontId="6" fillId="0" borderId="50" xfId="0" applyFont="1" applyBorder="1" applyAlignment="1">
      <alignment horizontal="left" vertical="center"/>
    </xf>
    <xf numFmtId="0" fontId="6" fillId="0" borderId="51" xfId="0" applyFont="1" applyBorder="1" applyAlignment="1">
      <alignment horizontal="left" vertical="center"/>
    </xf>
    <xf numFmtId="0" fontId="6" fillId="0" borderId="12" xfId="0" applyFont="1" applyBorder="1" applyAlignment="1">
      <alignment horizontal="left" vertical="center"/>
    </xf>
    <xf numFmtId="0" fontId="4" fillId="3" borderId="0" xfId="0" applyFont="1" applyFill="1" applyAlignment="1">
      <alignment horizontal="left"/>
    </xf>
    <xf numFmtId="0" fontId="6" fillId="3" borderId="50" xfId="0" applyFont="1" applyFill="1" applyBorder="1" applyAlignment="1">
      <alignment horizontal="right"/>
    </xf>
    <xf numFmtId="0" fontId="6" fillId="3" borderId="1" xfId="0" applyFont="1" applyFill="1" applyBorder="1" applyAlignment="1">
      <alignment horizontal="left" vertical="center"/>
    </xf>
    <xf numFmtId="0" fontId="4" fillId="0" borderId="0" xfId="0" applyFont="1" applyAlignment="1">
      <alignment horizontal="left"/>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165" fontId="10" fillId="14" borderId="1" xfId="3" applyNumberFormat="1" applyFont="1" applyFill="1" applyBorder="1" applyAlignment="1">
      <alignment horizontal="right" vertical="center"/>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165" fontId="10" fillId="0" borderId="1" xfId="3" applyNumberFormat="1" applyFont="1" applyFill="1" applyBorder="1" applyAlignment="1">
      <alignment horizontal="right" vertical="center"/>
    </xf>
    <xf numFmtId="165" fontId="10" fillId="0" borderId="3" xfId="3" applyNumberFormat="1" applyFont="1" applyFill="1" applyBorder="1" applyAlignment="1">
      <alignment horizontal="right" vertical="center"/>
    </xf>
    <xf numFmtId="165" fontId="10" fillId="0" borderId="4" xfId="3" applyNumberFormat="1" applyFont="1" applyFill="1" applyBorder="1" applyAlignment="1">
      <alignment horizontal="right" vertical="center"/>
    </xf>
    <xf numFmtId="165" fontId="10" fillId="0" borderId="2" xfId="3" applyNumberFormat="1" applyFont="1" applyFill="1" applyBorder="1" applyAlignment="1">
      <alignment horizontal="right" vertical="center"/>
    </xf>
    <xf numFmtId="0" fontId="3" fillId="2" borderId="0" xfId="0" applyFont="1" applyFill="1" applyAlignment="1">
      <alignment horizontal="left"/>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6" fillId="14" borderId="1" xfId="0" applyFont="1" applyFill="1" applyBorder="1" applyAlignment="1">
      <alignment horizontal="right" vertical="center"/>
    </xf>
    <xf numFmtId="0" fontId="31" fillId="0" borderId="1" xfId="0" applyFont="1" applyBorder="1" applyAlignment="1">
      <alignment horizontal="left" vertical="center"/>
    </xf>
    <xf numFmtId="0" fontId="31" fillId="0" borderId="1" xfId="0" applyFont="1" applyBorder="1" applyAlignment="1">
      <alignment horizontal="left" vertical="center" wrapText="1"/>
    </xf>
    <xf numFmtId="0" fontId="31" fillId="0" borderId="3" xfId="0" applyFont="1" applyBorder="1" applyAlignment="1">
      <alignment horizontal="right" vertical="center"/>
    </xf>
    <xf numFmtId="0" fontId="31" fillId="0" borderId="2" xfId="0" applyFont="1" applyBorder="1" applyAlignment="1">
      <alignment horizontal="right" vertical="center"/>
    </xf>
    <xf numFmtId="0" fontId="34" fillId="14" borderId="3" xfId="0" applyFont="1" applyFill="1" applyBorder="1" applyAlignment="1">
      <alignment horizontal="left" vertical="center"/>
    </xf>
    <xf numFmtId="0" fontId="34" fillId="14" borderId="4" xfId="0" applyFont="1" applyFill="1" applyBorder="1" applyAlignment="1">
      <alignment horizontal="left" vertical="center"/>
    </xf>
    <xf numFmtId="0" fontId="34" fillId="14" borderId="2" xfId="0" applyFont="1" applyFill="1" applyBorder="1" applyAlignment="1">
      <alignment horizontal="left" vertical="center"/>
    </xf>
    <xf numFmtId="0" fontId="31" fillId="0" borderId="50" xfId="0" applyFont="1" applyBorder="1" applyAlignment="1">
      <alignment horizontal="left" vertical="center" wrapText="1"/>
    </xf>
    <xf numFmtId="0" fontId="31" fillId="0" borderId="12" xfId="0" applyFont="1" applyBorder="1" applyAlignment="1">
      <alignment horizontal="left" vertical="center" wrapText="1"/>
    </xf>
    <xf numFmtId="0" fontId="31" fillId="0" borderId="3" xfId="0" applyFont="1" applyBorder="1" applyAlignment="1">
      <alignment horizontal="right" vertical="center" wrapText="1"/>
    </xf>
    <xf numFmtId="0" fontId="31" fillId="14" borderId="1" xfId="0" applyFont="1" applyFill="1" applyBorder="1" applyAlignment="1">
      <alignment horizontal="left" vertical="center" wrapText="1"/>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left" vertical="center" wrapText="1"/>
    </xf>
    <xf numFmtId="0" fontId="10" fillId="0" borderId="1" xfId="0" applyFont="1" applyBorder="1" applyAlignment="1">
      <alignment horizontal="right" vertical="center"/>
    </xf>
    <xf numFmtId="0" fontId="10" fillId="0" borderId="1" xfId="0" applyFont="1" applyBorder="1" applyAlignment="1">
      <alignment horizontal="right" vertical="center" wrapText="1"/>
    </xf>
    <xf numFmtId="0" fontId="10" fillId="0" borderId="50" xfId="0" applyFont="1" applyBorder="1" applyAlignment="1">
      <alignment horizontal="right" vertical="center" wrapText="1"/>
    </xf>
    <xf numFmtId="0" fontId="10" fillId="0" borderId="12" xfId="0" applyFont="1" applyBorder="1" applyAlignment="1">
      <alignment horizontal="right" vertical="center" wrapText="1"/>
    </xf>
    <xf numFmtId="0" fontId="10" fillId="0" borderId="1" xfId="0" applyFont="1" applyBorder="1" applyAlignment="1">
      <alignment horizontal="left" vertical="center"/>
    </xf>
    <xf numFmtId="0" fontId="6" fillId="0" borderId="1" xfId="0" applyFont="1" applyBorder="1" applyAlignment="1">
      <alignment horizontal="right"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10" fillId="0" borderId="2" xfId="0" applyFont="1" applyBorder="1" applyAlignment="1">
      <alignment horizontal="right" vertical="center" wrapText="1"/>
    </xf>
    <xf numFmtId="0" fontId="10" fillId="0" borderId="50" xfId="0" applyFont="1" applyBorder="1" applyAlignment="1">
      <alignment horizontal="left" vertical="center" wrapText="1"/>
    </xf>
    <xf numFmtId="0" fontId="10" fillId="0" borderId="12" xfId="0" applyFont="1" applyBorder="1" applyAlignment="1">
      <alignment horizontal="left" vertical="center" wrapText="1"/>
    </xf>
    <xf numFmtId="0" fontId="10" fillId="0" borderId="51" xfId="0" applyFont="1" applyBorder="1" applyAlignment="1">
      <alignment horizontal="righ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1" fontId="6" fillId="14" borderId="3" xfId="0" applyNumberFormat="1" applyFont="1" applyFill="1" applyBorder="1" applyAlignment="1">
      <alignment horizontal="left"/>
    </xf>
    <xf numFmtId="1" fontId="6" fillId="14" borderId="4" xfId="0" applyNumberFormat="1" applyFont="1" applyFill="1" applyBorder="1" applyAlignment="1">
      <alignment horizontal="left"/>
    </xf>
    <xf numFmtId="1" fontId="6" fillId="14" borderId="2" xfId="0" applyNumberFormat="1" applyFont="1" applyFill="1" applyBorder="1" applyAlignment="1">
      <alignment horizontal="left"/>
    </xf>
    <xf numFmtId="0" fontId="10" fillId="0" borderId="1" xfId="0" applyFont="1" applyBorder="1" applyAlignment="1">
      <alignment horizontal="right"/>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6" fillId="2" borderId="0" xfId="0" applyFont="1" applyFill="1" applyAlignment="1">
      <alignment horizontal="left" vertical="top" wrapText="1"/>
    </xf>
    <xf numFmtId="0" fontId="24" fillId="4" borderId="1" xfId="0" applyFont="1" applyFill="1" applyBorder="1" applyAlignment="1">
      <alignment horizontal="center" vertical="center"/>
    </xf>
    <xf numFmtId="0" fontId="25" fillId="3" borderId="0" xfId="0" applyFont="1" applyFill="1" applyAlignment="1">
      <alignment horizontal="center" vertical="center"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7" fillId="0" borderId="0" xfId="0" quotePrefix="1" applyFont="1" applyFill="1" applyAlignment="1">
      <alignment vertical="top"/>
    </xf>
    <xf numFmtId="0" fontId="7" fillId="0" borderId="0" xfId="0" applyFont="1" applyFill="1" applyAlignment="1">
      <alignment horizontal="left" vertical="center" wrapText="1"/>
    </xf>
  </cellXfs>
  <cellStyles count="20">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2 2" xfId="18" xr:uid="{19D5D21D-AC0A-4B2F-83E9-AB625CB3C17F}"/>
    <cellStyle name="Millares [0] 3" xfId="9" xr:uid="{9C7E356D-B969-4636-9991-5E76F002E267}"/>
    <cellStyle name="Millares [0] 3 2" xfId="19" xr:uid="{FFC7947C-BA7B-4D28-B0DF-9D47D06C14B0}"/>
    <cellStyle name="Millares [0] 4" xfId="17" xr:uid="{0F25F931-A391-4735-A14B-D4A08CAF9EE1}"/>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3.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40</xdr:col>
      <xdr:colOff>0</xdr:colOff>
      <xdr:row>1</xdr:row>
      <xdr:rowOff>0</xdr:rowOff>
    </xdr:from>
    <xdr:to>
      <xdr:col>42</xdr:col>
      <xdr:colOff>294715</xdr:colOff>
      <xdr:row>3</xdr:row>
      <xdr:rowOff>52918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30AE161D-8476-4A16-A167-A362F5FF0F23}"/>
            </a:ext>
          </a:extLst>
        </xdr:cNvPr>
        <xdr:cNvSpPr/>
      </xdr:nvSpPr>
      <xdr:spPr>
        <a:xfrm>
          <a:off x="41938575"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42</xdr:col>
      <xdr:colOff>610224</xdr:colOff>
      <xdr:row>1</xdr:row>
      <xdr:rowOff>6101</xdr:rowOff>
    </xdr:from>
    <xdr:to>
      <xdr:col>45</xdr:col>
      <xdr:colOff>88339</xdr:colOff>
      <xdr:row>3</xdr:row>
      <xdr:rowOff>59019</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C70365D5-5153-46E4-9382-9E2F02EE54B3}"/>
            </a:ext>
          </a:extLst>
        </xdr:cNvPr>
        <xdr:cNvSpPr/>
      </xdr:nvSpPr>
      <xdr:spPr>
        <a:xfrm>
          <a:off x="44072799"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209550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492818" y="318808"/>
          <a:ext cx="1998009" cy="56701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190500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748436" y="324908"/>
          <a:ext cx="1959909" cy="54186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310404</xdr:colOff>
      <xdr:row>1</xdr:row>
      <xdr:rowOff>0</xdr:rowOff>
    </xdr:from>
    <xdr:to>
      <xdr:col>24</xdr:col>
      <xdr:colOff>57151</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7693529" y="190500"/>
          <a:ext cx="1947022"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76200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3458825" y="194983"/>
          <a:ext cx="1826559" cy="55749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47625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617078" y="190500"/>
          <a:ext cx="1826559" cy="5334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38:AI412" sheet="1.4"/>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38:K412" sheet="1.4"/>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41:AO415" sheet="1.5"/>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103:W114" sheet="1.3"/>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43">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2">
      <pivotArea collapsedLevelsAreSubtotals="1" fieldPosition="0">
        <references count="1">
          <reference field="23" count="1">
            <x v="11"/>
          </reference>
        </references>
      </pivotArea>
    </format>
    <format dxfId="41">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0">
      <pivotArea collapsedLevelsAreSubtotals="1" fieldPosition="0">
        <references count="1">
          <reference field="23" count="1">
            <x v="12"/>
          </reference>
        </references>
      </pivotArea>
    </format>
    <format dxfId="39">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50">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9">
      <pivotArea collapsedLevelsAreSubtotals="1" fieldPosition="0">
        <references count="1">
          <reference field="23" count="1">
            <x v="11"/>
          </reference>
        </references>
      </pivotArea>
    </format>
    <format dxfId="48">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7">
      <pivotArea collapsedLevelsAreSubtotals="1" fieldPosition="0">
        <references count="1">
          <reference field="23" count="1">
            <x v="12"/>
          </reference>
        </references>
      </pivotArea>
    </format>
    <format dxfId="46">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7">
      <pivotArea outline="0" collapsedLevelsAreSubtotals="1" fieldPosition="0"/>
    </format>
    <format dxfId="6">
      <pivotArea collapsedLevelsAreSubtotals="1" fieldPosition="0">
        <references count="1">
          <reference field="42" count="1">
            <x v="14"/>
          </reference>
        </references>
      </pivotArea>
    </format>
    <format dxfId="5">
      <pivotArea dataOnly="0" labelOnly="1" fieldPosition="0">
        <references count="1">
          <reference field="42" count="1">
            <x v="14"/>
          </reference>
        </references>
      </pivotArea>
    </format>
    <format dxfId="4">
      <pivotArea collapsedLevelsAreSubtotals="1" fieldPosition="0">
        <references count="1">
          <reference field="42" count="1">
            <x v="15"/>
          </reference>
        </references>
      </pivotArea>
    </format>
    <format dxfId="3">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16">
      <pivotArea outline="0" collapsedLevelsAreSubtotals="1" fieldPosition="0"/>
    </format>
    <format dxfId="15">
      <pivotArea collapsedLevelsAreSubtotals="1" fieldPosition="0">
        <references count="1">
          <reference field="42" count="1">
            <x v="14"/>
          </reference>
        </references>
      </pivotArea>
    </format>
    <format dxfId="14">
      <pivotArea dataOnly="0" labelOnly="1" fieldPosition="0">
        <references count="1">
          <reference field="42" count="1">
            <x v="14"/>
          </reference>
        </references>
      </pivotArea>
    </format>
    <format dxfId="13">
      <pivotArea collapsedLevelsAreSubtotals="1" fieldPosition="0">
        <references count="1">
          <reference field="42" count="1">
            <x v="15"/>
          </reference>
        </references>
      </pivotArea>
    </format>
    <format dxfId="12">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33"/>
  <sheetViews>
    <sheetView showGridLines="0" tabSelected="1" topLeftCell="A3" workbookViewId="0">
      <selection activeCell="B30" sqref="B30:M30"/>
    </sheetView>
    <sheetView showGridLines="0" tabSelected="1" workbookViewId="1"/>
  </sheetViews>
  <sheetFormatPr baseColWidth="10" defaultRowHeight="15" x14ac:dyDescent="0.25"/>
  <cols>
    <col min="1" max="1" width="14.42578125" customWidth="1"/>
  </cols>
  <sheetData>
    <row r="1" spans="1:13" x14ac:dyDescent="0.25">
      <c r="B1" s="406" t="s">
        <v>691</v>
      </c>
      <c r="C1" s="407"/>
      <c r="D1" s="407"/>
      <c r="E1" s="407"/>
      <c r="F1" s="407"/>
      <c r="G1" s="407"/>
      <c r="H1" s="407"/>
      <c r="I1" s="407"/>
      <c r="J1" s="407"/>
      <c r="K1" s="407"/>
      <c r="L1" s="407"/>
      <c r="M1" s="407"/>
    </row>
    <row r="2" spans="1:13" x14ac:dyDescent="0.25">
      <c r="B2" s="407"/>
      <c r="C2" s="407"/>
      <c r="D2" s="407"/>
      <c r="E2" s="407"/>
      <c r="F2" s="407"/>
      <c r="G2" s="407"/>
      <c r="H2" s="407"/>
      <c r="I2" s="407"/>
      <c r="J2" s="407"/>
      <c r="K2" s="407"/>
      <c r="L2" s="407"/>
      <c r="M2" s="407"/>
    </row>
    <row r="3" spans="1:13" x14ac:dyDescent="0.25">
      <c r="B3" s="407"/>
      <c r="C3" s="407"/>
      <c r="D3" s="407"/>
      <c r="E3" s="407"/>
      <c r="F3" s="407"/>
      <c r="G3" s="407"/>
      <c r="H3" s="407"/>
      <c r="I3" s="407"/>
      <c r="J3" s="407"/>
      <c r="K3" s="407"/>
      <c r="L3" s="407"/>
      <c r="M3" s="407"/>
    </row>
    <row r="4" spans="1:13" x14ac:dyDescent="0.25">
      <c r="B4" s="407"/>
      <c r="C4" s="407"/>
      <c r="D4" s="407"/>
      <c r="E4" s="407"/>
      <c r="F4" s="407"/>
      <c r="G4" s="407"/>
      <c r="H4" s="407"/>
      <c r="I4" s="407"/>
      <c r="J4" s="407"/>
      <c r="K4" s="407"/>
      <c r="L4" s="407"/>
      <c r="M4" s="407"/>
    </row>
    <row r="5" spans="1:13" x14ac:dyDescent="0.25">
      <c r="B5" s="407"/>
      <c r="C5" s="407"/>
      <c r="D5" s="407"/>
      <c r="E5" s="407"/>
      <c r="F5" s="407"/>
      <c r="G5" s="407"/>
      <c r="H5" s="407"/>
      <c r="I5" s="407"/>
      <c r="J5" s="407"/>
      <c r="K5" s="407"/>
      <c r="L5" s="407"/>
      <c r="M5" s="407"/>
    </row>
    <row r="6" spans="1:13" ht="15.75" x14ac:dyDescent="0.25">
      <c r="B6" s="225"/>
      <c r="C6" s="225"/>
      <c r="D6" s="225"/>
      <c r="E6" s="225"/>
      <c r="F6" s="225"/>
      <c r="G6" s="225"/>
      <c r="H6" s="225"/>
      <c r="I6" s="225"/>
      <c r="J6" s="225"/>
      <c r="K6" s="225"/>
      <c r="L6" s="225"/>
      <c r="M6" s="225"/>
    </row>
    <row r="8" spans="1:13" ht="15.75" thickBot="1" x14ac:dyDescent="0.3"/>
    <row r="9" spans="1:13" ht="24.75" thickTop="1" thickBot="1" x14ac:dyDescent="0.4">
      <c r="A9" s="226"/>
      <c r="B9" s="409" t="s">
        <v>699</v>
      </c>
      <c r="C9" s="410"/>
      <c r="D9" s="410"/>
      <c r="E9" s="410"/>
      <c r="F9" s="410"/>
      <c r="G9" s="410"/>
      <c r="H9" s="410"/>
      <c r="I9" s="410"/>
      <c r="J9" s="410"/>
      <c r="K9" s="410"/>
      <c r="L9" s="410"/>
      <c r="M9" s="411"/>
    </row>
    <row r="10" spans="1:13" ht="16.5" thickTop="1" x14ac:dyDescent="0.25">
      <c r="B10" s="412" t="s">
        <v>911</v>
      </c>
      <c r="C10" s="412"/>
      <c r="D10" s="412"/>
      <c r="E10" s="412"/>
      <c r="F10" s="412"/>
      <c r="G10" s="412"/>
      <c r="H10" s="412"/>
      <c r="I10" s="412"/>
      <c r="J10" s="412"/>
      <c r="K10" s="412"/>
      <c r="L10" s="412"/>
      <c r="M10" s="412"/>
    </row>
    <row r="11" spans="1:13" x14ac:dyDescent="0.25">
      <c r="B11" s="408"/>
      <c r="C11" s="408"/>
      <c r="D11" s="408"/>
      <c r="E11" s="408"/>
      <c r="F11" s="408"/>
      <c r="G11" s="408"/>
      <c r="H11" s="408"/>
      <c r="I11" s="408"/>
      <c r="J11" s="408"/>
      <c r="K11" s="408"/>
      <c r="L11" s="408"/>
      <c r="M11" s="408"/>
    </row>
    <row r="12" spans="1:13" ht="15.75" x14ac:dyDescent="0.25">
      <c r="B12" s="404" t="s">
        <v>695</v>
      </c>
      <c r="C12" s="404"/>
      <c r="D12" s="404"/>
      <c r="E12" s="404"/>
      <c r="F12" s="404"/>
      <c r="G12" s="404"/>
      <c r="H12" s="404"/>
      <c r="I12" s="404"/>
      <c r="J12" s="404"/>
      <c r="K12" s="404"/>
      <c r="L12" s="404"/>
      <c r="M12" s="404"/>
    </row>
    <row r="13" spans="1:13" x14ac:dyDescent="0.25">
      <c r="B13" s="405" t="s">
        <v>819</v>
      </c>
      <c r="C13" s="405"/>
      <c r="D13" s="405"/>
      <c r="E13" s="405"/>
      <c r="F13" s="405"/>
      <c r="G13" s="405"/>
      <c r="H13" s="405"/>
      <c r="I13" s="405"/>
      <c r="J13" s="405"/>
      <c r="K13" s="405"/>
      <c r="L13" s="405"/>
      <c r="M13" s="405"/>
    </row>
    <row r="14" spans="1:13" x14ac:dyDescent="0.25">
      <c r="B14" s="233" t="s">
        <v>820</v>
      </c>
      <c r="C14" s="256"/>
      <c r="D14" s="256"/>
      <c r="E14" s="256"/>
      <c r="F14" s="256"/>
      <c r="G14" s="256"/>
      <c r="H14" s="256"/>
      <c r="I14" s="256"/>
      <c r="J14" s="256"/>
      <c r="K14" s="256"/>
      <c r="L14" s="256"/>
      <c r="M14" s="256"/>
    </row>
    <row r="15" spans="1:13" x14ac:dyDescent="0.25">
      <c r="B15" s="405" t="s">
        <v>822</v>
      </c>
      <c r="C15" s="405"/>
      <c r="D15" s="405"/>
      <c r="E15" s="405"/>
      <c r="F15" s="405"/>
      <c r="G15" s="405"/>
      <c r="H15" s="405"/>
      <c r="I15" s="405"/>
      <c r="J15" s="405"/>
      <c r="K15" s="405"/>
      <c r="L15" s="405"/>
      <c r="M15" s="405"/>
    </row>
    <row r="16" spans="1:13" x14ac:dyDescent="0.25">
      <c r="B16" s="405" t="s">
        <v>823</v>
      </c>
      <c r="C16" s="405"/>
      <c r="D16" s="405"/>
      <c r="E16" s="405"/>
      <c r="F16" s="405"/>
      <c r="G16" s="405"/>
      <c r="H16" s="405"/>
      <c r="I16" s="405"/>
      <c r="J16" s="405"/>
      <c r="K16" s="405"/>
      <c r="L16" s="405"/>
      <c r="M16" s="405"/>
    </row>
    <row r="17" spans="2:13" x14ac:dyDescent="0.25">
      <c r="B17" s="405" t="s">
        <v>824</v>
      </c>
      <c r="C17" s="405"/>
      <c r="D17" s="405"/>
      <c r="E17" s="405"/>
      <c r="F17" s="405"/>
      <c r="G17" s="405"/>
      <c r="H17" s="405"/>
      <c r="I17" s="405"/>
      <c r="J17" s="405"/>
      <c r="K17" s="405"/>
      <c r="L17" s="405"/>
      <c r="M17" s="405"/>
    </row>
    <row r="18" spans="2:13" x14ac:dyDescent="0.25">
      <c r="B18" s="255"/>
      <c r="C18" s="255"/>
      <c r="D18" s="255"/>
      <c r="E18" s="255"/>
      <c r="F18" s="255"/>
      <c r="G18" s="255"/>
      <c r="H18" s="255"/>
      <c r="I18" s="255"/>
      <c r="J18" s="255"/>
      <c r="K18" s="255"/>
      <c r="L18" s="255"/>
      <c r="M18" s="255"/>
    </row>
    <row r="19" spans="2:13" ht="15.75" x14ac:dyDescent="0.25">
      <c r="B19" s="404" t="s">
        <v>690</v>
      </c>
      <c r="C19" s="404"/>
      <c r="D19" s="404"/>
      <c r="E19" s="404"/>
      <c r="F19" s="404"/>
      <c r="G19" s="404"/>
      <c r="H19" s="404"/>
      <c r="I19" s="404"/>
      <c r="J19" s="404"/>
      <c r="K19" s="404"/>
      <c r="L19" s="404"/>
      <c r="M19" s="404"/>
    </row>
    <row r="20" spans="2:13" x14ac:dyDescent="0.25">
      <c r="B20" s="405" t="s">
        <v>744</v>
      </c>
      <c r="C20" s="405"/>
      <c r="D20" s="405"/>
      <c r="E20" s="405"/>
      <c r="F20" s="405"/>
      <c r="G20" s="405"/>
      <c r="H20" s="405"/>
      <c r="I20" s="405"/>
      <c r="J20" s="405"/>
      <c r="K20" s="405"/>
      <c r="L20" s="405"/>
      <c r="M20" s="405"/>
    </row>
    <row r="21" spans="2:13" x14ac:dyDescent="0.25">
      <c r="B21" s="405" t="s">
        <v>745</v>
      </c>
      <c r="C21" s="405"/>
      <c r="D21" s="405"/>
      <c r="E21" s="405"/>
      <c r="F21" s="405"/>
      <c r="G21" s="405"/>
      <c r="H21" s="405"/>
      <c r="I21" s="405"/>
      <c r="J21" s="405"/>
      <c r="K21" s="405"/>
      <c r="L21" s="405"/>
      <c r="M21" s="405"/>
    </row>
    <row r="22" spans="2:13" x14ac:dyDescent="0.25">
      <c r="B22" s="405" t="s">
        <v>746</v>
      </c>
      <c r="C22" s="405"/>
      <c r="D22" s="405"/>
      <c r="E22" s="405"/>
      <c r="F22" s="405"/>
      <c r="G22" s="405"/>
      <c r="H22" s="405"/>
      <c r="I22" s="405"/>
      <c r="J22" s="405"/>
      <c r="K22" s="405"/>
      <c r="L22" s="405"/>
      <c r="M22" s="405"/>
    </row>
    <row r="23" spans="2:13" x14ac:dyDescent="0.25">
      <c r="B23" s="405" t="s">
        <v>747</v>
      </c>
      <c r="C23" s="405"/>
      <c r="D23" s="405"/>
      <c r="E23" s="405"/>
      <c r="F23" s="405"/>
      <c r="G23" s="405"/>
      <c r="H23" s="405"/>
      <c r="I23" s="405"/>
      <c r="J23" s="405"/>
      <c r="K23" s="405"/>
      <c r="L23" s="405"/>
      <c r="M23" s="405"/>
    </row>
    <row r="24" spans="2:13" x14ac:dyDescent="0.25">
      <c r="B24" s="405" t="s">
        <v>748</v>
      </c>
      <c r="C24" s="405"/>
      <c r="D24" s="405"/>
      <c r="E24" s="405"/>
      <c r="F24" s="405"/>
      <c r="G24" s="405"/>
      <c r="H24" s="405"/>
      <c r="I24" s="405"/>
      <c r="J24" s="405"/>
      <c r="K24" s="405"/>
      <c r="L24" s="405"/>
      <c r="M24" s="405"/>
    </row>
    <row r="25" spans="2:13" x14ac:dyDescent="0.25">
      <c r="B25" s="405" t="s">
        <v>749</v>
      </c>
      <c r="C25" s="405"/>
      <c r="D25" s="405"/>
      <c r="E25" s="405"/>
      <c r="F25" s="405"/>
      <c r="G25" s="405"/>
      <c r="H25" s="405"/>
      <c r="I25" s="405"/>
      <c r="J25" s="405"/>
      <c r="K25" s="405"/>
      <c r="L25" s="405"/>
      <c r="M25" s="405"/>
    </row>
    <row r="26" spans="2:13" x14ac:dyDescent="0.25">
      <c r="B26" s="255"/>
      <c r="C26" s="255"/>
      <c r="D26" s="255"/>
      <c r="E26" s="255"/>
      <c r="F26" s="255"/>
      <c r="G26" s="255"/>
      <c r="H26" s="255"/>
      <c r="I26" s="255"/>
      <c r="J26" s="255"/>
      <c r="K26" s="255"/>
      <c r="L26" s="255"/>
      <c r="M26" s="255"/>
    </row>
    <row r="27" spans="2:13" ht="15.75" x14ac:dyDescent="0.25">
      <c r="B27" s="404" t="s">
        <v>712</v>
      </c>
      <c r="C27" s="404"/>
      <c r="D27" s="404"/>
      <c r="E27" s="404"/>
      <c r="F27" s="404"/>
      <c r="G27" s="404"/>
      <c r="H27" s="404"/>
      <c r="I27" s="404"/>
      <c r="J27" s="404"/>
      <c r="K27" s="404"/>
      <c r="L27" s="404"/>
      <c r="M27" s="404"/>
    </row>
    <row r="28" spans="2:13" x14ac:dyDescent="0.25">
      <c r="B28" s="233" t="s">
        <v>713</v>
      </c>
    </row>
    <row r="29" spans="2:13" x14ac:dyDescent="0.25">
      <c r="B29" s="233"/>
    </row>
    <row r="30" spans="2:13" ht="15.75" x14ac:dyDescent="0.25">
      <c r="B30" s="404" t="s">
        <v>734</v>
      </c>
      <c r="C30" s="404"/>
      <c r="D30" s="404"/>
      <c r="E30" s="404"/>
      <c r="F30" s="404"/>
      <c r="G30" s="404"/>
      <c r="H30" s="404"/>
      <c r="I30" s="404"/>
      <c r="J30" s="404"/>
      <c r="K30" s="404"/>
      <c r="L30" s="404"/>
      <c r="M30" s="404"/>
    </row>
    <row r="31" spans="2:13" x14ac:dyDescent="0.25">
      <c r="B31" s="233" t="s">
        <v>735</v>
      </c>
    </row>
    <row r="32" spans="2:13" x14ac:dyDescent="0.25">
      <c r="B32" s="233" t="s">
        <v>737</v>
      </c>
    </row>
    <row r="33" spans="2:2" x14ac:dyDescent="0.25">
      <c r="B33" s="233" t="s">
        <v>740</v>
      </c>
    </row>
  </sheetData>
  <mergeCells count="18">
    <mergeCell ref="B1:M5"/>
    <mergeCell ref="B11:M11"/>
    <mergeCell ref="B20:M20"/>
    <mergeCell ref="B9:M9"/>
    <mergeCell ref="B10:M10"/>
    <mergeCell ref="B12:M12"/>
    <mergeCell ref="B19:M19"/>
    <mergeCell ref="B13:M13"/>
    <mergeCell ref="B15:M15"/>
    <mergeCell ref="B16:M16"/>
    <mergeCell ref="B17:M17"/>
    <mergeCell ref="B27:M27"/>
    <mergeCell ref="B30:M30"/>
    <mergeCell ref="B24:M24"/>
    <mergeCell ref="B25:M25"/>
    <mergeCell ref="B21:M21"/>
    <mergeCell ref="B22:M22"/>
    <mergeCell ref="B23:M23"/>
  </mergeCells>
  <hyperlinks>
    <hyperlink ref="B12:M12" location="'I. Beneficios pagados'!A1" display="I. Pago de Beneficios del Pilar No Contributivo" xr:uid="{8172594E-B73C-46E8-B5A9-0EFE5671A9F5}"/>
    <hyperlink ref="B19:M19" location="'II. Estado de Solicitudes'!A1" display="II. Estado de solicitudes" xr:uid="{EA9BAF50-C032-4632-AAB6-91F5F7130FC8}"/>
    <hyperlink ref="B27:M27" location="'III. Bono por hijo'!A1" display="III. Bono por Hijo" xr:uid="{1D068B1A-4F27-4828-8175-08DB1F8642BA}"/>
    <hyperlink ref="B30:M30" location="'IV. Subsidio STJ'!A1" display="IV. Subsidio al Trabajador Joven" xr:uid="{09B0F30C-BB68-443D-B990-3C10A85A300F}"/>
    <hyperlink ref="B13:M13" location="'1.1'!A1" display="1. Total de beneficios pagados del Pilar No Contributivo a nivel nacional" xr:uid="{7DB2F00E-04D7-4FF1-BBC8-47DA23A09A40}"/>
    <hyperlink ref="B14" location="'1.2'!A1" display="2. Total de beneficios pagados del Pilar No Contributivo a nivel regional" xr:uid="{A6867080-01E2-40C6-98D7-FACD12903955}"/>
    <hyperlink ref="B15:M15" location="'1.3'!A1" display="3. Pagos Pensión Garantizada Universal (PGU)" xr:uid="{FF418CC7-2D85-4169-B502-13A2C4F0538F}"/>
    <hyperlink ref="B16:M16" location="'1.4'!A1" display="4. Pagos Pensión Básica Solidaria (PBS)" xr:uid="{DE170229-3756-4451-BF06-0C5F18BA19D6}"/>
    <hyperlink ref="B17:M17" location="'1.5'!A1" display="5. Pagos Aporte Previsional Solidario (APS)" xr:uid="{68FAF855-C76C-4161-8BB9-011FBB4579EA}"/>
    <hyperlink ref="B20:M20" location="'2.1'!A1" display="1. Solicitudes del Pilar No Contributivo a nivel nacional" xr:uid="{748DFDB6-8C1F-4C27-BA60-C5B969C7BC77}"/>
    <hyperlink ref="B21:M21" location="'2.2'!A1" display="2. Solicitudes del Pilar No Contributivo a nivel regional y comunal" xr:uid="{BCC4F5C1-86F3-4F40-8F53-3028156B0A50}"/>
    <hyperlink ref="B22:M22" location="'2.3'!A1" display="3. Solicitudes concedidas del Pilar No Contributivo a nivel nacional" xr:uid="{B5AF5AD5-2CF4-4C9F-A59A-EF6383D78864}"/>
    <hyperlink ref="B23:M23" location="'2.4'!A1" display="4. Solicitudes concedidas del Pilar No Contributivo a nivel regional y comunal" xr:uid="{D60FBBC6-C8B0-4DA4-8F0F-8540C02FFA5A}"/>
    <hyperlink ref="B24:M24" location="'2.5'!A1" display="5. Solicitudes Rechazadas del Pilar No Contributivo" xr:uid="{6D41A512-2C0E-45A3-8523-9B0B998DF5DE}"/>
    <hyperlink ref="B25:M25" location="'2.6'!A1" display="6. Tasas de concesión de solicitudes" xr:uid="{380FF991-8D7D-42D0-980D-5D575DED1A49}"/>
    <hyperlink ref="B28" location="'3.1'!A1" display="1. Bono por Hijo" xr:uid="{91A5F4DB-E60C-4C1C-819F-CE3ADA606417}"/>
    <hyperlink ref="B31" location="'4.1'!A1" display="1. Pagos del Subsidio al Trabajador Joven (STJ)" xr:uid="{F542A83A-0B6A-4399-9037-98110D6B1943}"/>
    <hyperlink ref="B32" location="'4.2'!A1" display="2. Subsidio a la Contratación de Trabajadores Jóvenes" xr:uid="{B2192E90-7317-4B13-AE86-E43E952348C4}"/>
    <hyperlink ref="B33" location="'4.3'!A1" display="3. Subsidio a la Cotización de Trabajadores Jóvenes" xr:uid="{0155332B-9C34-4494-A77E-F95D0712C8AD}"/>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9"/>
  <sheetViews>
    <sheetView showGridLines="0" workbookViewId="0"/>
    <sheetView showGridLines="0" workbookViewId="1"/>
  </sheetViews>
  <sheetFormatPr baseColWidth="10" defaultRowHeight="15" x14ac:dyDescent="0.25"/>
  <cols>
    <col min="1" max="1" width="14.42578125" customWidth="1"/>
  </cols>
  <sheetData>
    <row r="1" spans="2:13" x14ac:dyDescent="0.25">
      <c r="B1" s="406" t="s">
        <v>691</v>
      </c>
      <c r="C1" s="407"/>
      <c r="D1" s="407"/>
      <c r="E1" s="407"/>
      <c r="F1" s="407"/>
      <c r="G1" s="407"/>
      <c r="H1" s="407"/>
      <c r="I1" s="407"/>
      <c r="J1" s="407"/>
      <c r="K1" s="407"/>
      <c r="L1" s="407"/>
      <c r="M1" s="407"/>
    </row>
    <row r="2" spans="2:13" x14ac:dyDescent="0.25">
      <c r="B2" s="407"/>
      <c r="C2" s="407"/>
      <c r="D2" s="407"/>
      <c r="E2" s="407"/>
      <c r="F2" s="407"/>
      <c r="G2" s="407"/>
      <c r="H2" s="407"/>
      <c r="I2" s="407"/>
      <c r="J2" s="407"/>
      <c r="K2" s="407"/>
      <c r="L2" s="407"/>
      <c r="M2" s="407"/>
    </row>
    <row r="3" spans="2:13" x14ac:dyDescent="0.25">
      <c r="B3" s="407"/>
      <c r="C3" s="407"/>
      <c r="D3" s="407"/>
      <c r="E3" s="407"/>
      <c r="F3" s="407"/>
      <c r="G3" s="407"/>
      <c r="H3" s="407"/>
      <c r="I3" s="407"/>
      <c r="J3" s="407"/>
      <c r="K3" s="407"/>
      <c r="L3" s="407"/>
      <c r="M3" s="407"/>
    </row>
    <row r="4" spans="2:13" x14ac:dyDescent="0.25">
      <c r="B4" s="407"/>
      <c r="C4" s="407"/>
      <c r="D4" s="407"/>
      <c r="E4" s="407"/>
      <c r="F4" s="407"/>
      <c r="G4" s="407"/>
      <c r="H4" s="407"/>
      <c r="I4" s="407"/>
      <c r="J4" s="407"/>
      <c r="K4" s="407"/>
      <c r="L4" s="407"/>
      <c r="M4" s="407"/>
    </row>
    <row r="5" spans="2:13" x14ac:dyDescent="0.25">
      <c r="B5" s="407"/>
      <c r="C5" s="407"/>
      <c r="D5" s="407"/>
      <c r="E5" s="407"/>
      <c r="F5" s="407"/>
      <c r="G5" s="407"/>
      <c r="H5" s="407"/>
      <c r="I5" s="407"/>
      <c r="J5" s="407"/>
      <c r="K5" s="407"/>
      <c r="L5" s="407"/>
      <c r="M5" s="407"/>
    </row>
    <row r="6" spans="2:13" ht="15.75" x14ac:dyDescent="0.25">
      <c r="B6" s="225"/>
      <c r="C6" s="225"/>
      <c r="D6" s="225"/>
      <c r="E6" s="225"/>
      <c r="F6" s="225"/>
      <c r="G6" s="225"/>
      <c r="H6" s="225"/>
      <c r="I6" s="225"/>
      <c r="J6" s="225"/>
      <c r="K6" s="225"/>
      <c r="L6" s="225"/>
      <c r="M6" s="225"/>
    </row>
    <row r="8" spans="2:13" ht="15.75" thickBot="1" x14ac:dyDescent="0.3"/>
    <row r="9" spans="2:13" ht="21.75" thickBot="1" x14ac:dyDescent="0.4">
      <c r="B9" s="413" t="s">
        <v>695</v>
      </c>
      <c r="C9" s="414"/>
      <c r="D9" s="414"/>
      <c r="E9" s="414"/>
      <c r="F9" s="414"/>
      <c r="G9" s="414"/>
      <c r="H9" s="414"/>
      <c r="I9" s="414"/>
      <c r="J9" s="414"/>
      <c r="K9" s="414"/>
      <c r="L9" s="414"/>
      <c r="M9" s="415"/>
    </row>
    <row r="10" spans="2:13" ht="15.75" x14ac:dyDescent="0.25">
      <c r="B10" s="412" t="s">
        <v>911</v>
      </c>
      <c r="C10" s="412"/>
      <c r="D10" s="412"/>
      <c r="E10" s="412"/>
      <c r="F10" s="412"/>
      <c r="G10" s="412"/>
      <c r="H10" s="412"/>
      <c r="I10" s="412"/>
      <c r="J10" s="412"/>
      <c r="K10" s="412"/>
      <c r="L10" s="412"/>
      <c r="M10" s="412"/>
    </row>
    <row r="11" spans="2:13" x14ac:dyDescent="0.25">
      <c r="B11" s="408"/>
      <c r="C11" s="408"/>
      <c r="D11" s="408"/>
      <c r="E11" s="408"/>
      <c r="F11" s="408"/>
      <c r="G11" s="408"/>
      <c r="H11" s="408"/>
      <c r="I11" s="408"/>
      <c r="J11" s="408"/>
      <c r="K11" s="408"/>
      <c r="L11" s="408"/>
      <c r="M11" s="408"/>
    </row>
    <row r="12" spans="2:13" ht="15.75" x14ac:dyDescent="0.25">
      <c r="B12" s="404" t="s">
        <v>819</v>
      </c>
      <c r="C12" s="404"/>
      <c r="D12" s="404"/>
      <c r="E12" s="404"/>
      <c r="F12" s="404"/>
      <c r="G12" s="404"/>
      <c r="H12" s="404"/>
      <c r="I12" s="404"/>
      <c r="J12" s="404"/>
      <c r="K12" s="404"/>
      <c r="L12" s="404"/>
      <c r="M12" s="404"/>
    </row>
    <row r="13" spans="2:13" x14ac:dyDescent="0.25">
      <c r="B13" s="405" t="s">
        <v>776</v>
      </c>
      <c r="C13" s="405"/>
      <c r="D13" s="405"/>
      <c r="E13" s="405"/>
      <c r="F13" s="405"/>
      <c r="G13" s="405"/>
      <c r="H13" s="405"/>
      <c r="I13" s="405"/>
      <c r="J13" s="405"/>
      <c r="K13" s="405"/>
      <c r="L13" s="405"/>
      <c r="M13" s="405"/>
    </row>
    <row r="14" spans="2:13" x14ac:dyDescent="0.25">
      <c r="B14" s="405" t="s">
        <v>775</v>
      </c>
      <c r="C14" s="405"/>
      <c r="D14" s="405"/>
      <c r="E14" s="405"/>
      <c r="F14" s="405"/>
      <c r="G14" s="405"/>
      <c r="H14" s="405"/>
      <c r="I14" s="405"/>
      <c r="J14" s="405"/>
      <c r="K14" s="405"/>
      <c r="L14" s="405"/>
      <c r="M14" s="405"/>
    </row>
    <row r="15" spans="2:13" x14ac:dyDescent="0.25">
      <c r="B15" s="255"/>
      <c r="C15" s="255"/>
      <c r="D15" s="255"/>
      <c r="E15" s="255"/>
      <c r="F15" s="255"/>
      <c r="G15" s="255"/>
      <c r="H15" s="255"/>
      <c r="I15" s="255"/>
      <c r="J15" s="255"/>
      <c r="K15" s="255"/>
      <c r="L15" s="255"/>
      <c r="M15" s="255"/>
    </row>
    <row r="16" spans="2:13" ht="15.75" x14ac:dyDescent="0.25">
      <c r="B16" s="404" t="s">
        <v>820</v>
      </c>
      <c r="C16" s="404"/>
      <c r="D16" s="404"/>
      <c r="E16" s="404"/>
      <c r="F16" s="404"/>
      <c r="G16" s="404"/>
      <c r="H16" s="404"/>
      <c r="I16" s="404"/>
      <c r="J16" s="404"/>
      <c r="K16" s="404"/>
      <c r="L16" s="404"/>
      <c r="M16" s="404"/>
    </row>
    <row r="17" spans="2:13" x14ac:dyDescent="0.25">
      <c r="B17" s="405" t="s">
        <v>821</v>
      </c>
      <c r="C17" s="405"/>
      <c r="D17" s="405"/>
      <c r="E17" s="405"/>
      <c r="F17" s="405"/>
      <c r="G17" s="405"/>
      <c r="H17" s="405"/>
      <c r="I17" s="405"/>
      <c r="J17" s="405"/>
      <c r="K17" s="405"/>
      <c r="L17" s="405"/>
      <c r="M17" s="405"/>
    </row>
    <row r="18" spans="2:13" x14ac:dyDescent="0.25">
      <c r="B18" s="255"/>
      <c r="C18" s="255"/>
      <c r="D18" s="255"/>
      <c r="E18" s="255"/>
      <c r="F18" s="255"/>
      <c r="G18" s="255"/>
      <c r="H18" s="255"/>
      <c r="I18" s="255"/>
      <c r="J18" s="255"/>
      <c r="K18" s="255"/>
      <c r="L18" s="255"/>
      <c r="M18" s="255"/>
    </row>
    <row r="19" spans="2:13" ht="15.75" x14ac:dyDescent="0.25">
      <c r="B19" s="404" t="s">
        <v>822</v>
      </c>
      <c r="C19" s="404"/>
      <c r="D19" s="404"/>
      <c r="E19" s="404"/>
      <c r="F19" s="404"/>
      <c r="G19" s="404"/>
      <c r="H19" s="404"/>
      <c r="I19" s="404"/>
      <c r="J19" s="404"/>
      <c r="K19" s="404"/>
      <c r="L19" s="404"/>
      <c r="M19" s="404"/>
    </row>
    <row r="20" spans="2:13" x14ac:dyDescent="0.25">
      <c r="B20" s="405" t="s">
        <v>776</v>
      </c>
      <c r="C20" s="405"/>
      <c r="D20" s="405"/>
      <c r="E20" s="405"/>
      <c r="F20" s="405"/>
      <c r="G20" s="405"/>
      <c r="H20" s="405"/>
      <c r="I20" s="405"/>
      <c r="J20" s="405"/>
      <c r="K20" s="405"/>
      <c r="L20" s="405"/>
      <c r="M20" s="405"/>
    </row>
    <row r="21" spans="2:13" x14ac:dyDescent="0.25">
      <c r="B21" s="405" t="s">
        <v>778</v>
      </c>
      <c r="C21" s="405"/>
      <c r="D21" s="405"/>
      <c r="E21" s="405"/>
      <c r="F21" s="405"/>
      <c r="G21" s="405"/>
      <c r="H21" s="405"/>
      <c r="I21" s="405"/>
      <c r="J21" s="405"/>
      <c r="K21" s="405"/>
      <c r="L21" s="405"/>
      <c r="M21" s="405"/>
    </row>
    <row r="22" spans="2:13" x14ac:dyDescent="0.25">
      <c r="B22" s="255"/>
      <c r="C22" s="255"/>
      <c r="D22" s="255"/>
      <c r="E22" s="255"/>
      <c r="F22" s="255"/>
      <c r="G22" s="255"/>
      <c r="H22" s="255"/>
      <c r="I22" s="255"/>
      <c r="J22" s="255"/>
      <c r="K22" s="255"/>
      <c r="L22" s="255"/>
      <c r="M22" s="255"/>
    </row>
    <row r="23" spans="2:13" ht="15.75" x14ac:dyDescent="0.25">
      <c r="B23" s="404" t="s">
        <v>823</v>
      </c>
      <c r="C23" s="404"/>
      <c r="D23" s="404"/>
      <c r="E23" s="404"/>
      <c r="F23" s="404"/>
      <c r="G23" s="404"/>
      <c r="H23" s="404"/>
      <c r="I23" s="404"/>
      <c r="J23" s="404"/>
      <c r="K23" s="404"/>
      <c r="L23" s="404"/>
      <c r="M23" s="404"/>
    </row>
    <row r="24" spans="2:13" x14ac:dyDescent="0.25">
      <c r="B24" s="405" t="s">
        <v>776</v>
      </c>
      <c r="C24" s="405"/>
      <c r="D24" s="405"/>
      <c r="E24" s="405"/>
      <c r="F24" s="405"/>
      <c r="G24" s="405"/>
      <c r="H24" s="405"/>
      <c r="I24" s="405"/>
      <c r="J24" s="405"/>
      <c r="K24" s="405"/>
      <c r="L24" s="405"/>
      <c r="M24" s="405"/>
    </row>
    <row r="25" spans="2:13" x14ac:dyDescent="0.25">
      <c r="B25" s="405" t="s">
        <v>778</v>
      </c>
      <c r="C25" s="405"/>
      <c r="D25" s="405"/>
      <c r="E25" s="405"/>
      <c r="F25" s="405"/>
      <c r="G25" s="405"/>
      <c r="H25" s="405"/>
      <c r="I25" s="405"/>
      <c r="J25" s="405"/>
      <c r="K25" s="405"/>
      <c r="L25" s="405"/>
      <c r="M25" s="405"/>
    </row>
    <row r="26" spans="2:13" x14ac:dyDescent="0.25">
      <c r="B26" s="255"/>
      <c r="C26" s="255"/>
      <c r="D26" s="255"/>
      <c r="E26" s="255"/>
      <c r="F26" s="255"/>
      <c r="G26" s="255"/>
      <c r="H26" s="255"/>
      <c r="I26" s="255"/>
      <c r="J26" s="255"/>
      <c r="K26" s="255"/>
      <c r="L26" s="255"/>
      <c r="M26" s="255"/>
    </row>
    <row r="27" spans="2:13" ht="15.75" x14ac:dyDescent="0.25">
      <c r="B27" s="404" t="s">
        <v>824</v>
      </c>
      <c r="C27" s="404"/>
      <c r="D27" s="404"/>
      <c r="E27" s="404"/>
      <c r="F27" s="404"/>
      <c r="G27" s="404"/>
      <c r="H27" s="404"/>
      <c r="I27" s="404"/>
      <c r="J27" s="404"/>
      <c r="K27" s="404"/>
      <c r="L27" s="404"/>
      <c r="M27" s="404"/>
    </row>
    <row r="28" spans="2:13" x14ac:dyDescent="0.25">
      <c r="B28" s="405" t="s">
        <v>776</v>
      </c>
      <c r="C28" s="405"/>
      <c r="D28" s="405"/>
      <c r="E28" s="405"/>
      <c r="F28" s="405"/>
      <c r="G28" s="405"/>
      <c r="H28" s="405"/>
      <c r="I28" s="405"/>
      <c r="J28" s="405"/>
      <c r="K28" s="405"/>
      <c r="L28" s="405"/>
      <c r="M28" s="405"/>
    </row>
    <row r="29" spans="2:13" x14ac:dyDescent="0.25">
      <c r="B29" s="405" t="s">
        <v>778</v>
      </c>
      <c r="C29" s="405"/>
      <c r="D29" s="405"/>
      <c r="E29" s="405"/>
      <c r="F29" s="405"/>
      <c r="G29" s="405"/>
      <c r="H29" s="405"/>
      <c r="I29" s="405"/>
      <c r="J29" s="405"/>
      <c r="K29" s="405"/>
      <c r="L29" s="405"/>
      <c r="M29" s="405"/>
    </row>
  </sheetData>
  <mergeCells count="18">
    <mergeCell ref="B1:M5"/>
    <mergeCell ref="B9:M9"/>
    <mergeCell ref="B10:M10"/>
    <mergeCell ref="B11:M11"/>
    <mergeCell ref="B12:M12"/>
    <mergeCell ref="B27:M27"/>
    <mergeCell ref="B21:M21"/>
    <mergeCell ref="B28:M28"/>
    <mergeCell ref="B29:M29"/>
    <mergeCell ref="B25:M25"/>
    <mergeCell ref="B24:M24"/>
    <mergeCell ref="B20:M20"/>
    <mergeCell ref="B23:M23"/>
    <mergeCell ref="B19:M19"/>
    <mergeCell ref="B13:M13"/>
    <mergeCell ref="B14:M14"/>
    <mergeCell ref="B16:M16"/>
    <mergeCell ref="B17:M17"/>
  </mergeCells>
  <hyperlinks>
    <hyperlink ref="B12:M12" location="'1.1'!A1" display="1. Total de beneficios pagados del Pilar No Contributivo a nivel nacional" xr:uid="{651A5711-1A87-4F0B-BFCA-36188E9D8031}"/>
    <hyperlink ref="B13:M13" location="'1.1'!B4" display="i. Resumen trimestral de beneficios pagados, por tipo de beneficio y sexo" xr:uid="{F33B02C2-15B0-4F17-8090-3A696C6F22AC}"/>
    <hyperlink ref="B14:M14" location="'1.1'!B32" display="ii. Serie resumen de pagos de beneficios acumulados, por tipo de beneficio" xr:uid="{FBBE6969-1F79-41F8-8DA1-6D41718E763B}"/>
    <hyperlink ref="B16:M16" location="'1.2'!A1" display="2. Total de beneficios pagados del Pilar No Contributivo a nivel regional" xr:uid="{A542802F-C1F6-4872-BBBB-B59A007D689A}"/>
    <hyperlink ref="B19:M19" location="'1.3'!A1" display="3. Pagos Pensión Garantizada Universal (PGU)" xr:uid="{9D3CBFBC-CC19-4347-A230-17CB801FF8EF}"/>
    <hyperlink ref="B23:M23" location="'1.4'!A1" display="4. Pagos Pensión Básica Solidaria (PBS)" xr:uid="{BEA36ACC-DB9A-4786-B036-468029B6CB1A}"/>
    <hyperlink ref="B27:M27" location="'1.5'!A1" display="5. Pagos Aporte Previsional Solidario (APS)" xr:uid="{AA388154-15F2-47DD-933A-633E14D92D09}"/>
    <hyperlink ref="B17:M17" location="'1.2'!B4" display="i. Resumen trimestral de beneficios pagados, por región, tipo de beneficio y sexo" xr:uid="{9BD634AE-E892-4EBC-B269-7768438E9956}"/>
    <hyperlink ref="B20:M20" location="'1.3'!B4" display="i. Resumen trimestral de beneficios pagados, por tipo de beneficio y sexo" xr:uid="{EE0CC432-62D4-4D92-AD43-63FCF77032E0}"/>
    <hyperlink ref="B21:M21" location="'1.3'!B23" display="ii. Serie resumen de pagos de beneficios acumulado, por tipo de beneficio y sexo" xr:uid="{6DCAFD77-194B-4D1B-AD32-1B717634B7E9}"/>
    <hyperlink ref="B24:M24" location="'1.4'!B4" display="i. Resumen trimestral de beneficios pagados, por tipo de beneficio y sexo" xr:uid="{2496BEB3-FB60-4128-BA8B-A7399049EA07}"/>
    <hyperlink ref="B25:M25" location="'1.4'!B22" display="ii. Serie resumen de pagos de beneficios acumulado, por tipo de beneficio y sexo" xr:uid="{405C869D-2CA0-4ED4-B7BD-1C8330751422}"/>
    <hyperlink ref="B28:M28" location="'1.5'!B4" display="i. Resumen trimestral de beneficios pagados, por tipo de beneficio y sexo" xr:uid="{258F90BB-C20C-489D-BB8C-90D141DBD719}"/>
    <hyperlink ref="B29:M29" location="'1.5'!B22" display="ii. Serie resumen de pagos de beneficios acumulado, por tipo de beneficio y sexo" xr:uid="{52574A1D-9F72-4040-AC6E-AA234F96AB39}"/>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 workbookViewId="1"/>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4" t="s">
        <v>9</v>
      </c>
      <c r="B1" t="s">
        <v>596</v>
      </c>
    </row>
    <row r="3" spans="1:2" x14ac:dyDescent="0.25">
      <c r="A3" s="204" t="s">
        <v>543</v>
      </c>
    </row>
    <row r="4" spans="1:2" x14ac:dyDescent="0.25">
      <c r="A4" s="205" t="s">
        <v>584</v>
      </c>
    </row>
    <row r="5" spans="1:2" x14ac:dyDescent="0.25">
      <c r="A5" s="209" t="s">
        <v>652</v>
      </c>
      <c r="B5">
        <v>322141</v>
      </c>
    </row>
    <row r="6" spans="1:2" x14ac:dyDescent="0.25">
      <c r="A6" s="209" t="s">
        <v>653</v>
      </c>
      <c r="B6">
        <v>109963</v>
      </c>
    </row>
    <row r="7" spans="1:2" x14ac:dyDescent="0.25">
      <c r="A7" s="209" t="s">
        <v>654</v>
      </c>
      <c r="B7">
        <v>686334</v>
      </c>
    </row>
    <row r="8" spans="1:2" x14ac:dyDescent="0.25">
      <c r="A8" s="209" t="s">
        <v>655</v>
      </c>
      <c r="B8">
        <v>563950</v>
      </c>
    </row>
    <row r="9" spans="1:2" x14ac:dyDescent="0.25">
      <c r="A9" s="205" t="s">
        <v>585</v>
      </c>
    </row>
    <row r="10" spans="1:2" x14ac:dyDescent="0.25">
      <c r="A10" s="209" t="s">
        <v>652</v>
      </c>
      <c r="B10">
        <v>327443</v>
      </c>
    </row>
    <row r="11" spans="1:2" x14ac:dyDescent="0.25">
      <c r="A11" s="209" t="s">
        <v>653</v>
      </c>
      <c r="B11">
        <v>121585</v>
      </c>
    </row>
    <row r="12" spans="1:2" x14ac:dyDescent="0.25">
      <c r="A12" s="209" t="s">
        <v>654</v>
      </c>
      <c r="B12">
        <v>704099</v>
      </c>
    </row>
    <row r="13" spans="1:2" x14ac:dyDescent="0.25">
      <c r="A13" s="209" t="s">
        <v>655</v>
      </c>
      <c r="B13">
        <v>584193</v>
      </c>
    </row>
    <row r="14" spans="1:2" x14ac:dyDescent="0.25">
      <c r="A14" s="205" t="s">
        <v>586</v>
      </c>
    </row>
    <row r="15" spans="1:2" x14ac:dyDescent="0.25">
      <c r="A15" s="209" t="s">
        <v>652</v>
      </c>
      <c r="B15">
        <v>329180</v>
      </c>
    </row>
    <row r="16" spans="1:2" x14ac:dyDescent="0.25">
      <c r="A16" s="209" t="s">
        <v>653</v>
      </c>
      <c r="B16">
        <v>125728</v>
      </c>
    </row>
    <row r="17" spans="1:2" x14ac:dyDescent="0.25">
      <c r="A17" s="209" t="s">
        <v>654</v>
      </c>
      <c r="B17">
        <v>717919</v>
      </c>
    </row>
    <row r="18" spans="1:2" x14ac:dyDescent="0.25">
      <c r="A18" s="209" t="s">
        <v>655</v>
      </c>
      <c r="B18">
        <v>594890</v>
      </c>
    </row>
    <row r="22" spans="1:2" x14ac:dyDescent="0.25">
      <c r="A22" s="204" t="s">
        <v>9</v>
      </c>
      <c r="B22" t="s">
        <v>596</v>
      </c>
    </row>
    <row r="24" spans="1:2" x14ac:dyDescent="0.25">
      <c r="A24" s="204" t="s">
        <v>543</v>
      </c>
    </row>
    <row r="25" spans="1:2" x14ac:dyDescent="0.25">
      <c r="A25" s="205" t="s">
        <v>584</v>
      </c>
    </row>
    <row r="26" spans="1:2" x14ac:dyDescent="0.25">
      <c r="A26" s="209" t="s">
        <v>656</v>
      </c>
      <c r="B26" s="206">
        <v>62098939.511</v>
      </c>
    </row>
    <row r="27" spans="1:2" x14ac:dyDescent="0.25">
      <c r="A27" s="209" t="s">
        <v>657</v>
      </c>
      <c r="B27" s="206">
        <v>21312758.105999999</v>
      </c>
    </row>
    <row r="28" spans="1:2" x14ac:dyDescent="0.25">
      <c r="A28" s="209" t="s">
        <v>658</v>
      </c>
      <c r="B28" s="206">
        <v>131986560.543</v>
      </c>
    </row>
    <row r="29" spans="1:2" x14ac:dyDescent="0.25">
      <c r="A29" s="209" t="s">
        <v>659</v>
      </c>
      <c r="B29" s="206">
        <v>108014882.678</v>
      </c>
    </row>
    <row r="30" spans="1:2" x14ac:dyDescent="0.25">
      <c r="A30" s="205" t="s">
        <v>585</v>
      </c>
      <c r="B30" s="206"/>
    </row>
    <row r="31" spans="1:2" x14ac:dyDescent="0.25">
      <c r="A31" s="209" t="s">
        <v>656</v>
      </c>
      <c r="B31" s="206">
        <v>63080932.634000003</v>
      </c>
    </row>
    <row r="32" spans="1:2" x14ac:dyDescent="0.25">
      <c r="A32" s="209" t="s">
        <v>657</v>
      </c>
      <c r="B32" s="206">
        <v>23564397.059999999</v>
      </c>
    </row>
    <row r="33" spans="1:2" x14ac:dyDescent="0.25">
      <c r="A33" s="209" t="s">
        <v>658</v>
      </c>
      <c r="B33" s="206">
        <v>135236238.01499999</v>
      </c>
    </row>
    <row r="34" spans="1:2" x14ac:dyDescent="0.25">
      <c r="A34" s="209" t="s">
        <v>659</v>
      </c>
      <c r="B34" s="206">
        <v>111537201.04000001</v>
      </c>
    </row>
    <row r="35" spans="1:2" x14ac:dyDescent="0.25">
      <c r="A35" s="205" t="s">
        <v>586</v>
      </c>
      <c r="B35" s="206"/>
    </row>
    <row r="36" spans="1:2" x14ac:dyDescent="0.25">
      <c r="A36" s="209" t="s">
        <v>656</v>
      </c>
      <c r="B36" s="206">
        <v>63417031.792999998</v>
      </c>
    </row>
    <row r="37" spans="1:2" x14ac:dyDescent="0.25">
      <c r="A37" s="209" t="s">
        <v>657</v>
      </c>
      <c r="B37" s="206">
        <v>24368202.673</v>
      </c>
    </row>
    <row r="38" spans="1:2" x14ac:dyDescent="0.25">
      <c r="A38" s="209" t="s">
        <v>658</v>
      </c>
      <c r="B38" s="206">
        <v>137636217.15900001</v>
      </c>
    </row>
    <row r="39" spans="1:2" x14ac:dyDescent="0.25">
      <c r="A39" s="209" t="s">
        <v>659</v>
      </c>
      <c r="B39" s="206">
        <v>113286938.10600001</v>
      </c>
    </row>
    <row r="43" spans="1:2" x14ac:dyDescent="0.25">
      <c r="A43" s="204" t="s">
        <v>9</v>
      </c>
      <c r="B43" t="s">
        <v>596</v>
      </c>
    </row>
    <row r="45" spans="1:2" x14ac:dyDescent="0.25">
      <c r="A45" s="204" t="s">
        <v>543</v>
      </c>
    </row>
    <row r="46" spans="1:2" x14ac:dyDescent="0.25">
      <c r="A46" s="205" t="s">
        <v>584</v>
      </c>
    </row>
    <row r="47" spans="1:2" x14ac:dyDescent="0.25">
      <c r="A47" s="209" t="s">
        <v>660</v>
      </c>
      <c r="B47" s="206">
        <v>61325232.307267956</v>
      </c>
    </row>
    <row r="48" spans="1:2" x14ac:dyDescent="0.25">
      <c r="A48" s="209" t="s">
        <v>661</v>
      </c>
      <c r="B48" s="206">
        <v>21047216.784234114</v>
      </c>
    </row>
    <row r="49" spans="1:2" x14ac:dyDescent="0.25">
      <c r="A49" s="209" t="s">
        <v>662</v>
      </c>
      <c r="B49" s="206">
        <v>130342104.88092148</v>
      </c>
    </row>
    <row r="50" spans="1:2" x14ac:dyDescent="0.25">
      <c r="A50" s="209" t="s">
        <v>663</v>
      </c>
      <c r="B50" s="206">
        <v>106669096.52615377</v>
      </c>
    </row>
    <row r="51" spans="1:2" x14ac:dyDescent="0.25">
      <c r="A51" s="205" t="s">
        <v>585</v>
      </c>
      <c r="B51" s="206"/>
    </row>
    <row r="52" spans="1:2" x14ac:dyDescent="0.25">
      <c r="A52" s="209" t="s">
        <v>660</v>
      </c>
      <c r="B52" s="206">
        <v>62902519.333161265</v>
      </c>
    </row>
    <row r="53" spans="1:2" x14ac:dyDescent="0.25">
      <c r="A53" s="209" t="s">
        <v>661</v>
      </c>
      <c r="B53" s="206">
        <v>23497749.315805372</v>
      </c>
    </row>
    <row r="54" spans="1:2" x14ac:dyDescent="0.25">
      <c r="A54" s="209" t="s">
        <v>662</v>
      </c>
      <c r="B54" s="206">
        <v>134853746.14923665</v>
      </c>
    </row>
    <row r="55" spans="1:2" x14ac:dyDescent="0.25">
      <c r="A55" s="209" t="s">
        <v>663</v>
      </c>
      <c r="B55" s="206">
        <v>111221737.72370252</v>
      </c>
    </row>
    <row r="56" spans="1:2" x14ac:dyDescent="0.25">
      <c r="A56" s="205" t="s">
        <v>586</v>
      </c>
      <c r="B56" s="206"/>
    </row>
    <row r="57" spans="1:2" x14ac:dyDescent="0.25">
      <c r="A57" s="209" t="s">
        <v>660</v>
      </c>
      <c r="B57" s="206">
        <v>63417031.792999998</v>
      </c>
    </row>
    <row r="58" spans="1:2" x14ac:dyDescent="0.25">
      <c r="A58" s="209" t="s">
        <v>661</v>
      </c>
      <c r="B58" s="206">
        <v>24368202.673</v>
      </c>
    </row>
    <row r="59" spans="1:2" x14ac:dyDescent="0.25">
      <c r="A59" s="209" t="s">
        <v>662</v>
      </c>
      <c r="B59" s="206">
        <v>137636217.15900001</v>
      </c>
    </row>
    <row r="60" spans="1:2" x14ac:dyDescent="0.25">
      <c r="A60" s="209" t="s">
        <v>663</v>
      </c>
      <c r="B60" s="206">
        <v>113286938.10600001</v>
      </c>
    </row>
    <row r="67" spans="1:5" x14ac:dyDescent="0.25">
      <c r="A67" s="204" t="s">
        <v>664</v>
      </c>
      <c r="D67" s="204" t="s">
        <v>664</v>
      </c>
    </row>
    <row r="68" spans="1:5" x14ac:dyDescent="0.25">
      <c r="A68" s="205" t="s">
        <v>666</v>
      </c>
      <c r="B68" s="206">
        <v>319227.81818181818</v>
      </c>
      <c r="D68" s="205" t="s">
        <v>670</v>
      </c>
      <c r="E68" s="206">
        <v>626988.27272727271</v>
      </c>
    </row>
    <row r="69" spans="1:5" x14ac:dyDescent="0.25">
      <c r="A69" s="205" t="s">
        <v>652</v>
      </c>
      <c r="B69" s="206">
        <v>3511506</v>
      </c>
      <c r="D69" s="205" t="s">
        <v>668</v>
      </c>
      <c r="E69" s="206">
        <v>6896871</v>
      </c>
    </row>
    <row r="70" spans="1:5" x14ac:dyDescent="0.25">
      <c r="A70" s="205" t="s">
        <v>667</v>
      </c>
      <c r="B70" s="206">
        <v>111460.54545454546</v>
      </c>
      <c r="D70" s="205" t="s">
        <v>671</v>
      </c>
      <c r="E70" s="206">
        <v>488475.90909090912</v>
      </c>
    </row>
    <row r="71" spans="1:5" x14ac:dyDescent="0.25">
      <c r="A71" s="205" t="s">
        <v>665</v>
      </c>
      <c r="B71" s="206">
        <v>1226066</v>
      </c>
      <c r="D71" s="205" t="s">
        <v>669</v>
      </c>
      <c r="E71" s="206">
        <v>5373235</v>
      </c>
    </row>
    <row r="76" spans="1:5" x14ac:dyDescent="0.25">
      <c r="A76" s="204" t="s">
        <v>664</v>
      </c>
      <c r="D76" s="204" t="s">
        <v>664</v>
      </c>
    </row>
    <row r="77" spans="1:5" x14ac:dyDescent="0.25">
      <c r="A77" s="205" t="s">
        <v>674</v>
      </c>
      <c r="B77" s="206">
        <v>60323651.838181823</v>
      </c>
      <c r="D77" s="205" t="s">
        <v>678</v>
      </c>
      <c r="E77" s="206">
        <v>117640304.71290909</v>
      </c>
    </row>
    <row r="78" spans="1:5" x14ac:dyDescent="0.25">
      <c r="A78" s="205" t="s">
        <v>672</v>
      </c>
      <c r="B78" s="206">
        <v>663560170.22000003</v>
      </c>
      <c r="D78" s="205" t="s">
        <v>676</v>
      </c>
      <c r="E78" s="206">
        <v>1294043351.842</v>
      </c>
    </row>
    <row r="79" spans="1:5" x14ac:dyDescent="0.25">
      <c r="A79" s="205" t="s">
        <v>675</v>
      </c>
      <c r="B79" s="206">
        <v>21167797.947545454</v>
      </c>
      <c r="D79" s="205" t="s">
        <v>679</v>
      </c>
      <c r="E79" s="206">
        <v>91979552.724818185</v>
      </c>
    </row>
    <row r="80" spans="1:5" x14ac:dyDescent="0.25">
      <c r="A80" s="205" t="s">
        <v>673</v>
      </c>
      <c r="B80" s="206">
        <v>232845777.42300001</v>
      </c>
      <c r="D80" s="205" t="s">
        <v>677</v>
      </c>
      <c r="E80" s="206">
        <v>1011775079.973</v>
      </c>
    </row>
    <row r="84" spans="1:5" x14ac:dyDescent="0.25">
      <c r="A84" s="204" t="s">
        <v>664</v>
      </c>
      <c r="D84" s="204" t="s">
        <v>664</v>
      </c>
    </row>
    <row r="85" spans="1:5" x14ac:dyDescent="0.25">
      <c r="A85" s="205" t="s">
        <v>682</v>
      </c>
      <c r="B85" s="206">
        <v>57868225.186836265</v>
      </c>
      <c r="D85" s="205" t="s">
        <v>686</v>
      </c>
      <c r="E85" s="206">
        <v>113231615.65594667</v>
      </c>
    </row>
    <row r="86" spans="1:5" x14ac:dyDescent="0.25">
      <c r="A86" s="205" t="s">
        <v>680</v>
      </c>
      <c r="B86" s="206">
        <v>636550477.05519891</v>
      </c>
      <c r="D86" s="205" t="s">
        <v>684</v>
      </c>
      <c r="E86" s="206">
        <v>1245547772.2154133</v>
      </c>
    </row>
    <row r="87" spans="1:5" x14ac:dyDescent="0.25">
      <c r="A87" s="205" t="s">
        <v>683</v>
      </c>
      <c r="B87" s="206">
        <v>20321992.323435444</v>
      </c>
      <c r="D87" s="205" t="s">
        <v>687</v>
      </c>
      <c r="E87" s="206">
        <v>88711833.569766387</v>
      </c>
    </row>
    <row r="88" spans="1:5" x14ac:dyDescent="0.25">
      <c r="A88" s="205" t="s">
        <v>681</v>
      </c>
      <c r="B88" s="206">
        <v>223541915.55778989</v>
      </c>
      <c r="D88" s="205" t="s">
        <v>685</v>
      </c>
      <c r="E88" s="206">
        <v>975830169.26743031</v>
      </c>
    </row>
    <row r="93" spans="1:5" x14ac:dyDescent="0.25">
      <c r="A93" s="204" t="s">
        <v>543</v>
      </c>
      <c r="B93" t="s">
        <v>652</v>
      </c>
      <c r="C93" t="s">
        <v>653</v>
      </c>
      <c r="D93" t="s">
        <v>654</v>
      </c>
      <c r="E93" t="s">
        <v>655</v>
      </c>
    </row>
    <row r="94" spans="1:5" x14ac:dyDescent="0.25">
      <c r="A94" s="205" t="s">
        <v>576</v>
      </c>
      <c r="B94" s="206">
        <v>309683</v>
      </c>
      <c r="C94" s="206">
        <v>106066</v>
      </c>
      <c r="D94" s="206">
        <v>517361</v>
      </c>
      <c r="E94" s="206">
        <v>340110</v>
      </c>
    </row>
    <row r="95" spans="1:5" x14ac:dyDescent="0.25">
      <c r="A95" s="205" t="s">
        <v>577</v>
      </c>
      <c r="B95" s="206">
        <v>312946</v>
      </c>
      <c r="C95" s="206">
        <v>107255</v>
      </c>
      <c r="D95" s="206">
        <v>536699</v>
      </c>
      <c r="E95" s="206">
        <v>361057</v>
      </c>
    </row>
    <row r="96" spans="1:5" x14ac:dyDescent="0.25">
      <c r="A96" s="205" t="s">
        <v>578</v>
      </c>
      <c r="B96" s="206">
        <v>314601</v>
      </c>
      <c r="C96" s="206">
        <v>107763</v>
      </c>
      <c r="D96" s="206">
        <v>552501</v>
      </c>
      <c r="E96" s="206">
        <v>374925</v>
      </c>
    </row>
    <row r="97" spans="1:5" x14ac:dyDescent="0.25">
      <c r="A97" s="205" t="s">
        <v>579</v>
      </c>
      <c r="B97" s="206">
        <v>316872</v>
      </c>
      <c r="C97" s="206">
        <v>108938</v>
      </c>
      <c r="D97" s="206">
        <v>605836</v>
      </c>
      <c r="E97" s="206">
        <v>477591</v>
      </c>
    </row>
    <row r="98" spans="1:5" x14ac:dyDescent="0.25">
      <c r="A98" s="205" t="s">
        <v>580</v>
      </c>
      <c r="B98" s="206">
        <v>317138</v>
      </c>
      <c r="C98" s="206">
        <v>109221</v>
      </c>
      <c r="D98" s="206">
        <v>615086</v>
      </c>
      <c r="E98" s="206">
        <v>487043</v>
      </c>
    </row>
    <row r="99" spans="1:5" x14ac:dyDescent="0.25">
      <c r="A99" s="205" t="s">
        <v>581</v>
      </c>
      <c r="B99" s="206">
        <v>317824</v>
      </c>
      <c r="C99" s="206">
        <v>109691</v>
      </c>
      <c r="D99" s="206">
        <v>621791</v>
      </c>
      <c r="E99" s="206">
        <v>498271</v>
      </c>
    </row>
    <row r="100" spans="1:5" x14ac:dyDescent="0.25">
      <c r="A100" s="205" t="s">
        <v>582</v>
      </c>
      <c r="B100" s="206">
        <v>322017</v>
      </c>
      <c r="C100" s="206">
        <v>110018</v>
      </c>
      <c r="D100" s="206">
        <v>660104</v>
      </c>
      <c r="E100" s="206">
        <v>538150</v>
      </c>
    </row>
    <row r="101" spans="1:5" x14ac:dyDescent="0.25">
      <c r="A101" s="205" t="s">
        <v>583</v>
      </c>
      <c r="B101" s="206">
        <v>321661</v>
      </c>
      <c r="C101" s="206">
        <v>109838</v>
      </c>
      <c r="D101" s="206">
        <v>679141</v>
      </c>
      <c r="E101" s="206">
        <v>553055</v>
      </c>
    </row>
    <row r="102" spans="1:5" x14ac:dyDescent="0.25">
      <c r="A102" s="205" t="s">
        <v>584</v>
      </c>
      <c r="B102" s="206">
        <v>322141</v>
      </c>
      <c r="C102" s="206">
        <v>109963</v>
      </c>
      <c r="D102" s="206">
        <v>686334</v>
      </c>
      <c r="E102" s="206">
        <v>563950</v>
      </c>
    </row>
    <row r="103" spans="1:5" x14ac:dyDescent="0.25">
      <c r="A103" s="205" t="s">
        <v>585</v>
      </c>
      <c r="B103" s="206">
        <v>327443</v>
      </c>
      <c r="C103" s="206">
        <v>121585</v>
      </c>
      <c r="D103" s="206">
        <v>704099</v>
      </c>
      <c r="E103" s="206">
        <v>584193</v>
      </c>
    </row>
    <row r="104" spans="1:5" x14ac:dyDescent="0.25">
      <c r="A104" s="205" t="s">
        <v>586</v>
      </c>
      <c r="B104" s="206">
        <v>329180</v>
      </c>
      <c r="C104" s="206">
        <v>125728</v>
      </c>
      <c r="D104" s="206">
        <v>717919</v>
      </c>
      <c r="E104" s="206">
        <v>594890</v>
      </c>
    </row>
    <row r="108" spans="1:5" x14ac:dyDescent="0.25">
      <c r="A108" s="204" t="s">
        <v>543</v>
      </c>
      <c r="B108" t="s">
        <v>682</v>
      </c>
      <c r="C108" t="s">
        <v>683</v>
      </c>
      <c r="D108" t="s">
        <v>686</v>
      </c>
      <c r="E108" t="s">
        <v>687</v>
      </c>
    </row>
    <row r="109" spans="1:5" x14ac:dyDescent="0.25">
      <c r="A109" s="205" t="s">
        <v>576</v>
      </c>
      <c r="B109" s="206">
        <v>51479972.012799807</v>
      </c>
      <c r="C109" s="206">
        <v>17653929.924414385</v>
      </c>
      <c r="D109" s="206">
        <v>76563175.748604089</v>
      </c>
      <c r="E109" s="206">
        <v>52468769.282160051</v>
      </c>
    </row>
    <row r="110" spans="1:5" x14ac:dyDescent="0.25">
      <c r="A110" s="205" t="s">
        <v>577</v>
      </c>
      <c r="B110" s="206">
        <v>52900839.868866049</v>
      </c>
      <c r="C110" s="206">
        <v>18182522.16710674</v>
      </c>
      <c r="D110" s="206">
        <v>90814177.247717783</v>
      </c>
      <c r="E110" s="206">
        <v>61156596.985792443</v>
      </c>
    </row>
    <row r="111" spans="1:5" x14ac:dyDescent="0.25">
      <c r="A111" s="205" t="s">
        <v>578</v>
      </c>
      <c r="B111" s="206">
        <v>53866571.515622824</v>
      </c>
      <c r="C111" s="206">
        <v>18523266.417408571</v>
      </c>
      <c r="D111" s="206">
        <v>94731528.649637625</v>
      </c>
      <c r="E111" s="206">
        <v>64414474.957863875</v>
      </c>
    </row>
    <row r="112" spans="1:5" x14ac:dyDescent="0.25">
      <c r="A112" s="205" t="s">
        <v>579</v>
      </c>
      <c r="B112" s="206">
        <v>54858966.378384836</v>
      </c>
      <c r="C112" s="206">
        <v>18947987.941543601</v>
      </c>
      <c r="D112" s="206">
        <v>105078731.83953598</v>
      </c>
      <c r="E112" s="206">
        <v>83047981.72619015</v>
      </c>
    </row>
    <row r="113" spans="1:5" x14ac:dyDescent="0.25">
      <c r="A113" s="205" t="s">
        <v>580</v>
      </c>
      <c r="B113" s="206">
        <v>55397966.503543399</v>
      </c>
      <c r="C113" s="206">
        <v>19173743.597283315</v>
      </c>
      <c r="D113" s="206">
        <v>107633875.10387804</v>
      </c>
      <c r="E113" s="206">
        <v>85481507.652592659</v>
      </c>
    </row>
    <row r="114" spans="1:5" x14ac:dyDescent="0.25">
      <c r="A114" s="205" t="s">
        <v>581</v>
      </c>
      <c r="B114" s="206">
        <v>58993211.929863982</v>
      </c>
      <c r="C114" s="206">
        <v>20461815.299974598</v>
      </c>
      <c r="D114" s="206">
        <v>115630826.53683501</v>
      </c>
      <c r="E114" s="206">
        <v>92933917.124145657</v>
      </c>
    </row>
    <row r="115" spans="1:5" x14ac:dyDescent="0.25">
      <c r="A115" s="205" t="s">
        <v>582</v>
      </c>
      <c r="B115" s="206">
        <v>60482279.820567153</v>
      </c>
      <c r="C115" s="206">
        <v>20770526.869989313</v>
      </c>
      <c r="D115" s="206">
        <v>123862548.4774671</v>
      </c>
      <c r="E115" s="206">
        <v>100896180.34271789</v>
      </c>
    </row>
    <row r="116" spans="1:5" x14ac:dyDescent="0.25">
      <c r="A116" s="205" t="s">
        <v>583</v>
      </c>
      <c r="B116" s="206">
        <v>60925885.592121646</v>
      </c>
      <c r="C116" s="206">
        <v>20914954.567029878</v>
      </c>
      <c r="D116" s="206">
        <v>128400840.42257972</v>
      </c>
      <c r="E116" s="206">
        <v>104252968.84011112</v>
      </c>
    </row>
    <row r="117" spans="1:5" x14ac:dyDescent="0.25">
      <c r="A117" s="205" t="s">
        <v>584</v>
      </c>
      <c r="B117" s="206">
        <v>61325232.307267956</v>
      </c>
      <c r="C117" s="206">
        <v>21047216.784234114</v>
      </c>
      <c r="D117" s="206">
        <v>130342104.88092148</v>
      </c>
      <c r="E117" s="206">
        <v>106669096.52615377</v>
      </c>
    </row>
    <row r="118" spans="1:5" x14ac:dyDescent="0.25">
      <c r="A118" s="205" t="s">
        <v>585</v>
      </c>
      <c r="B118" s="206">
        <v>62902519.333161265</v>
      </c>
      <c r="C118" s="206">
        <v>23497749.315805372</v>
      </c>
      <c r="D118" s="206">
        <v>134853746.14923665</v>
      </c>
      <c r="E118" s="206">
        <v>111221737.72370252</v>
      </c>
    </row>
    <row r="119" spans="1:5" x14ac:dyDescent="0.25">
      <c r="A119" s="205" t="s">
        <v>586</v>
      </c>
      <c r="B119" s="206">
        <v>63417031.792999998</v>
      </c>
      <c r="C119" s="206">
        <v>24368202.673</v>
      </c>
      <c r="D119" s="206">
        <v>137636217.15900001</v>
      </c>
      <c r="E119" s="206">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 workbookViewId="1"/>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4" t="s">
        <v>543</v>
      </c>
      <c r="B3" t="s">
        <v>590</v>
      </c>
      <c r="C3" t="s">
        <v>591</v>
      </c>
      <c r="D3" t="s">
        <v>592</v>
      </c>
      <c r="E3" t="s">
        <v>593</v>
      </c>
      <c r="F3" t="s">
        <v>594</v>
      </c>
      <c r="G3" t="s">
        <v>595</v>
      </c>
    </row>
    <row r="4" spans="1:7" x14ac:dyDescent="0.25">
      <c r="A4" s="205" t="s">
        <v>545</v>
      </c>
      <c r="B4" s="206">
        <v>218799.83333333334</v>
      </c>
      <c r="C4" s="206">
        <v>107682.66666666667</v>
      </c>
      <c r="D4" s="206">
        <v>108916.5</v>
      </c>
      <c r="E4" s="206">
        <v>84536</v>
      </c>
      <c r="F4" s="206">
        <v>327716.33333333331</v>
      </c>
      <c r="G4" s="206">
        <v>192218.66666666666</v>
      </c>
    </row>
    <row r="5" spans="1:7" x14ac:dyDescent="0.25">
      <c r="A5" s="205" t="s">
        <v>546</v>
      </c>
      <c r="B5" s="206">
        <v>262267.25</v>
      </c>
      <c r="C5" s="206">
        <v>117026.58333333333</v>
      </c>
      <c r="D5" s="206">
        <v>116205.08333333333</v>
      </c>
      <c r="E5" s="206">
        <v>86817.666666666672</v>
      </c>
      <c r="F5" s="206">
        <v>378472.33333333331</v>
      </c>
      <c r="G5" s="206">
        <v>203844.25</v>
      </c>
    </row>
    <row r="6" spans="1:7" x14ac:dyDescent="0.25">
      <c r="A6" s="205" t="s">
        <v>547</v>
      </c>
      <c r="B6" s="206">
        <v>284569.66666666669</v>
      </c>
      <c r="C6" s="206">
        <v>119969.58333333333</v>
      </c>
      <c r="D6" s="206">
        <v>125529.75</v>
      </c>
      <c r="E6" s="206">
        <v>89731.416666666672</v>
      </c>
      <c r="F6" s="206">
        <v>410099.41666666669</v>
      </c>
      <c r="G6" s="206">
        <v>209701</v>
      </c>
    </row>
    <row r="7" spans="1:7" x14ac:dyDescent="0.25">
      <c r="A7" s="205" t="s">
        <v>548</v>
      </c>
      <c r="B7" s="206">
        <v>286982.91666666669</v>
      </c>
      <c r="C7" s="206">
        <v>118668.91666666667</v>
      </c>
      <c r="D7" s="206">
        <v>125674.58333333333</v>
      </c>
      <c r="E7" s="206">
        <v>89317.916666666672</v>
      </c>
      <c r="F7" s="206">
        <v>412657.5</v>
      </c>
      <c r="G7" s="206">
        <v>207986.83333333334</v>
      </c>
    </row>
    <row r="8" spans="1:7" x14ac:dyDescent="0.25">
      <c r="A8" s="205" t="s">
        <v>549</v>
      </c>
      <c r="B8" s="206">
        <v>288232.25</v>
      </c>
      <c r="C8" s="206">
        <v>116683.83333333333</v>
      </c>
      <c r="D8" s="206">
        <v>120025.91666666667</v>
      </c>
      <c r="E8" s="206">
        <v>85446.25</v>
      </c>
      <c r="F8" s="206">
        <v>408258.16666666669</v>
      </c>
      <c r="G8" s="206">
        <v>202130.08333333334</v>
      </c>
    </row>
    <row r="9" spans="1:7" x14ac:dyDescent="0.25">
      <c r="A9" s="205" t="s">
        <v>550</v>
      </c>
      <c r="B9" s="206">
        <v>288720.25</v>
      </c>
      <c r="C9" s="206">
        <v>114312</v>
      </c>
      <c r="D9" s="206">
        <v>112605.08333333333</v>
      </c>
      <c r="E9" s="206">
        <v>79812.916666666672</v>
      </c>
      <c r="F9" s="206">
        <v>401325.33333333331</v>
      </c>
      <c r="G9" s="206">
        <v>194124.91666666666</v>
      </c>
    </row>
    <row r="10" spans="1:7" x14ac:dyDescent="0.25">
      <c r="A10" s="205" t="s">
        <v>551</v>
      </c>
      <c r="B10" s="206">
        <v>288530.41666666669</v>
      </c>
      <c r="C10" s="206">
        <v>111136.16666666667</v>
      </c>
      <c r="D10" s="206">
        <v>107377.16666666667</v>
      </c>
      <c r="E10" s="206">
        <v>75527.833333333328</v>
      </c>
      <c r="F10" s="206">
        <v>395907.58333333331</v>
      </c>
      <c r="G10" s="206">
        <v>186664</v>
      </c>
    </row>
    <row r="11" spans="1:7" x14ac:dyDescent="0.25">
      <c r="A11" s="205" t="s">
        <v>552</v>
      </c>
      <c r="B11" s="206">
        <v>289070.58333333331</v>
      </c>
      <c r="C11" s="206">
        <v>110162</v>
      </c>
      <c r="D11" s="206">
        <v>105105.41666666667</v>
      </c>
      <c r="E11" s="206">
        <v>74655.333333333328</v>
      </c>
      <c r="F11" s="206">
        <v>394176</v>
      </c>
      <c r="G11" s="206">
        <v>184817.33333333334</v>
      </c>
    </row>
    <row r="12" spans="1:7" x14ac:dyDescent="0.25">
      <c r="A12" s="205" t="s">
        <v>553</v>
      </c>
      <c r="B12" s="206">
        <v>290373</v>
      </c>
      <c r="C12" s="206">
        <v>108843.41666666667</v>
      </c>
      <c r="D12" s="206">
        <v>105459.83333333333</v>
      </c>
      <c r="E12" s="206">
        <v>75532.583333333328</v>
      </c>
      <c r="F12" s="206">
        <v>395832.83333333331</v>
      </c>
      <c r="G12" s="206">
        <v>184376</v>
      </c>
    </row>
    <row r="13" spans="1:7" x14ac:dyDescent="0.25">
      <c r="A13" s="205" t="s">
        <v>554</v>
      </c>
      <c r="B13" s="206">
        <v>291754</v>
      </c>
      <c r="C13" s="206">
        <v>107694.83333333333</v>
      </c>
      <c r="D13" s="206">
        <v>105581.83333333333</v>
      </c>
      <c r="E13" s="206">
        <v>76434.166666666672</v>
      </c>
      <c r="F13" s="206">
        <v>397335.83333333331</v>
      </c>
      <c r="G13" s="206">
        <v>184129</v>
      </c>
    </row>
    <row r="14" spans="1:7" x14ac:dyDescent="0.25">
      <c r="A14" s="205" t="s">
        <v>555</v>
      </c>
      <c r="B14" s="206">
        <v>295171.83333333331</v>
      </c>
      <c r="C14" s="206">
        <v>107077.41666666667</v>
      </c>
      <c r="D14" s="206">
        <v>105559.41666666667</v>
      </c>
      <c r="E14" s="206">
        <v>77417</v>
      </c>
      <c r="F14" s="206">
        <v>400731.25</v>
      </c>
      <c r="G14" s="206">
        <v>184494.41666666666</v>
      </c>
    </row>
    <row r="15" spans="1:7" x14ac:dyDescent="0.25">
      <c r="A15" s="205" t="s">
        <v>556</v>
      </c>
      <c r="B15" s="206">
        <v>299821.5</v>
      </c>
      <c r="C15" s="206">
        <v>106705.25</v>
      </c>
      <c r="D15" s="206">
        <v>104899.16666666667</v>
      </c>
      <c r="E15" s="206">
        <v>77850.416666666672</v>
      </c>
      <c r="F15" s="206">
        <v>404720.66666666669</v>
      </c>
      <c r="G15" s="206">
        <v>184555.66666666666</v>
      </c>
    </row>
    <row r="16" spans="1:7" x14ac:dyDescent="0.25">
      <c r="A16" s="205" t="s">
        <v>557</v>
      </c>
      <c r="B16" s="206">
        <v>302635</v>
      </c>
      <c r="C16" s="206">
        <v>105719.41666666667</v>
      </c>
      <c r="D16" s="206">
        <v>104028.33333333333</v>
      </c>
      <c r="E16" s="206">
        <v>77987.166666666672</v>
      </c>
      <c r="F16" s="206">
        <v>406663.33333333331</v>
      </c>
      <c r="G16" s="206">
        <v>183706.58333333334</v>
      </c>
    </row>
    <row r="17" spans="1:7" s="214" customFormat="1" x14ac:dyDescent="0.25">
      <c r="A17" s="212" t="s">
        <v>558</v>
      </c>
      <c r="B17" s="213">
        <v>305054.41666666669</v>
      </c>
      <c r="C17" s="213">
        <v>104587.16666666667</v>
      </c>
      <c r="D17" s="213">
        <v>102460.83333333333</v>
      </c>
      <c r="E17" s="213">
        <v>78655.75</v>
      </c>
      <c r="F17" s="213">
        <v>407515.25</v>
      </c>
      <c r="G17" s="213">
        <v>183242.91666666666</v>
      </c>
    </row>
    <row r="18" spans="1:7" x14ac:dyDescent="0.25">
      <c r="A18" s="208" t="s">
        <v>575</v>
      </c>
      <c r="B18" s="206">
        <v>303535</v>
      </c>
      <c r="C18" s="206">
        <v>104773</v>
      </c>
      <c r="D18" s="206">
        <v>102915</v>
      </c>
      <c r="E18" s="206">
        <v>78093</v>
      </c>
      <c r="F18" s="206">
        <v>406450</v>
      </c>
      <c r="G18" s="206">
        <v>182866</v>
      </c>
    </row>
    <row r="19" spans="1:7" x14ac:dyDescent="0.25">
      <c r="A19" s="208" t="s">
        <v>576</v>
      </c>
      <c r="B19" s="206">
        <v>303509</v>
      </c>
      <c r="C19" s="206">
        <v>104543</v>
      </c>
      <c r="D19" s="206">
        <v>102585</v>
      </c>
      <c r="E19" s="206">
        <v>78054</v>
      </c>
      <c r="F19" s="206">
        <v>406094</v>
      </c>
      <c r="G19" s="206">
        <v>182597</v>
      </c>
    </row>
    <row r="20" spans="1:7" x14ac:dyDescent="0.25">
      <c r="A20" s="208" t="s">
        <v>577</v>
      </c>
      <c r="B20" s="206">
        <v>303836</v>
      </c>
      <c r="C20" s="206">
        <v>104524</v>
      </c>
      <c r="D20" s="206">
        <v>102435</v>
      </c>
      <c r="E20" s="206">
        <v>78131</v>
      </c>
      <c r="F20" s="206">
        <v>406271</v>
      </c>
      <c r="G20" s="206">
        <v>182655</v>
      </c>
    </row>
    <row r="21" spans="1:7" x14ac:dyDescent="0.25">
      <c r="A21" s="208" t="s">
        <v>578</v>
      </c>
      <c r="B21" s="206">
        <v>304229</v>
      </c>
      <c r="C21" s="206">
        <v>104568</v>
      </c>
      <c r="D21" s="206">
        <v>102581</v>
      </c>
      <c r="E21" s="206">
        <v>78384</v>
      </c>
      <c r="F21" s="206">
        <v>406810</v>
      </c>
      <c r="G21" s="206">
        <v>182952</v>
      </c>
    </row>
    <row r="22" spans="1:7" x14ac:dyDescent="0.25">
      <c r="A22" s="208" t="s">
        <v>579</v>
      </c>
      <c r="B22" s="206">
        <v>304427</v>
      </c>
      <c r="C22" s="206">
        <v>104477</v>
      </c>
      <c r="D22" s="206">
        <v>102248</v>
      </c>
      <c r="E22" s="206">
        <v>78324</v>
      </c>
      <c r="F22" s="206">
        <v>406675</v>
      </c>
      <c r="G22" s="206">
        <v>182801</v>
      </c>
    </row>
    <row r="23" spans="1:7" x14ac:dyDescent="0.25">
      <c r="A23" s="208" t="s">
        <v>580</v>
      </c>
      <c r="B23" s="206">
        <v>304385</v>
      </c>
      <c r="C23" s="206">
        <v>104256</v>
      </c>
      <c r="D23" s="206">
        <v>102342</v>
      </c>
      <c r="E23" s="206">
        <v>78508</v>
      </c>
      <c r="F23" s="206">
        <v>406727</v>
      </c>
      <c r="G23" s="206">
        <v>182764</v>
      </c>
    </row>
    <row r="24" spans="1:7" x14ac:dyDescent="0.25">
      <c r="A24" s="208" t="s">
        <v>581</v>
      </c>
      <c r="B24" s="206">
        <v>304412</v>
      </c>
      <c r="C24" s="206">
        <v>104136</v>
      </c>
      <c r="D24" s="206">
        <v>102344</v>
      </c>
      <c r="E24" s="206">
        <v>78636</v>
      </c>
      <c r="F24" s="206">
        <v>406756</v>
      </c>
      <c r="G24" s="206">
        <v>182772</v>
      </c>
    </row>
    <row r="25" spans="1:7" x14ac:dyDescent="0.25">
      <c r="A25" s="208" t="s">
        <v>582</v>
      </c>
      <c r="B25" s="206">
        <v>304998</v>
      </c>
      <c r="C25" s="206">
        <v>104304</v>
      </c>
      <c r="D25" s="206">
        <v>102353</v>
      </c>
      <c r="E25" s="206">
        <v>78808</v>
      </c>
      <c r="F25" s="206">
        <v>407351</v>
      </c>
      <c r="G25" s="206">
        <v>183112</v>
      </c>
    </row>
    <row r="26" spans="1:7" x14ac:dyDescent="0.25">
      <c r="A26" s="208" t="s">
        <v>583</v>
      </c>
      <c r="B26" s="206">
        <v>305471</v>
      </c>
      <c r="C26" s="206">
        <v>104316</v>
      </c>
      <c r="D26" s="206">
        <v>102289</v>
      </c>
      <c r="E26" s="206">
        <v>78880</v>
      </c>
      <c r="F26" s="206">
        <v>407760</v>
      </c>
      <c r="G26" s="206">
        <v>183196</v>
      </c>
    </row>
    <row r="27" spans="1:7" x14ac:dyDescent="0.25">
      <c r="A27" s="208" t="s">
        <v>584</v>
      </c>
      <c r="B27" s="206">
        <v>306429</v>
      </c>
      <c r="C27" s="206">
        <v>104673</v>
      </c>
      <c r="D27" s="206">
        <v>102399</v>
      </c>
      <c r="E27" s="206">
        <v>79105</v>
      </c>
      <c r="F27" s="206">
        <v>408828</v>
      </c>
      <c r="G27" s="206">
        <v>183778</v>
      </c>
    </row>
    <row r="28" spans="1:7" x14ac:dyDescent="0.25">
      <c r="A28" s="208" t="s">
        <v>585</v>
      </c>
      <c r="B28" s="206">
        <v>307296</v>
      </c>
      <c r="C28" s="206">
        <v>105079</v>
      </c>
      <c r="D28" s="206">
        <v>102500</v>
      </c>
      <c r="E28" s="206">
        <v>79398</v>
      </c>
      <c r="F28" s="206">
        <v>409796</v>
      </c>
      <c r="G28" s="206">
        <v>184477</v>
      </c>
    </row>
    <row r="29" spans="1:7" x14ac:dyDescent="0.25">
      <c r="A29" s="208" t="s">
        <v>586</v>
      </c>
      <c r="B29" s="206">
        <v>308126</v>
      </c>
      <c r="C29" s="206">
        <v>105397</v>
      </c>
      <c r="D29" s="206">
        <v>102539</v>
      </c>
      <c r="E29" s="206">
        <v>79548</v>
      </c>
      <c r="F29" s="206">
        <v>410665</v>
      </c>
      <c r="G29" s="206">
        <v>184945</v>
      </c>
    </row>
    <row r="30" spans="1:7" s="214" customFormat="1" x14ac:dyDescent="0.25">
      <c r="A30" s="212" t="s">
        <v>559</v>
      </c>
      <c r="B30" s="213">
        <v>25752.666666666668</v>
      </c>
      <c r="C30" s="213">
        <v>8825.75</v>
      </c>
      <c r="D30" s="213">
        <v>103357.58333333333</v>
      </c>
      <c r="E30" s="213">
        <v>80758.083333333328</v>
      </c>
      <c r="F30" s="213">
        <v>129110.25</v>
      </c>
      <c r="G30" s="213">
        <v>89583.833333333328</v>
      </c>
    </row>
    <row r="31" spans="1:7" x14ac:dyDescent="0.25">
      <c r="A31" s="208" t="s">
        <v>575</v>
      </c>
      <c r="B31" s="206">
        <v>309032</v>
      </c>
      <c r="C31" s="206">
        <v>105909</v>
      </c>
      <c r="D31" s="206">
        <v>102612</v>
      </c>
      <c r="E31" s="206">
        <v>79732</v>
      </c>
      <c r="F31" s="206">
        <v>411644</v>
      </c>
      <c r="G31" s="206">
        <v>185641</v>
      </c>
    </row>
    <row r="32" spans="1:7" x14ac:dyDescent="0.25">
      <c r="A32" s="208" t="s">
        <v>576</v>
      </c>
      <c r="B32" s="206">
        <v>0</v>
      </c>
      <c r="C32" s="206">
        <v>0</v>
      </c>
      <c r="D32" s="206">
        <v>102691</v>
      </c>
      <c r="E32" s="206">
        <v>79908</v>
      </c>
      <c r="F32" s="206">
        <v>102691</v>
      </c>
      <c r="G32" s="206">
        <v>79908</v>
      </c>
    </row>
    <row r="33" spans="1:7" x14ac:dyDescent="0.25">
      <c r="A33" s="208" t="s">
        <v>577</v>
      </c>
      <c r="B33" s="206">
        <v>0</v>
      </c>
      <c r="C33" s="206">
        <v>0</v>
      </c>
      <c r="D33" s="206">
        <v>102784</v>
      </c>
      <c r="E33" s="206">
        <v>80074</v>
      </c>
      <c r="F33" s="206">
        <v>102784</v>
      </c>
      <c r="G33" s="206">
        <v>80074</v>
      </c>
    </row>
    <row r="34" spans="1:7" x14ac:dyDescent="0.25">
      <c r="A34" s="208" t="s">
        <v>578</v>
      </c>
      <c r="B34" s="206">
        <v>0</v>
      </c>
      <c r="C34" s="206">
        <v>0</v>
      </c>
      <c r="D34" s="206">
        <v>102632</v>
      </c>
      <c r="E34" s="206">
        <v>80110</v>
      </c>
      <c r="F34" s="206">
        <v>102632</v>
      </c>
      <c r="G34" s="206">
        <v>80110</v>
      </c>
    </row>
    <row r="35" spans="1:7" x14ac:dyDescent="0.25">
      <c r="A35" s="208" t="s">
        <v>579</v>
      </c>
      <c r="B35" s="206">
        <v>0</v>
      </c>
      <c r="C35" s="206">
        <v>0</v>
      </c>
      <c r="D35" s="206">
        <v>102856</v>
      </c>
      <c r="E35" s="206">
        <v>80398</v>
      </c>
      <c r="F35" s="206">
        <v>102856</v>
      </c>
      <c r="G35" s="206">
        <v>80398</v>
      </c>
    </row>
    <row r="36" spans="1:7" x14ac:dyDescent="0.25">
      <c r="A36" s="208" t="s">
        <v>580</v>
      </c>
      <c r="B36" s="206">
        <v>0</v>
      </c>
      <c r="C36" s="206">
        <v>0</v>
      </c>
      <c r="D36" s="206">
        <v>103404</v>
      </c>
      <c r="E36" s="206">
        <v>80766</v>
      </c>
      <c r="F36" s="206">
        <v>103404</v>
      </c>
      <c r="G36" s="206">
        <v>80766</v>
      </c>
    </row>
    <row r="37" spans="1:7" x14ac:dyDescent="0.25">
      <c r="A37" s="208" t="s">
        <v>581</v>
      </c>
      <c r="B37" s="206">
        <v>0</v>
      </c>
      <c r="C37" s="206">
        <v>0</v>
      </c>
      <c r="D37" s="206">
        <v>103650</v>
      </c>
      <c r="E37" s="206">
        <v>81031</v>
      </c>
      <c r="F37" s="206">
        <v>103650</v>
      </c>
      <c r="G37" s="206">
        <v>81031</v>
      </c>
    </row>
    <row r="38" spans="1:7" x14ac:dyDescent="0.25">
      <c r="A38" s="208" t="s">
        <v>582</v>
      </c>
      <c r="B38" s="206">
        <v>0</v>
      </c>
      <c r="C38" s="206">
        <v>0</v>
      </c>
      <c r="D38" s="206">
        <v>103890</v>
      </c>
      <c r="E38" s="206">
        <v>81219</v>
      </c>
      <c r="F38" s="206">
        <v>103890</v>
      </c>
      <c r="G38" s="206">
        <v>81219</v>
      </c>
    </row>
    <row r="39" spans="1:7" x14ac:dyDescent="0.25">
      <c r="A39" s="208" t="s">
        <v>583</v>
      </c>
      <c r="B39" s="206">
        <v>0</v>
      </c>
      <c r="C39" s="206">
        <v>0</v>
      </c>
      <c r="D39" s="206">
        <v>103948</v>
      </c>
      <c r="E39" s="206">
        <v>81350</v>
      </c>
      <c r="F39" s="206">
        <v>103948</v>
      </c>
      <c r="G39" s="206">
        <v>81350</v>
      </c>
    </row>
    <row r="40" spans="1:7" x14ac:dyDescent="0.25">
      <c r="A40" s="208" t="s">
        <v>584</v>
      </c>
      <c r="B40" s="206">
        <v>0</v>
      </c>
      <c r="C40" s="206">
        <v>0</v>
      </c>
      <c r="D40" s="206">
        <v>103979</v>
      </c>
      <c r="E40" s="206">
        <v>81414</v>
      </c>
      <c r="F40" s="206">
        <v>103979</v>
      </c>
      <c r="G40" s="206">
        <v>81414</v>
      </c>
    </row>
    <row r="41" spans="1:7" x14ac:dyDescent="0.25">
      <c r="A41" s="208" t="s">
        <v>585</v>
      </c>
      <c r="B41" s="206">
        <v>0</v>
      </c>
      <c r="C41" s="206">
        <v>0</v>
      </c>
      <c r="D41" s="206">
        <v>103866</v>
      </c>
      <c r="E41" s="206">
        <v>81490</v>
      </c>
      <c r="F41" s="206">
        <v>103866</v>
      </c>
      <c r="G41" s="206">
        <v>81490</v>
      </c>
    </row>
    <row r="42" spans="1:7" x14ac:dyDescent="0.25">
      <c r="A42" s="208" t="s">
        <v>586</v>
      </c>
      <c r="B42" s="206">
        <v>0</v>
      </c>
      <c r="C42" s="206">
        <v>0</v>
      </c>
      <c r="D42" s="206">
        <v>103979</v>
      </c>
      <c r="E42" s="206">
        <v>81605</v>
      </c>
      <c r="F42" s="206">
        <v>103979</v>
      </c>
      <c r="G42" s="206">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 workbookViewId="1"/>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4" t="s">
        <v>9</v>
      </c>
      <c r="J1" t="s">
        <v>596</v>
      </c>
    </row>
    <row r="3" spans="1:40" x14ac:dyDescent="0.25">
      <c r="A3" s="204" t="s">
        <v>543</v>
      </c>
      <c r="B3" t="s">
        <v>571</v>
      </c>
      <c r="C3" t="s">
        <v>570</v>
      </c>
      <c r="D3" t="s">
        <v>572</v>
      </c>
      <c r="E3" t="s">
        <v>569</v>
      </c>
      <c r="F3" t="s">
        <v>574</v>
      </c>
      <c r="G3" t="s">
        <v>573</v>
      </c>
      <c r="I3" s="204" t="s">
        <v>543</v>
      </c>
      <c r="J3" t="s">
        <v>561</v>
      </c>
      <c r="K3" t="s">
        <v>560</v>
      </c>
      <c r="L3" t="s">
        <v>562</v>
      </c>
      <c r="M3" t="s">
        <v>568</v>
      </c>
      <c r="N3" t="s">
        <v>567</v>
      </c>
      <c r="O3" t="s">
        <v>563</v>
      </c>
      <c r="P3" t="s">
        <v>565</v>
      </c>
      <c r="Q3" t="s">
        <v>564</v>
      </c>
      <c r="R3" t="s">
        <v>566</v>
      </c>
      <c r="T3" t="s">
        <v>543</v>
      </c>
      <c r="U3" t="s">
        <v>561</v>
      </c>
      <c r="V3" t="s">
        <v>560</v>
      </c>
      <c r="W3" t="s">
        <v>562</v>
      </c>
      <c r="X3" t="s">
        <v>568</v>
      </c>
      <c r="Y3" t="s">
        <v>567</v>
      </c>
      <c r="Z3" t="s">
        <v>563</v>
      </c>
      <c r="AA3" t="s">
        <v>565</v>
      </c>
      <c r="AB3" t="s">
        <v>564</v>
      </c>
      <c r="AC3" t="s">
        <v>566</v>
      </c>
      <c r="AE3" t="s">
        <v>543</v>
      </c>
      <c r="AF3" t="s">
        <v>561</v>
      </c>
      <c r="AG3" t="s">
        <v>560</v>
      </c>
      <c r="AH3" t="s">
        <v>562</v>
      </c>
      <c r="AI3" s="217" t="s">
        <v>568</v>
      </c>
      <c r="AJ3" s="217" t="s">
        <v>567</v>
      </c>
      <c r="AK3" t="s">
        <v>563</v>
      </c>
      <c r="AL3" s="218" t="s">
        <v>565</v>
      </c>
      <c r="AM3" s="218" t="s">
        <v>564</v>
      </c>
      <c r="AN3" t="s">
        <v>566</v>
      </c>
    </row>
    <row r="4" spans="1:40" x14ac:dyDescent="0.25">
      <c r="A4" s="205" t="s">
        <v>545</v>
      </c>
      <c r="B4" s="206">
        <v>8246926869.2877502</v>
      </c>
      <c r="C4" s="206">
        <v>3973207724.5979996</v>
      </c>
      <c r="D4" s="206">
        <v>3969656243.1597457</v>
      </c>
      <c r="E4" s="206">
        <v>3064613569.4954667</v>
      </c>
      <c r="F4" s="206">
        <v>12216583112.447495</v>
      </c>
      <c r="G4" s="206">
        <v>7037821294.0934668</v>
      </c>
      <c r="I4" s="212" t="s">
        <v>559</v>
      </c>
      <c r="J4" s="213">
        <v>0</v>
      </c>
      <c r="K4" s="213">
        <v>0</v>
      </c>
      <c r="L4" s="213">
        <v>0</v>
      </c>
      <c r="M4" s="213">
        <v>60133312971.379852</v>
      </c>
      <c r="N4" s="213">
        <v>47149435903.915161</v>
      </c>
      <c r="O4" s="213">
        <v>107282748875.29501</v>
      </c>
      <c r="P4" s="213">
        <v>60133312971.379852</v>
      </c>
      <c r="Q4" s="213">
        <v>47149435903.915161</v>
      </c>
      <c r="R4" s="213">
        <v>107282748875.29501</v>
      </c>
      <c r="T4" t="s">
        <v>584</v>
      </c>
      <c r="U4">
        <v>0</v>
      </c>
      <c r="V4">
        <v>0</v>
      </c>
      <c r="W4">
        <v>0</v>
      </c>
      <c r="X4">
        <v>19903687043.913326</v>
      </c>
      <c r="Y4">
        <v>15583475340.434208</v>
      </c>
      <c r="Z4">
        <v>35487162384.347534</v>
      </c>
      <c r="AA4">
        <v>19903687043.913326</v>
      </c>
      <c r="AB4">
        <v>15583475340.434208</v>
      </c>
      <c r="AC4">
        <v>35487162384.347534</v>
      </c>
      <c r="AE4" t="s">
        <v>584</v>
      </c>
      <c r="AF4" s="215">
        <f>+U4/1000</f>
        <v>0</v>
      </c>
      <c r="AG4" s="215">
        <f t="shared" ref="AG4:AN4" si="0">+V4/1000</f>
        <v>0</v>
      </c>
      <c r="AH4" s="215">
        <f t="shared" si="0"/>
        <v>0</v>
      </c>
      <c r="AI4" s="215">
        <f t="shared" si="0"/>
        <v>19903687.043913327</v>
      </c>
      <c r="AJ4" s="215">
        <f t="shared" si="0"/>
        <v>15583475.340434209</v>
      </c>
      <c r="AK4" s="215">
        <f t="shared" si="0"/>
        <v>35487162.384347536</v>
      </c>
      <c r="AL4" s="215">
        <f t="shared" si="0"/>
        <v>19903687.043913327</v>
      </c>
      <c r="AM4" s="215">
        <f t="shared" si="0"/>
        <v>15583475.340434209</v>
      </c>
      <c r="AN4" s="215">
        <f t="shared" si="0"/>
        <v>35487162.384347536</v>
      </c>
    </row>
    <row r="5" spans="1:40" x14ac:dyDescent="0.25">
      <c r="A5" s="205" t="s">
        <v>546</v>
      </c>
      <c r="B5" s="206">
        <v>10831943415.048538</v>
      </c>
      <c r="C5" s="206">
        <v>4778493385.1598539</v>
      </c>
      <c r="D5" s="206">
        <v>5149103046.8522663</v>
      </c>
      <c r="E5" s="206">
        <v>3655592972.6395154</v>
      </c>
      <c r="F5" s="206">
        <v>15981046461.900803</v>
      </c>
      <c r="G5" s="206">
        <v>8434086357.799367</v>
      </c>
      <c r="I5" s="208" t="s">
        <v>584</v>
      </c>
      <c r="J5" s="206">
        <v>0</v>
      </c>
      <c r="K5" s="206">
        <v>0</v>
      </c>
      <c r="L5" s="206">
        <v>0</v>
      </c>
      <c r="M5" s="206">
        <v>19903687043.913326</v>
      </c>
      <c r="N5" s="206">
        <v>15583475340.434208</v>
      </c>
      <c r="O5" s="206">
        <v>35487162384.347534</v>
      </c>
      <c r="P5" s="206">
        <v>19903687043.913326</v>
      </c>
      <c r="Q5" s="206">
        <v>15583475340.434208</v>
      </c>
      <c r="R5" s="206">
        <v>35487162384.347534</v>
      </c>
      <c r="T5" t="s">
        <v>585</v>
      </c>
      <c r="U5">
        <v>0</v>
      </c>
      <c r="V5">
        <v>0</v>
      </c>
      <c r="W5">
        <v>0</v>
      </c>
      <c r="X5">
        <v>20075788768.466526</v>
      </c>
      <c r="Y5">
        <v>15749774388.480951</v>
      </c>
      <c r="Z5">
        <v>35825563156.947479</v>
      </c>
      <c r="AA5">
        <v>20075788768.466526</v>
      </c>
      <c r="AB5">
        <v>15749774388.480951</v>
      </c>
      <c r="AC5">
        <v>35825563156.947479</v>
      </c>
      <c r="AE5" t="s">
        <v>585</v>
      </c>
      <c r="AF5" s="215">
        <f t="shared" ref="AF5:AF6" si="1">+U5/1000</f>
        <v>0</v>
      </c>
      <c r="AG5" s="215">
        <f t="shared" ref="AG5:AG6" si="2">+V5/1000</f>
        <v>0</v>
      </c>
      <c r="AH5" s="215">
        <f t="shared" ref="AH5:AH6" si="3">+W5/1000</f>
        <v>0</v>
      </c>
      <c r="AI5" s="215">
        <f t="shared" ref="AI5:AI6" si="4">+X5/1000</f>
        <v>20075788.768466525</v>
      </c>
      <c r="AJ5" s="215">
        <f t="shared" ref="AJ5:AJ6" si="5">+Y5/1000</f>
        <v>15749774.388480952</v>
      </c>
      <c r="AK5" s="215">
        <f t="shared" ref="AK5:AK6" si="6">+Z5/1000</f>
        <v>35825563.156947479</v>
      </c>
      <c r="AL5" s="215">
        <f t="shared" ref="AL5:AL6" si="7">+AA5/1000</f>
        <v>20075788.768466525</v>
      </c>
      <c r="AM5" s="215">
        <f t="shared" ref="AM5:AM6" si="8">+AB5/1000</f>
        <v>15749774.388480952</v>
      </c>
      <c r="AN5" s="215">
        <f t="shared" ref="AN5:AN6" si="9">+AC5/1000</f>
        <v>35825563.156947479</v>
      </c>
    </row>
    <row r="6" spans="1:40" x14ac:dyDescent="0.25">
      <c r="A6" s="205" t="s">
        <v>547</v>
      </c>
      <c r="B6" s="206">
        <v>13095567640.080732</v>
      </c>
      <c r="C6" s="206">
        <v>5502966223.7595825</v>
      </c>
      <c r="D6" s="206">
        <v>5973329799.6957197</v>
      </c>
      <c r="E6" s="206">
        <v>4181931763.7496819</v>
      </c>
      <c r="F6" s="206">
        <v>19068897439.776447</v>
      </c>
      <c r="G6" s="206">
        <v>9684897987.5092659</v>
      </c>
      <c r="I6" s="208" t="s">
        <v>585</v>
      </c>
      <c r="J6" s="206">
        <v>0</v>
      </c>
      <c r="K6" s="206">
        <v>0</v>
      </c>
      <c r="L6" s="206">
        <v>0</v>
      </c>
      <c r="M6" s="206">
        <v>20075788768.466526</v>
      </c>
      <c r="N6" s="206">
        <v>15749774388.480951</v>
      </c>
      <c r="O6" s="206">
        <v>35825563156.947479</v>
      </c>
      <c r="P6" s="206">
        <v>20075788768.466526</v>
      </c>
      <c r="Q6" s="206">
        <v>15749774388.480951</v>
      </c>
      <c r="R6" s="206">
        <v>35825563156.947479</v>
      </c>
      <c r="T6" t="s">
        <v>586</v>
      </c>
      <c r="U6">
        <v>0</v>
      </c>
      <c r="V6">
        <v>0</v>
      </c>
      <c r="W6">
        <v>0</v>
      </c>
      <c r="X6">
        <v>20153837159</v>
      </c>
      <c r="Y6">
        <v>15816186175</v>
      </c>
      <c r="Z6">
        <v>35970023334</v>
      </c>
      <c r="AA6">
        <v>20153837159</v>
      </c>
      <c r="AB6">
        <v>15816186175</v>
      </c>
      <c r="AC6">
        <v>35970023334</v>
      </c>
      <c r="AE6" t="s">
        <v>586</v>
      </c>
      <c r="AF6" s="215">
        <f t="shared" si="1"/>
        <v>0</v>
      </c>
      <c r="AG6" s="215">
        <f t="shared" si="2"/>
        <v>0</v>
      </c>
      <c r="AH6" s="215">
        <f t="shared" si="3"/>
        <v>0</v>
      </c>
      <c r="AI6" s="215">
        <f t="shared" si="4"/>
        <v>20153837.159000002</v>
      </c>
      <c r="AJ6" s="215">
        <f t="shared" si="5"/>
        <v>15816186.175000001</v>
      </c>
      <c r="AK6" s="215">
        <f t="shared" si="6"/>
        <v>35970023.333999999</v>
      </c>
      <c r="AL6" s="215">
        <f t="shared" si="7"/>
        <v>20153837.159000002</v>
      </c>
      <c r="AM6" s="215">
        <f t="shared" si="8"/>
        <v>15816186.175000001</v>
      </c>
      <c r="AN6" s="215">
        <f t="shared" si="9"/>
        <v>35970023.333999999</v>
      </c>
    </row>
    <row r="7" spans="1:40" x14ac:dyDescent="0.25">
      <c r="A7" s="205" t="s">
        <v>548</v>
      </c>
      <c r="B7" s="206">
        <v>13994994329.511679</v>
      </c>
      <c r="C7" s="206">
        <v>5780107940.9241409</v>
      </c>
      <c r="D7" s="206">
        <v>6221600908.5936813</v>
      </c>
      <c r="E7" s="206">
        <v>4373494706.5970135</v>
      </c>
      <c r="F7" s="206">
        <v>20216595238.105358</v>
      </c>
      <c r="G7" s="206">
        <v>10153602647.521154</v>
      </c>
      <c r="I7" s="208" t="s">
        <v>586</v>
      </c>
      <c r="J7" s="206">
        <v>0</v>
      </c>
      <c r="K7" s="206">
        <v>0</v>
      </c>
      <c r="L7" s="206">
        <v>0</v>
      </c>
      <c r="M7" s="206">
        <v>20153837159</v>
      </c>
      <c r="N7" s="206">
        <v>15816186175</v>
      </c>
      <c r="O7" s="206">
        <v>35970023334</v>
      </c>
      <c r="P7" s="206">
        <v>20153837159</v>
      </c>
      <c r="Q7" s="206">
        <v>15816186175</v>
      </c>
      <c r="R7" s="206">
        <v>35970023334</v>
      </c>
    </row>
    <row r="8" spans="1:40" x14ac:dyDescent="0.25">
      <c r="A8" s="205" t="s">
        <v>549</v>
      </c>
      <c r="B8" s="206">
        <v>14900591934.083181</v>
      </c>
      <c r="C8" s="206">
        <v>6027641672.6388502</v>
      </c>
      <c r="D8" s="206">
        <v>6305334741.0595312</v>
      </c>
      <c r="E8" s="206">
        <v>4448180899.6762056</v>
      </c>
      <c r="F8" s="206">
        <v>21205926675.142715</v>
      </c>
      <c r="G8" s="206">
        <v>10475822572.315058</v>
      </c>
    </row>
    <row r="9" spans="1:40" x14ac:dyDescent="0.25">
      <c r="A9" s="205" t="s">
        <v>550</v>
      </c>
      <c r="B9" s="206">
        <v>15464510652.205984</v>
      </c>
      <c r="C9" s="206">
        <v>6127638130.4877253</v>
      </c>
      <c r="D9" s="206">
        <v>6133300571.7438841</v>
      </c>
      <c r="E9" s="206">
        <v>4291617400.8795981</v>
      </c>
      <c r="F9" s="206">
        <v>21597811223.949871</v>
      </c>
      <c r="G9" s="206">
        <v>10419255531.367325</v>
      </c>
    </row>
    <row r="10" spans="1:40" x14ac:dyDescent="0.25">
      <c r="A10" s="205" t="s">
        <v>551</v>
      </c>
      <c r="B10" s="206">
        <v>16719242118.712105</v>
      </c>
      <c r="C10" s="206">
        <v>6443033859.5210752</v>
      </c>
      <c r="D10" s="206">
        <v>6332875385.4161987</v>
      </c>
      <c r="E10" s="206">
        <v>4376817385.0717344</v>
      </c>
      <c r="F10" s="206">
        <v>23052117504.128307</v>
      </c>
      <c r="G10" s="206">
        <v>10819851244.592808</v>
      </c>
    </row>
    <row r="11" spans="1:40" x14ac:dyDescent="0.25">
      <c r="A11" s="205" t="s">
        <v>552</v>
      </c>
      <c r="B11" s="206">
        <v>18210702843.160507</v>
      </c>
      <c r="C11" s="206">
        <v>6946083183.5916548</v>
      </c>
      <c r="D11" s="206">
        <v>6761441395.714366</v>
      </c>
      <c r="E11" s="206">
        <v>4771430769.2962599</v>
      </c>
      <c r="F11" s="206">
        <v>24972144238.874874</v>
      </c>
      <c r="G11" s="206">
        <v>11717513952.887915</v>
      </c>
    </row>
    <row r="12" spans="1:40" x14ac:dyDescent="0.25">
      <c r="A12" s="205" t="s">
        <v>553</v>
      </c>
      <c r="B12" s="206">
        <v>19783296657.483814</v>
      </c>
      <c r="C12" s="206">
        <v>7425619705.3861189</v>
      </c>
      <c r="D12" s="206">
        <v>7362010767.830924</v>
      </c>
      <c r="E12" s="206">
        <v>5231600971.8967381</v>
      </c>
      <c r="F12" s="206">
        <v>27145307425.314739</v>
      </c>
      <c r="G12" s="206">
        <v>12657220677.28286</v>
      </c>
      <c r="I12" s="204" t="s">
        <v>9</v>
      </c>
      <c r="J12" t="s">
        <v>596</v>
      </c>
      <c r="AE12" t="s">
        <v>616</v>
      </c>
    </row>
    <row r="13" spans="1:40" x14ac:dyDescent="0.25">
      <c r="A13" s="205" t="s">
        <v>554</v>
      </c>
      <c r="B13" s="206">
        <v>23013211595.87286</v>
      </c>
      <c r="C13" s="206">
        <v>8501264270.2728071</v>
      </c>
      <c r="D13" s="206">
        <v>8483630715.9830093</v>
      </c>
      <c r="E13" s="206">
        <v>6104356781.0873613</v>
      </c>
      <c r="F13" s="206">
        <v>31496842311.855865</v>
      </c>
      <c r="G13" s="206">
        <v>14605621051.360168</v>
      </c>
      <c r="AF13" t="s">
        <v>617</v>
      </c>
      <c r="AI13" t="s">
        <v>615</v>
      </c>
      <c r="AL13" t="s">
        <v>75</v>
      </c>
    </row>
    <row r="14" spans="1:40" x14ac:dyDescent="0.25">
      <c r="A14" s="205" t="s">
        <v>555</v>
      </c>
      <c r="B14" s="206">
        <v>24370427621.370571</v>
      </c>
      <c r="C14" s="206">
        <v>8842345357.059454</v>
      </c>
      <c r="D14" s="206">
        <v>8863104958.5664921</v>
      </c>
      <c r="E14" s="206">
        <v>6451885180.39046</v>
      </c>
      <c r="F14" s="206">
        <v>33233532579.937061</v>
      </c>
      <c r="G14" s="206">
        <v>15294230537.449913</v>
      </c>
      <c r="I14" s="204" t="s">
        <v>543</v>
      </c>
      <c r="J14" t="s">
        <v>597</v>
      </c>
      <c r="K14" t="s">
        <v>598</v>
      </c>
      <c r="L14" t="s">
        <v>599</v>
      </c>
      <c r="M14" t="s">
        <v>600</v>
      </c>
      <c r="N14" t="s">
        <v>601</v>
      </c>
      <c r="O14" t="s">
        <v>602</v>
      </c>
      <c r="P14" t="s">
        <v>603</v>
      </c>
      <c r="Q14" t="s">
        <v>604</v>
      </c>
      <c r="R14" t="s">
        <v>605</v>
      </c>
      <c r="T14" t="s">
        <v>543</v>
      </c>
      <c r="U14" s="207" t="s">
        <v>597</v>
      </c>
      <c r="V14" s="207" t="s">
        <v>598</v>
      </c>
      <c r="W14" s="207" t="s">
        <v>599</v>
      </c>
      <c r="X14" s="207" t="s">
        <v>600</v>
      </c>
      <c r="Y14" s="207" t="s">
        <v>601</v>
      </c>
      <c r="Z14" s="207" t="s">
        <v>602</v>
      </c>
      <c r="AA14" s="207" t="s">
        <v>603</v>
      </c>
      <c r="AB14" s="207" t="s">
        <v>604</v>
      </c>
      <c r="AC14" s="207" t="s">
        <v>605</v>
      </c>
      <c r="AE14" t="s">
        <v>543</v>
      </c>
      <c r="AF14" t="s">
        <v>606</v>
      </c>
      <c r="AG14" t="s">
        <v>607</v>
      </c>
      <c r="AH14" t="s">
        <v>608</v>
      </c>
      <c r="AI14" t="s">
        <v>609</v>
      </c>
      <c r="AJ14" t="s">
        <v>610</v>
      </c>
      <c r="AK14" t="s">
        <v>611</v>
      </c>
      <c r="AL14" t="s">
        <v>612</v>
      </c>
      <c r="AM14" t="s">
        <v>613</v>
      </c>
      <c r="AN14" t="s">
        <v>614</v>
      </c>
    </row>
    <row r="15" spans="1:40" x14ac:dyDescent="0.25">
      <c r="A15" s="205" t="s">
        <v>556</v>
      </c>
      <c r="B15" s="206">
        <v>26689511249.196259</v>
      </c>
      <c r="C15" s="206">
        <v>9492244005.0758266</v>
      </c>
      <c r="D15" s="206">
        <v>9429656004.8587437</v>
      </c>
      <c r="E15" s="206">
        <v>6956454754.7894373</v>
      </c>
      <c r="F15" s="206">
        <v>36119167254.055008</v>
      </c>
      <c r="G15" s="206">
        <v>16448698759.865265</v>
      </c>
      <c r="I15" s="212" t="s">
        <v>559</v>
      </c>
      <c r="J15" s="213">
        <v>0</v>
      </c>
      <c r="K15" s="213">
        <v>0</v>
      </c>
      <c r="L15" s="213">
        <v>0</v>
      </c>
      <c r="M15" s="213">
        <v>60441368879</v>
      </c>
      <c r="N15" s="213">
        <v>47390715970</v>
      </c>
      <c r="O15" s="213">
        <v>107832084849</v>
      </c>
      <c r="P15" s="213">
        <v>60441368879</v>
      </c>
      <c r="Q15" s="213">
        <v>47390715970</v>
      </c>
      <c r="R15" s="213">
        <v>107832084849</v>
      </c>
      <c r="T15" t="s">
        <v>584</v>
      </c>
      <c r="U15" s="215">
        <v>0</v>
      </c>
      <c r="V15" s="215">
        <v>0</v>
      </c>
      <c r="W15" s="215">
        <v>0</v>
      </c>
      <c r="X15" s="215">
        <v>20154801071</v>
      </c>
      <c r="Y15" s="215">
        <v>15780083599</v>
      </c>
      <c r="Z15" s="215">
        <v>35934884670</v>
      </c>
      <c r="AA15" s="215">
        <v>20154801071</v>
      </c>
      <c r="AB15" s="215">
        <v>15780083599</v>
      </c>
      <c r="AC15" s="215">
        <v>35934884670</v>
      </c>
      <c r="AE15" t="s">
        <v>584</v>
      </c>
      <c r="AF15" s="215">
        <f>+U15/1000</f>
        <v>0</v>
      </c>
      <c r="AG15" s="215">
        <f t="shared" ref="AG15:AN15" si="10">+V15/1000</f>
        <v>0</v>
      </c>
      <c r="AH15" s="215">
        <f t="shared" si="10"/>
        <v>0</v>
      </c>
      <c r="AI15" s="215">
        <f>+X15/1000</f>
        <v>20154801.070999999</v>
      </c>
      <c r="AJ15" s="215">
        <f t="shared" si="10"/>
        <v>15780083.598999999</v>
      </c>
      <c r="AK15" s="215">
        <f t="shared" si="10"/>
        <v>35934884.670000002</v>
      </c>
      <c r="AL15" s="215">
        <f t="shared" si="10"/>
        <v>20154801.070999999</v>
      </c>
      <c r="AM15" s="215">
        <f t="shared" si="10"/>
        <v>15780083.598999999</v>
      </c>
      <c r="AN15" s="215">
        <f t="shared" si="10"/>
        <v>35934884.670000002</v>
      </c>
    </row>
    <row r="16" spans="1:40" x14ac:dyDescent="0.25">
      <c r="A16" s="205" t="s">
        <v>557</v>
      </c>
      <c r="B16" s="206">
        <v>36592890448.634682</v>
      </c>
      <c r="C16" s="206">
        <v>12913294405.351358</v>
      </c>
      <c r="D16" s="206">
        <v>11894673713.107821</v>
      </c>
      <c r="E16" s="206">
        <v>8911422908.9337215</v>
      </c>
      <c r="F16" s="206">
        <v>48487564161.742493</v>
      </c>
      <c r="G16" s="206">
        <v>21824717314.285076</v>
      </c>
      <c r="I16" s="208" t="s">
        <v>584</v>
      </c>
      <c r="J16" s="206">
        <v>0</v>
      </c>
      <c r="K16" s="206">
        <v>0</v>
      </c>
      <c r="L16" s="206">
        <v>0</v>
      </c>
      <c r="M16" s="206">
        <v>20154801071</v>
      </c>
      <c r="N16" s="206">
        <v>15780083599</v>
      </c>
      <c r="O16" s="206">
        <v>35934884670</v>
      </c>
      <c r="P16" s="206">
        <v>20154801071</v>
      </c>
      <c r="Q16" s="206">
        <v>15780083599</v>
      </c>
      <c r="R16" s="206">
        <v>35934884670</v>
      </c>
      <c r="T16" s="214" t="s">
        <v>585</v>
      </c>
      <c r="U16" s="216">
        <v>0</v>
      </c>
      <c r="V16" s="216">
        <v>0</v>
      </c>
      <c r="W16" s="216">
        <v>0</v>
      </c>
      <c r="X16" s="216">
        <v>20132730649</v>
      </c>
      <c r="Y16" s="216">
        <v>15794446196</v>
      </c>
      <c r="Z16" s="216">
        <v>35927176845</v>
      </c>
      <c r="AA16" s="216">
        <v>20132730649</v>
      </c>
      <c r="AB16" s="216">
        <v>15794446196</v>
      </c>
      <c r="AC16" s="216">
        <v>35927176845</v>
      </c>
      <c r="AE16" s="214" t="s">
        <v>585</v>
      </c>
      <c r="AF16" s="215">
        <f t="shared" ref="AF16:AF17" si="11">+U16/1000</f>
        <v>0</v>
      </c>
      <c r="AG16" s="215">
        <f t="shared" ref="AG16:AG17" si="12">+V16/1000</f>
        <v>0</v>
      </c>
      <c r="AH16" s="215">
        <f t="shared" ref="AH16:AH17" si="13">+W16/1000</f>
        <v>0</v>
      </c>
      <c r="AI16" s="215">
        <f t="shared" ref="AI16:AI17" si="14">+X16/1000</f>
        <v>20132730.649</v>
      </c>
      <c r="AJ16" s="215">
        <f t="shared" ref="AJ16:AJ17" si="15">+Y16/1000</f>
        <v>15794446.196</v>
      </c>
      <c r="AK16" s="215">
        <f t="shared" ref="AK16:AK17" si="16">+Z16/1000</f>
        <v>35927176.844999999</v>
      </c>
      <c r="AL16" s="215">
        <f t="shared" ref="AL16:AL17" si="17">+AA16/1000</f>
        <v>20132730.649</v>
      </c>
      <c r="AM16" s="215">
        <f t="shared" ref="AM16:AM17" si="18">+AB16/1000</f>
        <v>15794446.196</v>
      </c>
      <c r="AN16" s="215">
        <f t="shared" ref="AN16:AN17" si="19">+AC16/1000</f>
        <v>35927176.844999999</v>
      </c>
    </row>
    <row r="17" spans="1:40" x14ac:dyDescent="0.25">
      <c r="A17" s="212" t="s">
        <v>558</v>
      </c>
      <c r="B17" s="213">
        <v>43453866484.039848</v>
      </c>
      <c r="C17" s="213">
        <v>14949329618.898636</v>
      </c>
      <c r="D17" s="213">
        <v>14114095435.076376</v>
      </c>
      <c r="E17" s="213">
        <v>10837332885.31241</v>
      </c>
      <c r="F17" s="213">
        <v>57567961919.116219</v>
      </c>
      <c r="G17" s="213">
        <v>25786662504.21104</v>
      </c>
      <c r="I17" s="208" t="s">
        <v>585</v>
      </c>
      <c r="J17" s="206">
        <v>0</v>
      </c>
      <c r="K17" s="206">
        <v>0</v>
      </c>
      <c r="L17" s="206">
        <v>0</v>
      </c>
      <c r="M17" s="206">
        <v>20132730649</v>
      </c>
      <c r="N17" s="206">
        <v>15794446196</v>
      </c>
      <c r="O17" s="206">
        <v>35927176845</v>
      </c>
      <c r="P17" s="206">
        <v>20132730649</v>
      </c>
      <c r="Q17" s="206">
        <v>15794446196</v>
      </c>
      <c r="R17" s="206">
        <v>35927176845</v>
      </c>
      <c r="S17" s="214"/>
      <c r="T17" t="s">
        <v>586</v>
      </c>
      <c r="U17" s="215">
        <v>0</v>
      </c>
      <c r="V17" s="215">
        <v>0</v>
      </c>
      <c r="W17" s="215">
        <v>0</v>
      </c>
      <c r="X17" s="215">
        <v>20153837159</v>
      </c>
      <c r="Y17" s="215">
        <v>15816186175</v>
      </c>
      <c r="Z17" s="215">
        <v>35970023334</v>
      </c>
      <c r="AA17" s="215">
        <v>20153837159</v>
      </c>
      <c r="AB17" s="215">
        <v>15816186175</v>
      </c>
      <c r="AC17" s="215">
        <v>35970023334</v>
      </c>
      <c r="AE17" t="s">
        <v>586</v>
      </c>
      <c r="AF17" s="215">
        <f t="shared" si="11"/>
        <v>0</v>
      </c>
      <c r="AG17" s="215">
        <f t="shared" si="12"/>
        <v>0</v>
      </c>
      <c r="AH17" s="215">
        <f t="shared" si="13"/>
        <v>0</v>
      </c>
      <c r="AI17" s="215">
        <f t="shared" si="14"/>
        <v>20153837.159000002</v>
      </c>
      <c r="AJ17" s="215">
        <f t="shared" si="15"/>
        <v>15816186.175000001</v>
      </c>
      <c r="AK17" s="215">
        <f t="shared" si="16"/>
        <v>35970023.333999999</v>
      </c>
      <c r="AL17" s="215">
        <f t="shared" si="17"/>
        <v>20153837.159000002</v>
      </c>
      <c r="AM17" s="215">
        <f t="shared" si="18"/>
        <v>15816186.175000001</v>
      </c>
      <c r="AN17" s="215">
        <f t="shared" si="19"/>
        <v>35970023.333999999</v>
      </c>
    </row>
    <row r="18" spans="1:40" x14ac:dyDescent="0.25">
      <c r="A18" s="208" t="s">
        <v>575</v>
      </c>
      <c r="B18" s="206">
        <v>41412764928.550545</v>
      </c>
      <c r="C18" s="206">
        <v>14344174607.805138</v>
      </c>
      <c r="D18" s="206">
        <v>13575450041.297749</v>
      </c>
      <c r="E18" s="206">
        <v>10301136754.388906</v>
      </c>
      <c r="F18" s="206">
        <v>54988214969.848297</v>
      </c>
      <c r="G18" s="206">
        <v>24645311362.194046</v>
      </c>
      <c r="I18" s="208" t="s">
        <v>586</v>
      </c>
      <c r="J18" s="206">
        <v>0</v>
      </c>
      <c r="K18" s="206">
        <v>0</v>
      </c>
      <c r="L18" s="206">
        <v>0</v>
      </c>
      <c r="M18" s="206">
        <v>20153837159</v>
      </c>
      <c r="N18" s="206">
        <v>15816186175</v>
      </c>
      <c r="O18" s="206">
        <v>35970023334</v>
      </c>
      <c r="P18" s="206">
        <v>20153837159</v>
      </c>
      <c r="Q18" s="206">
        <v>15816186175</v>
      </c>
      <c r="R18" s="206">
        <v>35970023334</v>
      </c>
      <c r="T18" t="s">
        <v>544</v>
      </c>
      <c r="U18" s="215">
        <v>0</v>
      </c>
      <c r="V18" s="215">
        <v>0</v>
      </c>
      <c r="W18" s="215">
        <v>0</v>
      </c>
      <c r="X18" s="215">
        <v>20147122959.666668</v>
      </c>
      <c r="Y18" s="215">
        <v>15796905323.333334</v>
      </c>
      <c r="Z18" s="215">
        <v>35944028283</v>
      </c>
      <c r="AA18" s="215">
        <v>20147122959.666668</v>
      </c>
      <c r="AB18" s="215">
        <v>15796905323.333334</v>
      </c>
      <c r="AC18" s="215">
        <v>35944028283</v>
      </c>
      <c r="AF18" s="215"/>
      <c r="AG18" s="215"/>
      <c r="AH18" s="215"/>
      <c r="AI18" s="215"/>
      <c r="AJ18" s="215"/>
      <c r="AK18" s="215"/>
      <c r="AL18" s="215"/>
      <c r="AM18" s="215"/>
      <c r="AN18" s="215"/>
    </row>
    <row r="19" spans="1:40" x14ac:dyDescent="0.25">
      <c r="A19" s="208" t="s">
        <v>576</v>
      </c>
      <c r="B19" s="206">
        <v>41492133144.129395</v>
      </c>
      <c r="C19" s="206">
        <v>14338671951.417471</v>
      </c>
      <c r="D19" s="206">
        <v>13556899957.095909</v>
      </c>
      <c r="E19" s="206">
        <v>10317360873.560974</v>
      </c>
      <c r="F19" s="206">
        <v>55049033101.225304</v>
      </c>
      <c r="G19" s="206">
        <v>24656032824.978443</v>
      </c>
    </row>
    <row r="20" spans="1:40" x14ac:dyDescent="0.25">
      <c r="A20" s="208" t="s">
        <v>577</v>
      </c>
      <c r="B20" s="206">
        <v>41689377531.52832</v>
      </c>
      <c r="C20" s="206">
        <v>14389107537.936651</v>
      </c>
      <c r="D20" s="206">
        <v>13587482423.759024</v>
      </c>
      <c r="E20" s="206">
        <v>10363693683.943645</v>
      </c>
      <c r="F20" s="206">
        <v>55276859955.287346</v>
      </c>
      <c r="G20" s="206">
        <v>24752801221.880299</v>
      </c>
    </row>
    <row r="21" spans="1:40" x14ac:dyDescent="0.25">
      <c r="A21" s="208" t="s">
        <v>578</v>
      </c>
      <c r="B21" s="206">
        <v>41893693794.81633</v>
      </c>
      <c r="C21" s="206">
        <v>14448119364.683731</v>
      </c>
      <c r="D21" s="206">
        <v>13658161040.342596</v>
      </c>
      <c r="E21" s="206">
        <v>10436146134.295401</v>
      </c>
      <c r="F21" s="206">
        <v>55551854835.158928</v>
      </c>
      <c r="G21" s="206">
        <v>24884265498.97913</v>
      </c>
    </row>
    <row r="22" spans="1:40" x14ac:dyDescent="0.25">
      <c r="A22" s="208" t="s">
        <v>579</v>
      </c>
      <c r="B22" s="206">
        <v>42028716433.503952</v>
      </c>
      <c r="C22" s="206">
        <v>14474202460.279303</v>
      </c>
      <c r="D22" s="206">
        <v>13650260559.967369</v>
      </c>
      <c r="E22" s="206">
        <v>10455981672.870468</v>
      </c>
      <c r="F22" s="206">
        <v>55678976993.471321</v>
      </c>
      <c r="G22" s="206">
        <v>24930184133.149773</v>
      </c>
    </row>
    <row r="23" spans="1:40" x14ac:dyDescent="0.25">
      <c r="A23" s="208" t="s">
        <v>580</v>
      </c>
      <c r="B23" s="206">
        <v>42051494056.711189</v>
      </c>
      <c r="C23" s="206">
        <v>14454401135.575151</v>
      </c>
      <c r="D23" s="206">
        <v>13673344879.106573</v>
      </c>
      <c r="E23" s="206">
        <v>10488651757.441307</v>
      </c>
      <c r="F23" s="206">
        <v>55724838935.817764</v>
      </c>
      <c r="G23" s="206">
        <v>24943052893.01646</v>
      </c>
    </row>
    <row r="24" spans="1:40" x14ac:dyDescent="0.25">
      <c r="A24" s="208" t="s">
        <v>581</v>
      </c>
      <c r="B24" s="206">
        <v>43968064599.592735</v>
      </c>
      <c r="C24" s="206">
        <v>15094747143.016346</v>
      </c>
      <c r="D24" s="206">
        <v>14296200721.375242</v>
      </c>
      <c r="E24" s="206">
        <v>10984398268.326876</v>
      </c>
      <c r="F24" s="206">
        <v>58264265320.967979</v>
      </c>
      <c r="G24" s="206">
        <v>26079145411.343224</v>
      </c>
    </row>
    <row r="25" spans="1:40" x14ac:dyDescent="0.25">
      <c r="A25" s="208" t="s">
        <v>582</v>
      </c>
      <c r="B25" s="206">
        <v>44239652802.527435</v>
      </c>
      <c r="C25" s="206">
        <v>15183281289.48546</v>
      </c>
      <c r="D25" s="206">
        <v>14359653915.897924</v>
      </c>
      <c r="E25" s="206">
        <v>11056169211.807955</v>
      </c>
      <c r="F25" s="206">
        <v>58599306718.425362</v>
      </c>
      <c r="G25" s="206">
        <v>26239450501.293415</v>
      </c>
    </row>
    <row r="26" spans="1:40" x14ac:dyDescent="0.25">
      <c r="A26" s="208" t="s">
        <v>583</v>
      </c>
      <c r="B26" s="206">
        <v>44825753490.339638</v>
      </c>
      <c r="C26" s="206">
        <v>15361682293.239056</v>
      </c>
      <c r="D26" s="206">
        <v>14520121666.492722</v>
      </c>
      <c r="E26" s="206">
        <v>11196683921.068314</v>
      </c>
      <c r="F26" s="206">
        <v>59345875156.832359</v>
      </c>
      <c r="G26" s="206">
        <v>26558366214.307369</v>
      </c>
    </row>
    <row r="27" spans="1:40" x14ac:dyDescent="0.25">
      <c r="A27" s="208" t="s">
        <v>584</v>
      </c>
      <c r="B27" s="206">
        <v>45558468926.131744</v>
      </c>
      <c r="C27" s="206">
        <v>15619780966.110331</v>
      </c>
      <c r="D27" s="206">
        <v>14731002156.65905</v>
      </c>
      <c r="E27" s="206">
        <v>11378658505.587618</v>
      </c>
      <c r="F27" s="206">
        <v>60289471082.790794</v>
      </c>
      <c r="G27" s="206">
        <v>26998439471.697948</v>
      </c>
    </row>
    <row r="28" spans="1:40" x14ac:dyDescent="0.25">
      <c r="A28" s="208" t="s">
        <v>585</v>
      </c>
      <c r="B28" s="206">
        <v>45907806144.015701</v>
      </c>
      <c r="C28" s="206">
        <v>15757842457.160728</v>
      </c>
      <c r="D28" s="206">
        <v>14819941119.248938</v>
      </c>
      <c r="E28" s="206">
        <v>11477733789.488827</v>
      </c>
      <c r="F28" s="206">
        <v>60727747263.264633</v>
      </c>
      <c r="G28" s="206">
        <v>27235576246.649555</v>
      </c>
    </row>
    <row r="29" spans="1:40" x14ac:dyDescent="0.25">
      <c r="A29" s="208" t="s">
        <v>586</v>
      </c>
      <c r="B29" s="206">
        <v>46378471956.631134</v>
      </c>
      <c r="C29" s="206">
        <v>15925944220.074242</v>
      </c>
      <c r="D29" s="206">
        <v>14940626739.673445</v>
      </c>
      <c r="E29" s="206">
        <v>11591380050.96863</v>
      </c>
      <c r="F29" s="206">
        <v>61319098696.304581</v>
      </c>
      <c r="G29" s="206">
        <v>27517324271.042873</v>
      </c>
    </row>
    <row r="30" spans="1:40" s="214" customFormat="1" x14ac:dyDescent="0.25">
      <c r="A30" s="212" t="s">
        <v>559</v>
      </c>
      <c r="B30" s="213">
        <v>4061495668.9687133</v>
      </c>
      <c r="C30" s="213">
        <v>1394304840.9271979</v>
      </c>
      <c r="D30" s="213">
        <v>18608107348.715408</v>
      </c>
      <c r="E30" s="213">
        <v>14541108885.050779</v>
      </c>
      <c r="F30" s="213">
        <v>22669603017.684124</v>
      </c>
      <c r="G30" s="213">
        <v>15935413725.977976</v>
      </c>
      <c r="H30"/>
      <c r="I30"/>
      <c r="J30"/>
      <c r="K30"/>
      <c r="L30"/>
      <c r="M30"/>
      <c r="N30"/>
      <c r="O30"/>
    </row>
    <row r="31" spans="1:40" x14ac:dyDescent="0.25">
      <c r="A31" s="208" t="s">
        <v>575</v>
      </c>
      <c r="B31" s="206">
        <v>48737948027.624557</v>
      </c>
      <c r="C31" s="206">
        <v>16731658091.126375</v>
      </c>
      <c r="D31" s="206">
        <v>16210542125.044081</v>
      </c>
      <c r="E31" s="206">
        <v>12595583261.466858</v>
      </c>
      <c r="F31" s="206">
        <v>64948490152.66864</v>
      </c>
      <c r="G31" s="206">
        <v>29327241352.593231</v>
      </c>
    </row>
    <row r="32" spans="1:40" x14ac:dyDescent="0.25">
      <c r="A32" s="208" t="s">
        <v>576</v>
      </c>
      <c r="B32" s="206">
        <v>0</v>
      </c>
      <c r="C32" s="206">
        <v>0</v>
      </c>
      <c r="D32" s="206">
        <v>17091973483.192741</v>
      </c>
      <c r="E32" s="206">
        <v>13299723403.619192</v>
      </c>
      <c r="F32" s="206">
        <v>17091973483.192741</v>
      </c>
      <c r="G32" s="206">
        <v>13299723403.619192</v>
      </c>
    </row>
    <row r="33" spans="1:7" x14ac:dyDescent="0.25">
      <c r="A33" s="208" t="s">
        <v>577</v>
      </c>
      <c r="B33" s="206">
        <v>0</v>
      </c>
      <c r="C33" s="206">
        <v>0</v>
      </c>
      <c r="D33" s="206">
        <v>17424606452.911678</v>
      </c>
      <c r="E33" s="206">
        <v>13573744962.130131</v>
      </c>
      <c r="F33" s="206">
        <v>17424606452.911678</v>
      </c>
      <c r="G33" s="206">
        <v>13573744962.130131</v>
      </c>
    </row>
    <row r="34" spans="1:7" x14ac:dyDescent="0.25">
      <c r="A34" s="208" t="s">
        <v>578</v>
      </c>
      <c r="B34" s="206">
        <v>0</v>
      </c>
      <c r="C34" s="206">
        <v>0</v>
      </c>
      <c r="D34" s="206">
        <v>17641980698.009972</v>
      </c>
      <c r="E34" s="206">
        <v>13769718696.30522</v>
      </c>
      <c r="F34" s="206">
        <v>17641980698.009972</v>
      </c>
      <c r="G34" s="206">
        <v>13769718696.30522</v>
      </c>
    </row>
    <row r="35" spans="1:7" x14ac:dyDescent="0.25">
      <c r="A35" s="208" t="s">
        <v>579</v>
      </c>
      <c r="B35" s="206">
        <v>0</v>
      </c>
      <c r="C35" s="206">
        <v>0</v>
      </c>
      <c r="D35" s="206">
        <v>17891632863.695015</v>
      </c>
      <c r="E35" s="206">
        <v>13984257091.629864</v>
      </c>
      <c r="F35" s="206">
        <v>17891632863.695015</v>
      </c>
      <c r="G35" s="206">
        <v>13984257091.629864</v>
      </c>
    </row>
    <row r="36" spans="1:7" x14ac:dyDescent="0.25">
      <c r="A36" s="208" t="s">
        <v>580</v>
      </c>
      <c r="B36" s="206">
        <v>0</v>
      </c>
      <c r="C36" s="206">
        <v>0</v>
      </c>
      <c r="D36" s="206">
        <v>18154510583.825241</v>
      </c>
      <c r="E36" s="206">
        <v>14178908328.029295</v>
      </c>
      <c r="F36" s="206">
        <v>18154510583.825241</v>
      </c>
      <c r="G36" s="206">
        <v>14178908328.029295</v>
      </c>
    </row>
    <row r="37" spans="1:7" x14ac:dyDescent="0.25">
      <c r="A37" s="208" t="s">
        <v>581</v>
      </c>
      <c r="B37" s="206">
        <v>0</v>
      </c>
      <c r="C37" s="206">
        <v>0</v>
      </c>
      <c r="D37" s="206">
        <v>19337226013.322685</v>
      </c>
      <c r="E37" s="206">
        <v>15116052668.109373</v>
      </c>
      <c r="F37" s="206">
        <v>19337226013.322685</v>
      </c>
      <c r="G37" s="206">
        <v>15116052668.109373</v>
      </c>
    </row>
    <row r="38" spans="1:7" x14ac:dyDescent="0.25">
      <c r="A38" s="208" t="s">
        <v>582</v>
      </c>
      <c r="B38" s="206">
        <v>0</v>
      </c>
      <c r="C38" s="206">
        <v>0</v>
      </c>
      <c r="D38" s="206">
        <v>19615995290.222252</v>
      </c>
      <c r="E38" s="206">
        <v>15334641090.347298</v>
      </c>
      <c r="F38" s="206">
        <v>19615995290.222252</v>
      </c>
      <c r="G38" s="206">
        <v>15334641090.347298</v>
      </c>
    </row>
    <row r="39" spans="1:7" x14ac:dyDescent="0.25">
      <c r="A39" s="208" t="s">
        <v>583</v>
      </c>
      <c r="B39" s="206">
        <v>0</v>
      </c>
      <c r="C39" s="206">
        <v>0</v>
      </c>
      <c r="D39" s="206">
        <v>19795507702.981388</v>
      </c>
      <c r="E39" s="206">
        <v>15491241215.056953</v>
      </c>
      <c r="F39" s="206">
        <v>19795507702.981388</v>
      </c>
      <c r="G39" s="206">
        <v>15491241215.056953</v>
      </c>
    </row>
    <row r="40" spans="1:7" x14ac:dyDescent="0.25">
      <c r="A40" s="208" t="s">
        <v>584</v>
      </c>
      <c r="B40" s="206">
        <v>0</v>
      </c>
      <c r="C40" s="206">
        <v>0</v>
      </c>
      <c r="D40" s="206">
        <v>19903687043.913326</v>
      </c>
      <c r="E40" s="206">
        <v>15583475340.434208</v>
      </c>
      <c r="F40" s="206">
        <v>19903687043.913326</v>
      </c>
      <c r="G40" s="206">
        <v>15583475340.434208</v>
      </c>
    </row>
    <row r="41" spans="1:7" x14ac:dyDescent="0.25">
      <c r="A41" s="208" t="s">
        <v>585</v>
      </c>
      <c r="B41" s="206">
        <v>0</v>
      </c>
      <c r="C41" s="206">
        <v>0</v>
      </c>
      <c r="D41" s="206">
        <v>20075788768.466526</v>
      </c>
      <c r="E41" s="206">
        <v>15749774388.480951</v>
      </c>
      <c r="F41" s="206">
        <v>20075788768.466526</v>
      </c>
      <c r="G41" s="206">
        <v>15749774388.480951</v>
      </c>
    </row>
    <row r="42" spans="1:7" x14ac:dyDescent="0.25">
      <c r="A42" s="208" t="s">
        <v>586</v>
      </c>
      <c r="B42" s="206">
        <v>0</v>
      </c>
      <c r="C42" s="206">
        <v>0</v>
      </c>
      <c r="D42" s="206">
        <v>20153837159</v>
      </c>
      <c r="E42" s="206">
        <v>15816186175</v>
      </c>
      <c r="F42" s="206">
        <v>20153837159</v>
      </c>
      <c r="G42" s="206">
        <v>15816186175</v>
      </c>
    </row>
    <row r="43" spans="1:7" x14ac:dyDescent="0.25">
      <c r="A43" s="205" t="s">
        <v>544</v>
      </c>
      <c r="B43" s="206">
        <v>19676256282.276787</v>
      </c>
      <c r="C43" s="206">
        <v>7386963480.0933323</v>
      </c>
      <c r="D43" s="206">
        <v>8525316752.7444334</v>
      </c>
      <c r="E43" s="206">
        <v>6252795520.6978397</v>
      </c>
      <c r="F43" s="206">
        <v>28201573035.02121</v>
      </c>
      <c r="G43" s="206">
        <v>13639759000.791176</v>
      </c>
    </row>
    <row r="52" spans="1:15" x14ac:dyDescent="0.25">
      <c r="A52" t="s">
        <v>543</v>
      </c>
      <c r="B52" t="s">
        <v>571</v>
      </c>
      <c r="C52" t="s">
        <v>570</v>
      </c>
      <c r="D52" t="s">
        <v>572</v>
      </c>
      <c r="E52" t="s">
        <v>569</v>
      </c>
      <c r="F52" t="s">
        <v>574</v>
      </c>
      <c r="G52" t="s">
        <v>573</v>
      </c>
      <c r="I52" t="s">
        <v>543</v>
      </c>
      <c r="J52" t="s">
        <v>571</v>
      </c>
      <c r="K52" t="s">
        <v>570</v>
      </c>
      <c r="L52" t="s">
        <v>572</v>
      </c>
      <c r="M52" t="s">
        <v>569</v>
      </c>
      <c r="N52" t="s">
        <v>574</v>
      </c>
      <c r="O52" t="s">
        <v>573</v>
      </c>
    </row>
    <row r="53" spans="1:15" x14ac:dyDescent="0.25">
      <c r="A53" t="s">
        <v>545</v>
      </c>
      <c r="B53">
        <v>8246926869.2877502</v>
      </c>
      <c r="C53" s="215">
        <v>3973207724.5979996</v>
      </c>
      <c r="D53">
        <v>3969656243.1597457</v>
      </c>
      <c r="E53">
        <v>3064613569.4954667</v>
      </c>
      <c r="F53">
        <v>12216583112.447495</v>
      </c>
      <c r="G53">
        <v>7037821294.0934668</v>
      </c>
      <c r="I53" t="s">
        <v>545</v>
      </c>
      <c r="J53" s="215">
        <v>8246926.8692877507</v>
      </c>
      <c r="K53" s="215">
        <v>3973207.7245979994</v>
      </c>
      <c r="L53" s="215">
        <v>3969656.2431597458</v>
      </c>
      <c r="M53" s="215">
        <v>3064613.5694954665</v>
      </c>
      <c r="N53" s="215">
        <v>12216583.112447495</v>
      </c>
      <c r="O53" s="215">
        <v>7037821.2940934664</v>
      </c>
    </row>
    <row r="54" spans="1:15" x14ac:dyDescent="0.25">
      <c r="A54" t="s">
        <v>546</v>
      </c>
      <c r="B54">
        <v>10831943415.048538</v>
      </c>
      <c r="C54">
        <v>4778493385.1598539</v>
      </c>
      <c r="D54">
        <v>5149103046.8522663</v>
      </c>
      <c r="E54">
        <v>3655592972.6395154</v>
      </c>
      <c r="F54">
        <v>15981046461.900803</v>
      </c>
      <c r="G54">
        <v>8434086357.799367</v>
      </c>
      <c r="I54" t="s">
        <v>546</v>
      </c>
      <c r="J54" s="215">
        <v>10831943.415048538</v>
      </c>
      <c r="K54" s="215">
        <v>4778493.3851598538</v>
      </c>
      <c r="L54" s="215">
        <v>5149103.0468522664</v>
      </c>
      <c r="M54" s="215">
        <v>3655592.9726395155</v>
      </c>
      <c r="N54" s="215">
        <v>15981046.461900802</v>
      </c>
      <c r="O54" s="215">
        <v>8434086.3577993661</v>
      </c>
    </row>
    <row r="55" spans="1:15" x14ac:dyDescent="0.25">
      <c r="A55" t="s">
        <v>547</v>
      </c>
      <c r="B55">
        <v>13095567640.080732</v>
      </c>
      <c r="C55">
        <v>5502966223.7595825</v>
      </c>
      <c r="D55">
        <v>5973329799.6957197</v>
      </c>
      <c r="E55">
        <v>4181931763.7496819</v>
      </c>
      <c r="F55">
        <v>19068897439.776447</v>
      </c>
      <c r="G55">
        <v>9684897987.5092659</v>
      </c>
      <c r="I55" t="s">
        <v>547</v>
      </c>
      <c r="J55" s="215">
        <v>13095567.640080733</v>
      </c>
      <c r="K55" s="215">
        <v>5502966.2237595823</v>
      </c>
      <c r="L55" s="215">
        <v>5973329.79969572</v>
      </c>
      <c r="M55" s="215">
        <v>4181931.7637496819</v>
      </c>
      <c r="N55" s="215">
        <v>19068897.439776447</v>
      </c>
      <c r="O55" s="215">
        <v>9684897.9875092655</v>
      </c>
    </row>
    <row r="56" spans="1:15" x14ac:dyDescent="0.25">
      <c r="A56" t="s">
        <v>548</v>
      </c>
      <c r="B56">
        <v>13994994329.511679</v>
      </c>
      <c r="C56">
        <v>5780107940.9241409</v>
      </c>
      <c r="D56">
        <v>6221600908.5936813</v>
      </c>
      <c r="E56">
        <v>4373494706.5970135</v>
      </c>
      <c r="F56">
        <v>20216595238.105358</v>
      </c>
      <c r="G56">
        <v>10153602647.521154</v>
      </c>
      <c r="I56" t="s">
        <v>548</v>
      </c>
      <c r="J56" s="215">
        <v>13994994.329511678</v>
      </c>
      <c r="K56" s="215">
        <v>5780107.9409241406</v>
      </c>
      <c r="L56" s="215">
        <v>6221600.9085936816</v>
      </c>
      <c r="M56" s="215">
        <v>4373494.7065970134</v>
      </c>
      <c r="N56" s="215">
        <v>20216595.238105357</v>
      </c>
      <c r="O56" s="215">
        <v>10153602.647521155</v>
      </c>
    </row>
    <row r="57" spans="1:15" x14ac:dyDescent="0.25">
      <c r="A57" t="s">
        <v>549</v>
      </c>
      <c r="B57">
        <v>14900591934.083181</v>
      </c>
      <c r="C57">
        <v>6027641672.6388502</v>
      </c>
      <c r="D57">
        <v>6305334741.0595312</v>
      </c>
      <c r="E57">
        <v>4448180899.6762056</v>
      </c>
      <c r="F57">
        <v>21205926675.142715</v>
      </c>
      <c r="G57">
        <v>10475822572.315058</v>
      </c>
      <c r="I57" t="s">
        <v>549</v>
      </c>
      <c r="J57" s="215">
        <v>14900591.934083181</v>
      </c>
      <c r="K57" s="215">
        <v>6027641.6726388503</v>
      </c>
      <c r="L57" s="215">
        <v>6305334.7410595315</v>
      </c>
      <c r="M57" s="215">
        <v>4448180.8996762056</v>
      </c>
      <c r="N57" s="215">
        <v>21205926.675142717</v>
      </c>
      <c r="O57" s="215">
        <v>10475822.572315058</v>
      </c>
    </row>
    <row r="58" spans="1:15" x14ac:dyDescent="0.25">
      <c r="A58" t="s">
        <v>550</v>
      </c>
      <c r="B58">
        <v>15464510652.205984</v>
      </c>
      <c r="C58">
        <v>6127638130.4877253</v>
      </c>
      <c r="D58">
        <v>6133300571.7438841</v>
      </c>
      <c r="E58">
        <v>4291617400.8795981</v>
      </c>
      <c r="F58">
        <v>21597811223.949871</v>
      </c>
      <c r="G58">
        <v>10419255531.367325</v>
      </c>
      <c r="I58" t="s">
        <v>550</v>
      </c>
      <c r="J58" s="215">
        <v>15464510.652205985</v>
      </c>
      <c r="K58" s="215">
        <v>6127638.1304877251</v>
      </c>
      <c r="L58" s="215">
        <v>6133300.5717438841</v>
      </c>
      <c r="M58" s="215">
        <v>4291617.4008795982</v>
      </c>
      <c r="N58" s="215">
        <v>21597811.223949872</v>
      </c>
      <c r="O58" s="215">
        <v>10419255.531367324</v>
      </c>
    </row>
    <row r="59" spans="1:15" x14ac:dyDescent="0.25">
      <c r="A59" t="s">
        <v>551</v>
      </c>
      <c r="B59">
        <v>16719242118.712105</v>
      </c>
      <c r="C59">
        <v>6443033859.5210752</v>
      </c>
      <c r="D59">
        <v>6332875385.4161987</v>
      </c>
      <c r="E59">
        <v>4376817385.0717344</v>
      </c>
      <c r="F59">
        <v>23052117504.128307</v>
      </c>
      <c r="G59">
        <v>10819851244.592808</v>
      </c>
      <c r="I59" t="s">
        <v>551</v>
      </c>
      <c r="J59" s="215">
        <v>16719242.118712105</v>
      </c>
      <c r="K59" s="215">
        <v>6443033.8595210752</v>
      </c>
      <c r="L59" s="215">
        <v>6332875.3854161985</v>
      </c>
      <c r="M59" s="215">
        <v>4376817.385071734</v>
      </c>
      <c r="N59" s="215">
        <v>23052117.504128307</v>
      </c>
      <c r="O59" s="215">
        <v>10819851.244592808</v>
      </c>
    </row>
    <row r="60" spans="1:15" x14ac:dyDescent="0.25">
      <c r="A60" t="s">
        <v>552</v>
      </c>
      <c r="B60">
        <v>18210702843.160507</v>
      </c>
      <c r="C60">
        <v>6946083183.5916548</v>
      </c>
      <c r="D60">
        <v>6761441395.714366</v>
      </c>
      <c r="E60">
        <v>4771430769.2962599</v>
      </c>
      <c r="F60">
        <v>24972144238.874874</v>
      </c>
      <c r="G60">
        <v>11717513952.887915</v>
      </c>
      <c r="I60" t="s">
        <v>552</v>
      </c>
      <c r="J60" s="215">
        <v>18210702.843160506</v>
      </c>
      <c r="K60" s="215">
        <v>6946083.1835916545</v>
      </c>
      <c r="L60" s="215">
        <v>6761441.3957143659</v>
      </c>
      <c r="M60" s="215">
        <v>4771430.7692962596</v>
      </c>
      <c r="N60" s="215">
        <v>24972144.238874875</v>
      </c>
      <c r="O60" s="215">
        <v>11717513.952887915</v>
      </c>
    </row>
    <row r="61" spans="1:15" x14ac:dyDescent="0.25">
      <c r="A61" t="s">
        <v>553</v>
      </c>
      <c r="B61">
        <v>19783296657.483814</v>
      </c>
      <c r="C61">
        <v>7425619705.3861189</v>
      </c>
      <c r="D61">
        <v>7362010767.830924</v>
      </c>
      <c r="E61">
        <v>5231600971.8967381</v>
      </c>
      <c r="F61">
        <v>27145307425.314739</v>
      </c>
      <c r="G61">
        <v>12657220677.28286</v>
      </c>
      <c r="I61" t="s">
        <v>553</v>
      </c>
      <c r="J61" s="215">
        <v>19783296.657483812</v>
      </c>
      <c r="K61" s="215">
        <v>7425619.705386119</v>
      </c>
      <c r="L61" s="215">
        <v>7362010.7678309241</v>
      </c>
      <c r="M61" s="215">
        <v>5231600.9718967378</v>
      </c>
      <c r="N61" s="215">
        <v>27145307.425314739</v>
      </c>
      <c r="O61" s="215">
        <v>12657220.677282861</v>
      </c>
    </row>
    <row r="62" spans="1:15" x14ac:dyDescent="0.25">
      <c r="A62" t="s">
        <v>554</v>
      </c>
      <c r="B62">
        <v>23013211595.87286</v>
      </c>
      <c r="C62">
        <v>8501264270.2728071</v>
      </c>
      <c r="D62">
        <v>8483630715.9830093</v>
      </c>
      <c r="E62">
        <v>6104356781.0873613</v>
      </c>
      <c r="F62">
        <v>31496842311.855865</v>
      </c>
      <c r="G62">
        <v>14605621051.360168</v>
      </c>
      <c r="I62" t="s">
        <v>554</v>
      </c>
      <c r="J62" s="215">
        <v>23013211.59587286</v>
      </c>
      <c r="K62" s="215">
        <v>8501264.2702728063</v>
      </c>
      <c r="L62" s="215">
        <v>8483630.715983009</v>
      </c>
      <c r="M62" s="215">
        <v>6104356.7810873613</v>
      </c>
      <c r="N62" s="215">
        <v>31496842.311855864</v>
      </c>
      <c r="O62" s="215">
        <v>14605621.051360168</v>
      </c>
    </row>
    <row r="63" spans="1:15" x14ac:dyDescent="0.25">
      <c r="A63" t="s">
        <v>555</v>
      </c>
      <c r="B63">
        <v>24370427621.370571</v>
      </c>
      <c r="C63">
        <v>8842345357.059454</v>
      </c>
      <c r="D63">
        <v>8863104958.5664921</v>
      </c>
      <c r="E63">
        <v>6451885180.39046</v>
      </c>
      <c r="F63">
        <v>33233532579.937061</v>
      </c>
      <c r="G63">
        <v>15294230537.449913</v>
      </c>
      <c r="I63" t="s">
        <v>555</v>
      </c>
      <c r="J63" s="215">
        <v>24370427.621370573</v>
      </c>
      <c r="K63" s="215">
        <v>8842345.3570594545</v>
      </c>
      <c r="L63" s="215">
        <v>8863104.9585664924</v>
      </c>
      <c r="M63" s="215">
        <v>6451885.1803904604</v>
      </c>
      <c r="N63" s="215">
        <v>33233532.579937063</v>
      </c>
      <c r="O63" s="215">
        <v>15294230.537449913</v>
      </c>
    </row>
    <row r="64" spans="1:15" x14ac:dyDescent="0.25">
      <c r="A64" t="s">
        <v>556</v>
      </c>
      <c r="B64">
        <v>26689511249.196259</v>
      </c>
      <c r="C64">
        <v>9492244005.0758266</v>
      </c>
      <c r="D64">
        <v>9429656004.8587437</v>
      </c>
      <c r="E64">
        <v>6956454754.7894373</v>
      </c>
      <c r="F64">
        <v>36119167254.055008</v>
      </c>
      <c r="G64">
        <v>16448698759.865265</v>
      </c>
      <c r="I64" t="s">
        <v>556</v>
      </c>
      <c r="J64" s="215">
        <v>26689511.249196257</v>
      </c>
      <c r="K64" s="215">
        <v>9492244.0050758272</v>
      </c>
      <c r="L64" s="215">
        <v>9429656.0048587434</v>
      </c>
      <c r="M64" s="215">
        <v>6956454.7547894372</v>
      </c>
      <c r="N64" s="215">
        <v>36119167.254055008</v>
      </c>
      <c r="O64" s="215">
        <v>16448698.759865265</v>
      </c>
    </row>
    <row r="65" spans="1:15" x14ac:dyDescent="0.25">
      <c r="A65" t="s">
        <v>557</v>
      </c>
      <c r="B65">
        <v>36592890448.634682</v>
      </c>
      <c r="C65">
        <v>12913294405.351358</v>
      </c>
      <c r="D65">
        <v>11894673713.107821</v>
      </c>
      <c r="E65">
        <v>8911422908.9337215</v>
      </c>
      <c r="F65">
        <v>48487564161.742493</v>
      </c>
      <c r="G65">
        <v>21824717314.285076</v>
      </c>
      <c r="I65" t="s">
        <v>557</v>
      </c>
      <c r="J65" s="215">
        <v>36592890.448634684</v>
      </c>
      <c r="K65" s="215">
        <v>12913294.405351358</v>
      </c>
      <c r="L65" s="215">
        <v>11894673.713107821</v>
      </c>
      <c r="M65" s="215">
        <v>8911422.9089337215</v>
      </c>
      <c r="N65" s="215">
        <v>48487564.161742494</v>
      </c>
      <c r="O65" s="215">
        <v>21824717.314285077</v>
      </c>
    </row>
    <row r="66" spans="1:15" x14ac:dyDescent="0.25">
      <c r="A66" t="s">
        <v>558</v>
      </c>
      <c r="B66">
        <v>43453866484.039848</v>
      </c>
      <c r="C66">
        <v>14949329618.898636</v>
      </c>
      <c r="D66">
        <v>14114095435.076376</v>
      </c>
      <c r="E66">
        <v>10837332885.31241</v>
      </c>
      <c r="F66">
        <v>57567961919.116219</v>
      </c>
      <c r="G66">
        <v>25786662504.21104</v>
      </c>
      <c r="I66" t="s">
        <v>575</v>
      </c>
      <c r="J66" s="215">
        <v>41412764.928550541</v>
      </c>
      <c r="K66" s="215">
        <v>14344174.607805138</v>
      </c>
      <c r="L66" s="215">
        <v>13575450.041297749</v>
      </c>
      <c r="M66" s="215">
        <v>10301136.754388906</v>
      </c>
      <c r="N66" s="215">
        <v>54988214.969848298</v>
      </c>
      <c r="O66" s="215">
        <v>24645311.362194046</v>
      </c>
    </row>
    <row r="67" spans="1:15" x14ac:dyDescent="0.25">
      <c r="A67" t="s">
        <v>575</v>
      </c>
      <c r="B67">
        <v>41412764928.550545</v>
      </c>
      <c r="C67">
        <v>14344174607.805138</v>
      </c>
      <c r="D67">
        <v>13575450041.297749</v>
      </c>
      <c r="E67">
        <v>10301136754.388906</v>
      </c>
      <c r="F67">
        <v>54988214969.848297</v>
      </c>
      <c r="G67">
        <v>24645311362.194046</v>
      </c>
      <c r="I67" t="s">
        <v>576</v>
      </c>
      <c r="J67" s="215">
        <v>41492133.144129395</v>
      </c>
      <c r="K67" s="215">
        <v>14338671.95141747</v>
      </c>
      <c r="L67" s="215">
        <v>13556899.95709591</v>
      </c>
      <c r="M67" s="215">
        <v>10317360.873560974</v>
      </c>
      <c r="N67" s="215">
        <v>55049033.101225302</v>
      </c>
      <c r="O67" s="215">
        <v>24656032.824978445</v>
      </c>
    </row>
    <row r="68" spans="1:15" x14ac:dyDescent="0.25">
      <c r="A68" t="s">
        <v>576</v>
      </c>
      <c r="B68">
        <v>41492133144.129395</v>
      </c>
      <c r="C68">
        <v>14338671951.417471</v>
      </c>
      <c r="D68">
        <v>13556899957.095909</v>
      </c>
      <c r="E68">
        <v>10317360873.560974</v>
      </c>
      <c r="F68">
        <v>55049033101.225304</v>
      </c>
      <c r="G68">
        <v>24656032824.978443</v>
      </c>
      <c r="I68" t="s">
        <v>577</v>
      </c>
      <c r="J68" s="215">
        <v>41689377.531528324</v>
      </c>
      <c r="K68" s="215">
        <v>14389107.537936652</v>
      </c>
      <c r="L68" s="215">
        <v>13587482.423759025</v>
      </c>
      <c r="M68" s="215">
        <v>10363693.683943646</v>
      </c>
      <c r="N68" s="215">
        <v>55276859.955287345</v>
      </c>
      <c r="O68" s="215">
        <v>24752801.221880298</v>
      </c>
    </row>
    <row r="69" spans="1:15" x14ac:dyDescent="0.25">
      <c r="A69" t="s">
        <v>577</v>
      </c>
      <c r="B69">
        <v>41689377531.52832</v>
      </c>
      <c r="C69">
        <v>14389107537.936651</v>
      </c>
      <c r="D69">
        <v>13587482423.759024</v>
      </c>
      <c r="E69">
        <v>10363693683.943645</v>
      </c>
      <c r="F69">
        <v>55276859955.287346</v>
      </c>
      <c r="G69">
        <v>24752801221.880299</v>
      </c>
      <c r="I69" t="s">
        <v>578</v>
      </c>
      <c r="J69" s="215">
        <v>41893693.79481633</v>
      </c>
      <c r="K69" s="215">
        <v>14448119.364683731</v>
      </c>
      <c r="L69" s="215">
        <v>13658161.040342595</v>
      </c>
      <c r="M69" s="215">
        <v>10436146.1342954</v>
      </c>
      <c r="N69" s="215">
        <v>55551854.835158929</v>
      </c>
      <c r="O69" s="215">
        <v>24884265.498979129</v>
      </c>
    </row>
    <row r="70" spans="1:15" x14ac:dyDescent="0.25">
      <c r="A70" t="s">
        <v>578</v>
      </c>
      <c r="B70">
        <v>41893693794.81633</v>
      </c>
      <c r="C70">
        <v>14448119364.683731</v>
      </c>
      <c r="D70">
        <v>13658161040.342596</v>
      </c>
      <c r="E70">
        <v>10436146134.295401</v>
      </c>
      <c r="F70">
        <v>55551854835.158928</v>
      </c>
      <c r="G70">
        <v>24884265498.97913</v>
      </c>
      <c r="I70" t="s">
        <v>579</v>
      </c>
      <c r="J70" s="215">
        <v>42028716.433503956</v>
      </c>
      <c r="K70" s="215">
        <v>14474202.460279303</v>
      </c>
      <c r="L70" s="215">
        <v>13650260.559967369</v>
      </c>
      <c r="M70" s="215">
        <v>10455981.672870468</v>
      </c>
      <c r="N70" s="215">
        <v>55678976.993471324</v>
      </c>
      <c r="O70" s="215">
        <v>24930184.133149773</v>
      </c>
    </row>
    <row r="71" spans="1:15" x14ac:dyDescent="0.25">
      <c r="A71" t="s">
        <v>579</v>
      </c>
      <c r="B71">
        <v>42028716433.503952</v>
      </c>
      <c r="C71">
        <v>14474202460.279303</v>
      </c>
      <c r="D71">
        <v>13650260559.967369</v>
      </c>
      <c r="E71">
        <v>10455981672.870468</v>
      </c>
      <c r="F71">
        <v>55678976993.471321</v>
      </c>
      <c r="G71">
        <v>24930184133.149773</v>
      </c>
      <c r="I71" t="s">
        <v>580</v>
      </c>
      <c r="J71" s="215">
        <v>42051494.056711189</v>
      </c>
      <c r="K71" s="215">
        <v>14454401.135575151</v>
      </c>
      <c r="L71" s="215">
        <v>13673344.879106574</v>
      </c>
      <c r="M71" s="215">
        <v>10488651.757441306</v>
      </c>
      <c r="N71" s="215">
        <v>55724838.935817763</v>
      </c>
      <c r="O71" s="215">
        <v>24943052.893016461</v>
      </c>
    </row>
    <row r="72" spans="1:15" x14ac:dyDescent="0.25">
      <c r="A72" t="s">
        <v>580</v>
      </c>
      <c r="B72">
        <v>42051494056.711189</v>
      </c>
      <c r="C72">
        <v>14454401135.575151</v>
      </c>
      <c r="D72">
        <v>13673344879.106573</v>
      </c>
      <c r="E72">
        <v>10488651757.441307</v>
      </c>
      <c r="F72">
        <v>55724838935.817764</v>
      </c>
      <c r="G72">
        <v>24943052893.01646</v>
      </c>
      <c r="I72" t="s">
        <v>581</v>
      </c>
      <c r="J72" s="215">
        <v>43968064.599592738</v>
      </c>
      <c r="K72" s="215">
        <v>15094747.143016346</v>
      </c>
      <c r="L72" s="215">
        <v>14296200.721375242</v>
      </c>
      <c r="M72" s="215">
        <v>10984398.268326875</v>
      </c>
      <c r="N72" s="215">
        <v>58264265.32096798</v>
      </c>
      <c r="O72" s="215">
        <v>26079145.411343224</v>
      </c>
    </row>
    <row r="73" spans="1:15" x14ac:dyDescent="0.25">
      <c r="A73" t="s">
        <v>581</v>
      </c>
      <c r="B73">
        <v>43968064599.592735</v>
      </c>
      <c r="C73">
        <v>15094747143.016346</v>
      </c>
      <c r="D73">
        <v>14296200721.375242</v>
      </c>
      <c r="E73">
        <v>10984398268.326876</v>
      </c>
      <c r="F73">
        <v>58264265320.967979</v>
      </c>
      <c r="G73">
        <v>26079145411.343224</v>
      </c>
      <c r="I73" t="s">
        <v>582</v>
      </c>
      <c r="J73" s="215">
        <v>44239652.802527435</v>
      </c>
      <c r="K73" s="215">
        <v>15183281.28948546</v>
      </c>
      <c r="L73" s="215">
        <v>14359653.915897924</v>
      </c>
      <c r="M73" s="215">
        <v>11056169.211807955</v>
      </c>
      <c r="N73" s="215">
        <v>58599306.718425363</v>
      </c>
      <c r="O73" s="215">
        <v>26239450.501293413</v>
      </c>
    </row>
    <row r="74" spans="1:15" x14ac:dyDescent="0.25">
      <c r="A74" t="s">
        <v>582</v>
      </c>
      <c r="B74">
        <v>44239652802.527435</v>
      </c>
      <c r="C74">
        <v>15183281289.48546</v>
      </c>
      <c r="D74">
        <v>14359653915.897924</v>
      </c>
      <c r="E74">
        <v>11056169211.807955</v>
      </c>
      <c r="F74">
        <v>58599306718.425362</v>
      </c>
      <c r="G74">
        <v>26239450501.293415</v>
      </c>
      <c r="I74" t="s">
        <v>583</v>
      </c>
      <c r="J74" s="215">
        <v>44825753.490339637</v>
      </c>
      <c r="K74" s="215">
        <v>15361682.293239055</v>
      </c>
      <c r="L74" s="215">
        <v>14520121.666492721</v>
      </c>
      <c r="M74" s="215">
        <v>11196683.921068314</v>
      </c>
      <c r="N74" s="215">
        <v>59345875.15683236</v>
      </c>
      <c r="O74" s="215">
        <v>26558366.214307368</v>
      </c>
    </row>
    <row r="75" spans="1:15" x14ac:dyDescent="0.25">
      <c r="A75" t="s">
        <v>583</v>
      </c>
      <c r="B75">
        <v>44825753490.339638</v>
      </c>
      <c r="C75">
        <v>15361682293.239056</v>
      </c>
      <c r="D75">
        <v>14520121666.492722</v>
      </c>
      <c r="E75">
        <v>11196683921.068314</v>
      </c>
      <c r="F75">
        <v>59345875156.832359</v>
      </c>
      <c r="G75">
        <v>26558366214.307369</v>
      </c>
      <c r="I75" t="s">
        <v>584</v>
      </c>
      <c r="J75" s="215">
        <v>45558468.926131748</v>
      </c>
      <c r="K75" s="215">
        <v>15619780.96611033</v>
      </c>
      <c r="L75" s="215">
        <v>14731002.15665905</v>
      </c>
      <c r="M75" s="215">
        <v>11378658.505587619</v>
      </c>
      <c r="N75" s="215">
        <v>60289471.082790792</v>
      </c>
      <c r="O75" s="215">
        <v>26998439.471697949</v>
      </c>
    </row>
    <row r="76" spans="1:15" x14ac:dyDescent="0.25">
      <c r="A76" t="s">
        <v>584</v>
      </c>
      <c r="B76">
        <v>45558468926.131744</v>
      </c>
      <c r="C76">
        <v>15619780966.110331</v>
      </c>
      <c r="D76">
        <v>14731002156.65905</v>
      </c>
      <c r="E76">
        <v>11378658505.587618</v>
      </c>
      <c r="F76">
        <v>60289471082.790794</v>
      </c>
      <c r="G76">
        <v>26998439471.697948</v>
      </c>
      <c r="I76" t="s">
        <v>585</v>
      </c>
      <c r="J76" s="215">
        <v>45907806.1440157</v>
      </c>
      <c r="K76" s="215">
        <v>15757842.457160728</v>
      </c>
      <c r="L76" s="215">
        <v>14819941.119248938</v>
      </c>
      <c r="M76" s="215">
        <v>11477733.789488826</v>
      </c>
      <c r="N76" s="215">
        <v>60727747.263264634</v>
      </c>
      <c r="O76" s="215">
        <v>27235576.246649556</v>
      </c>
    </row>
    <row r="77" spans="1:15" x14ac:dyDescent="0.25">
      <c r="A77" t="s">
        <v>585</v>
      </c>
      <c r="B77">
        <v>45907806144.015701</v>
      </c>
      <c r="C77">
        <v>15757842457.160728</v>
      </c>
      <c r="D77">
        <v>14819941119.248938</v>
      </c>
      <c r="E77">
        <v>11477733789.488827</v>
      </c>
      <c r="F77">
        <v>60727747263.264633</v>
      </c>
      <c r="G77">
        <v>27235576246.649555</v>
      </c>
      <c r="I77" t="s">
        <v>586</v>
      </c>
      <c r="J77" s="215">
        <v>46378471.956631131</v>
      </c>
      <c r="K77" s="215">
        <v>15925944.220074242</v>
      </c>
      <c r="L77" s="215">
        <v>14940626.739673445</v>
      </c>
      <c r="M77" s="215">
        <v>11591380.05096863</v>
      </c>
      <c r="N77" s="215">
        <v>61319098.696304582</v>
      </c>
      <c r="O77" s="215">
        <v>27517324.271042872</v>
      </c>
    </row>
    <row r="78" spans="1:15" x14ac:dyDescent="0.25">
      <c r="A78" t="s">
        <v>586</v>
      </c>
      <c r="B78">
        <v>46378471956.631134</v>
      </c>
      <c r="C78">
        <v>15925944220.074242</v>
      </c>
      <c r="D78">
        <v>14940626739.673445</v>
      </c>
      <c r="E78">
        <v>11591380050.96863</v>
      </c>
      <c r="F78">
        <v>61319098696.304581</v>
      </c>
      <c r="G78">
        <v>27517324271.042873</v>
      </c>
      <c r="I78" t="s">
        <v>575</v>
      </c>
      <c r="J78" s="215">
        <v>48737948.027624555</v>
      </c>
      <c r="K78" s="215">
        <v>16731658.091126375</v>
      </c>
      <c r="L78" s="215">
        <v>16210542.125044081</v>
      </c>
      <c r="M78" s="215">
        <v>12595583.261466857</v>
      </c>
      <c r="N78" s="215">
        <v>64948490.15266864</v>
      </c>
      <c r="O78" s="215">
        <v>29327241.352593232</v>
      </c>
    </row>
    <row r="79" spans="1:15" x14ac:dyDescent="0.25">
      <c r="A79" t="s">
        <v>559</v>
      </c>
      <c r="B79">
        <v>4061495668.9687133</v>
      </c>
      <c r="C79">
        <v>1394304840.9271979</v>
      </c>
      <c r="D79">
        <v>18608107348.715408</v>
      </c>
      <c r="E79">
        <v>14541108885.050779</v>
      </c>
      <c r="F79">
        <v>22669603017.684124</v>
      </c>
      <c r="G79">
        <v>15935413725.977976</v>
      </c>
      <c r="I79" t="s">
        <v>576</v>
      </c>
      <c r="J79" s="215">
        <v>0</v>
      </c>
      <c r="K79" s="215">
        <v>0</v>
      </c>
      <c r="L79" s="215">
        <v>17091973.483192742</v>
      </c>
      <c r="M79" s="215">
        <v>13299723.403619193</v>
      </c>
      <c r="N79" s="215">
        <v>17091973.483192742</v>
      </c>
      <c r="O79" s="215">
        <v>13299723.403619193</v>
      </c>
    </row>
    <row r="80" spans="1:15" x14ac:dyDescent="0.25">
      <c r="A80" t="s">
        <v>575</v>
      </c>
      <c r="B80">
        <v>48737948027.624557</v>
      </c>
      <c r="C80">
        <v>16731658091.126375</v>
      </c>
      <c r="D80">
        <v>16210542125.044081</v>
      </c>
      <c r="E80">
        <v>12595583261.466858</v>
      </c>
      <c r="F80">
        <v>64948490152.66864</v>
      </c>
      <c r="G80">
        <v>29327241352.593231</v>
      </c>
      <c r="I80" t="s">
        <v>577</v>
      </c>
      <c r="J80" s="215">
        <v>0</v>
      </c>
      <c r="K80" s="215">
        <v>0</v>
      </c>
      <c r="L80" s="215">
        <v>17424606.452911679</v>
      </c>
      <c r="M80" s="215">
        <v>13573744.962130131</v>
      </c>
      <c r="N80" s="215">
        <v>17424606.452911679</v>
      </c>
      <c r="O80" s="215">
        <v>13573744.962130131</v>
      </c>
    </row>
    <row r="81" spans="1:15" x14ac:dyDescent="0.25">
      <c r="A81" t="s">
        <v>576</v>
      </c>
      <c r="B81">
        <v>0</v>
      </c>
      <c r="C81">
        <v>0</v>
      </c>
      <c r="D81">
        <v>17091973483.192741</v>
      </c>
      <c r="E81">
        <v>13299723403.619192</v>
      </c>
      <c r="F81">
        <v>17091973483.192741</v>
      </c>
      <c r="G81">
        <v>13299723403.619192</v>
      </c>
      <c r="I81" t="s">
        <v>578</v>
      </c>
      <c r="J81" s="215">
        <v>0</v>
      </c>
      <c r="K81" s="215">
        <v>0</v>
      </c>
      <c r="L81" s="215">
        <v>17641980.698009972</v>
      </c>
      <c r="M81" s="215">
        <v>13769718.696305219</v>
      </c>
      <c r="N81" s="215">
        <v>17641980.698009972</v>
      </c>
      <c r="O81" s="215">
        <v>13769718.696305219</v>
      </c>
    </row>
    <row r="82" spans="1:15" x14ac:dyDescent="0.25">
      <c r="A82" t="s">
        <v>577</v>
      </c>
      <c r="B82">
        <v>0</v>
      </c>
      <c r="C82">
        <v>0</v>
      </c>
      <c r="D82">
        <v>17424606452.911678</v>
      </c>
      <c r="E82">
        <v>13573744962.130131</v>
      </c>
      <c r="F82">
        <v>17424606452.911678</v>
      </c>
      <c r="G82">
        <v>13573744962.130131</v>
      </c>
      <c r="I82" t="s">
        <v>579</v>
      </c>
      <c r="J82" s="215">
        <v>0</v>
      </c>
      <c r="K82" s="215">
        <v>0</v>
      </c>
      <c r="L82" s="215">
        <v>17891632.863695014</v>
      </c>
      <c r="M82" s="215">
        <v>13984257.091629865</v>
      </c>
      <c r="N82" s="215">
        <v>17891632.863695014</v>
      </c>
      <c r="O82" s="215">
        <v>13984257.091629865</v>
      </c>
    </row>
    <row r="83" spans="1:15" x14ac:dyDescent="0.25">
      <c r="A83" t="s">
        <v>578</v>
      </c>
      <c r="B83">
        <v>0</v>
      </c>
      <c r="C83">
        <v>0</v>
      </c>
      <c r="D83">
        <v>17641980698.009972</v>
      </c>
      <c r="E83">
        <v>13769718696.30522</v>
      </c>
      <c r="F83">
        <v>17641980698.009972</v>
      </c>
      <c r="G83">
        <v>13769718696.30522</v>
      </c>
      <c r="I83" t="s">
        <v>580</v>
      </c>
      <c r="J83" s="215">
        <v>0</v>
      </c>
      <c r="K83" s="215">
        <v>0</v>
      </c>
      <c r="L83" s="215">
        <v>18154510.583825242</v>
      </c>
      <c r="M83" s="215">
        <v>14178908.328029295</v>
      </c>
      <c r="N83" s="215">
        <v>18154510.583825242</v>
      </c>
      <c r="O83" s="215">
        <v>14178908.328029295</v>
      </c>
    </row>
    <row r="84" spans="1:15" x14ac:dyDescent="0.25">
      <c r="A84" t="s">
        <v>579</v>
      </c>
      <c r="B84">
        <v>0</v>
      </c>
      <c r="C84">
        <v>0</v>
      </c>
      <c r="D84">
        <v>17891632863.695015</v>
      </c>
      <c r="E84">
        <v>13984257091.629864</v>
      </c>
      <c r="F84">
        <v>17891632863.695015</v>
      </c>
      <c r="G84">
        <v>13984257091.629864</v>
      </c>
      <c r="I84" t="s">
        <v>581</v>
      </c>
      <c r="J84" s="215">
        <v>0</v>
      </c>
      <c r="K84" s="215">
        <v>0</v>
      </c>
      <c r="L84" s="215">
        <v>19337226.013322685</v>
      </c>
      <c r="M84" s="215">
        <v>15116052.668109372</v>
      </c>
      <c r="N84" s="215">
        <v>19337226.013322685</v>
      </c>
      <c r="O84" s="215">
        <v>15116052.668109372</v>
      </c>
    </row>
    <row r="85" spans="1:15" x14ac:dyDescent="0.25">
      <c r="A85" t="s">
        <v>580</v>
      </c>
      <c r="B85">
        <v>0</v>
      </c>
      <c r="C85">
        <v>0</v>
      </c>
      <c r="D85">
        <v>18154510583.825241</v>
      </c>
      <c r="E85">
        <v>14178908328.029295</v>
      </c>
      <c r="F85">
        <v>18154510583.825241</v>
      </c>
      <c r="G85">
        <v>14178908328.029295</v>
      </c>
      <c r="I85" t="s">
        <v>582</v>
      </c>
      <c r="J85" s="215">
        <v>0</v>
      </c>
      <c r="K85" s="215">
        <v>0</v>
      </c>
      <c r="L85" s="215">
        <v>19615995.290222254</v>
      </c>
      <c r="M85" s="215">
        <v>15334641.090347297</v>
      </c>
      <c r="N85" s="215">
        <v>19615995.290222254</v>
      </c>
      <c r="O85" s="215">
        <v>15334641.090347297</v>
      </c>
    </row>
    <row r="86" spans="1:15" x14ac:dyDescent="0.25">
      <c r="A86" t="s">
        <v>581</v>
      </c>
      <c r="B86">
        <v>0</v>
      </c>
      <c r="C86">
        <v>0</v>
      </c>
      <c r="D86">
        <v>19337226013.322685</v>
      </c>
      <c r="E86">
        <v>15116052668.109373</v>
      </c>
      <c r="F86">
        <v>19337226013.322685</v>
      </c>
      <c r="G86">
        <v>15116052668.109373</v>
      </c>
      <c r="I86" t="s">
        <v>583</v>
      </c>
      <c r="J86" s="215">
        <v>0</v>
      </c>
      <c r="K86" s="215">
        <v>0</v>
      </c>
      <c r="L86" s="215">
        <v>19795507.702981386</v>
      </c>
      <c r="M86" s="215">
        <v>15491241.215056954</v>
      </c>
      <c r="N86" s="215">
        <v>19795507.702981386</v>
      </c>
      <c r="O86" s="215">
        <v>15491241.215056954</v>
      </c>
    </row>
    <row r="87" spans="1:15" x14ac:dyDescent="0.25">
      <c r="A87" t="s">
        <v>582</v>
      </c>
      <c r="B87">
        <v>0</v>
      </c>
      <c r="C87">
        <v>0</v>
      </c>
      <c r="D87">
        <v>19615995290.222252</v>
      </c>
      <c r="E87">
        <v>15334641090.347298</v>
      </c>
      <c r="F87">
        <v>19615995290.222252</v>
      </c>
      <c r="G87">
        <v>15334641090.347298</v>
      </c>
      <c r="I87" t="s">
        <v>584</v>
      </c>
      <c r="J87" s="215">
        <v>0</v>
      </c>
      <c r="K87" s="215">
        <v>0</v>
      </c>
      <c r="L87" s="215">
        <v>19903687.043913327</v>
      </c>
      <c r="M87" s="215">
        <v>15583475.340434209</v>
      </c>
      <c r="N87" s="215">
        <v>19903687.043913327</v>
      </c>
      <c r="O87" s="215">
        <v>15583475.340434209</v>
      </c>
    </row>
    <row r="88" spans="1:15" x14ac:dyDescent="0.25">
      <c r="A88" t="s">
        <v>583</v>
      </c>
      <c r="B88">
        <v>0</v>
      </c>
      <c r="C88">
        <v>0</v>
      </c>
      <c r="D88">
        <v>19795507702.981388</v>
      </c>
      <c r="E88">
        <v>15491241215.056953</v>
      </c>
      <c r="F88">
        <v>19795507702.981388</v>
      </c>
      <c r="G88">
        <v>15491241215.056953</v>
      </c>
      <c r="I88" t="s">
        <v>585</v>
      </c>
      <c r="J88" s="215">
        <v>0</v>
      </c>
      <c r="K88" s="215">
        <v>0</v>
      </c>
      <c r="L88" s="215">
        <v>20075788.768466525</v>
      </c>
      <c r="M88" s="215">
        <v>15749774.388480952</v>
      </c>
      <c r="N88" s="215">
        <v>20075788.768466525</v>
      </c>
      <c r="O88" s="215">
        <v>15749774.388480952</v>
      </c>
    </row>
    <row r="89" spans="1:15" x14ac:dyDescent="0.25">
      <c r="A89" t="s">
        <v>584</v>
      </c>
      <c r="B89">
        <v>0</v>
      </c>
      <c r="C89">
        <v>0</v>
      </c>
      <c r="D89">
        <v>19903687043.913326</v>
      </c>
      <c r="E89">
        <v>15583475340.434208</v>
      </c>
      <c r="F89">
        <v>19903687043.913326</v>
      </c>
      <c r="G89">
        <v>15583475340.434208</v>
      </c>
      <c r="I89" t="s">
        <v>586</v>
      </c>
      <c r="J89" s="215">
        <v>0</v>
      </c>
      <c r="K89" s="215">
        <v>0</v>
      </c>
      <c r="L89" s="215">
        <v>20153837.159000002</v>
      </c>
      <c r="M89" s="215">
        <v>15816186.175000001</v>
      </c>
      <c r="N89" s="215">
        <v>20153837.159000002</v>
      </c>
      <c r="O89" s="215">
        <v>15816186.175000001</v>
      </c>
    </row>
    <row r="90" spans="1:15" x14ac:dyDescent="0.25">
      <c r="A90" t="s">
        <v>585</v>
      </c>
      <c r="B90">
        <v>0</v>
      </c>
      <c r="C90">
        <v>0</v>
      </c>
      <c r="D90">
        <v>20075788768.466526</v>
      </c>
      <c r="E90">
        <v>15749774388.480951</v>
      </c>
      <c r="F90">
        <v>20075788768.466526</v>
      </c>
      <c r="G90">
        <v>15749774388.480951</v>
      </c>
    </row>
    <row r="91" spans="1:15" x14ac:dyDescent="0.25">
      <c r="A91" t="s">
        <v>586</v>
      </c>
      <c r="B91">
        <v>0</v>
      </c>
      <c r="C91">
        <v>0</v>
      </c>
      <c r="D91">
        <v>20153837159</v>
      </c>
      <c r="E91">
        <v>15816186175</v>
      </c>
      <c r="F91">
        <v>20153837159</v>
      </c>
      <c r="G91">
        <v>15816186175</v>
      </c>
    </row>
    <row r="92" spans="1:15" x14ac:dyDescent="0.25">
      <c r="A92" t="s">
        <v>544</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36"/>
  <sheetViews>
    <sheetView showGridLines="0" topLeftCell="A3" workbookViewId="0">
      <selection activeCell="B32" sqref="B32"/>
    </sheetView>
    <sheetView showGridLines="0" workbookViewId="1"/>
  </sheetViews>
  <sheetFormatPr baseColWidth="10" defaultRowHeight="15" outlineLevelRow="1" x14ac:dyDescent="0.25"/>
  <cols>
    <col min="2" max="2" width="19.7109375" customWidth="1"/>
    <col min="3" max="3" width="23.28515625" customWidth="1"/>
    <col min="4" max="4" width="14.5703125" customWidth="1"/>
    <col min="5" max="5" width="17.57031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5.7109375" customWidth="1"/>
    <col min="32" max="32" width="15" customWidth="1"/>
    <col min="37" max="37" width="16.28515625" customWidth="1"/>
    <col min="42" max="42" width="14.85546875" customWidth="1"/>
  </cols>
  <sheetData>
    <row r="2" spans="2:12" ht="23.25" x14ac:dyDescent="0.25">
      <c r="B2" s="1" t="s">
        <v>837</v>
      </c>
    </row>
    <row r="4" spans="2:12" ht="18.75" x14ac:dyDescent="0.3">
      <c r="B4" s="2" t="s">
        <v>773</v>
      </c>
      <c r="C4" s="2"/>
      <c r="D4" s="2"/>
      <c r="E4" s="2"/>
      <c r="F4" s="2"/>
    </row>
    <row r="5" spans="2:12" x14ac:dyDescent="0.25">
      <c r="B5" s="3" t="s">
        <v>912</v>
      </c>
    </row>
    <row r="7" spans="2:12" x14ac:dyDescent="0.25">
      <c r="D7" s="416" t="s">
        <v>73</v>
      </c>
      <c r="E7" s="417"/>
      <c r="F7" s="418"/>
      <c r="G7" s="422" t="s">
        <v>74</v>
      </c>
      <c r="H7" s="422"/>
      <c r="I7" s="422"/>
      <c r="J7" s="422" t="s">
        <v>25</v>
      </c>
      <c r="K7" s="422"/>
      <c r="L7" s="422"/>
    </row>
    <row r="8" spans="2:12" ht="32.25" x14ac:dyDescent="0.25">
      <c r="B8" s="268" t="s">
        <v>472</v>
      </c>
      <c r="C8" s="268" t="s">
        <v>477</v>
      </c>
      <c r="D8" s="264" t="s">
        <v>839</v>
      </c>
      <c r="E8" s="264" t="s">
        <v>895</v>
      </c>
      <c r="F8" s="264" t="s">
        <v>896</v>
      </c>
      <c r="G8" s="264" t="s">
        <v>839</v>
      </c>
      <c r="H8" s="264" t="s">
        <v>895</v>
      </c>
      <c r="I8" s="264" t="s">
        <v>896</v>
      </c>
      <c r="J8" s="264" t="s">
        <v>839</v>
      </c>
      <c r="K8" s="264" t="s">
        <v>895</v>
      </c>
      <c r="L8" s="264" t="s">
        <v>896</v>
      </c>
    </row>
    <row r="9" spans="2:12" ht="17.25" x14ac:dyDescent="0.25">
      <c r="B9" s="423">
        <v>45474</v>
      </c>
      <c r="C9" s="269" t="s">
        <v>840</v>
      </c>
      <c r="D9" s="265">
        <v>348046</v>
      </c>
      <c r="E9" s="265">
        <v>74185.358548000004</v>
      </c>
      <c r="F9" s="266">
        <v>74440.177940813228</v>
      </c>
      <c r="G9" s="266">
        <v>133888</v>
      </c>
      <c r="H9" s="266">
        <v>28641.339646</v>
      </c>
      <c r="I9" s="266">
        <v>28739.71982398659</v>
      </c>
      <c r="J9" s="266">
        <v>481934</v>
      </c>
      <c r="K9" s="266">
        <v>102826.698194</v>
      </c>
      <c r="L9" s="266">
        <v>103179.8977647998</v>
      </c>
    </row>
    <row r="10" spans="2:12" ht="17.25" x14ac:dyDescent="0.25">
      <c r="B10" s="424"/>
      <c r="C10" s="269" t="s">
        <v>882</v>
      </c>
      <c r="D10" s="265">
        <v>856180</v>
      </c>
      <c r="E10" s="265">
        <v>180633.22769699999</v>
      </c>
      <c r="F10" s="266">
        <v>181253.68502583879</v>
      </c>
      <c r="G10" s="266">
        <v>728418</v>
      </c>
      <c r="H10" s="266">
        <v>152081.510736</v>
      </c>
      <c r="I10" s="266">
        <v>152603.8957319395</v>
      </c>
      <c r="J10" s="266">
        <v>1584598</v>
      </c>
      <c r="K10" s="266">
        <v>332714.73843299999</v>
      </c>
      <c r="L10" s="266">
        <v>333857.58075777831</v>
      </c>
    </row>
    <row r="11" spans="2:12" ht="17.25" x14ac:dyDescent="0.25">
      <c r="B11" s="424"/>
      <c r="C11" s="269" t="s">
        <v>842</v>
      </c>
      <c r="D11" s="265">
        <v>104051</v>
      </c>
      <c r="E11" s="265">
        <v>25674.329231</v>
      </c>
      <c r="F11" s="266">
        <v>25762.518020723212</v>
      </c>
      <c r="G11" s="266">
        <v>58337</v>
      </c>
      <c r="H11" s="266">
        <v>14665.674628000001</v>
      </c>
      <c r="I11" s="266">
        <v>14716.04977448508</v>
      </c>
      <c r="J11" s="266">
        <v>162388</v>
      </c>
      <c r="K11" s="266">
        <v>40340.003858999997</v>
      </c>
      <c r="L11" s="266">
        <v>40478.567795208277</v>
      </c>
    </row>
    <row r="12" spans="2:12" x14ac:dyDescent="0.25">
      <c r="B12" s="424"/>
      <c r="C12" s="270" t="s">
        <v>841</v>
      </c>
      <c r="D12" s="265">
        <v>110743</v>
      </c>
      <c r="E12" s="265">
        <v>23718.110044000001</v>
      </c>
      <c r="F12" s="266">
        <v>23799.57941367594</v>
      </c>
      <c r="G12" s="266">
        <v>87013</v>
      </c>
      <c r="H12" s="266">
        <v>18637.259056999999</v>
      </c>
      <c r="I12" s="266">
        <v>18701.276204447429</v>
      </c>
      <c r="J12" s="266">
        <v>197756</v>
      </c>
      <c r="K12" s="266">
        <v>42355.369100999997</v>
      </c>
      <c r="L12" s="266">
        <v>42500.855618123373</v>
      </c>
    </row>
    <row r="13" spans="2:12" x14ac:dyDescent="0.25">
      <c r="B13" s="424"/>
      <c r="C13" s="269" t="s">
        <v>843</v>
      </c>
      <c r="D13" s="265">
        <v>47933</v>
      </c>
      <c r="E13" s="265">
        <v>8711.2758109999995</v>
      </c>
      <c r="F13" s="266">
        <v>8741.1981845819955</v>
      </c>
      <c r="G13" s="266">
        <v>51499</v>
      </c>
      <c r="H13" s="266">
        <v>8856.8317150000003</v>
      </c>
      <c r="I13" s="266">
        <v>8887.2540587621461</v>
      </c>
      <c r="J13" s="266">
        <v>99432</v>
      </c>
      <c r="K13" s="266">
        <v>17568.107526</v>
      </c>
      <c r="L13" s="266">
        <v>17628.452243344142</v>
      </c>
    </row>
    <row r="14" spans="2:12" ht="17.25" x14ac:dyDescent="0.25">
      <c r="B14" s="425"/>
      <c r="C14" s="245" t="s">
        <v>883</v>
      </c>
      <c r="D14" s="267">
        <v>1466953</v>
      </c>
      <c r="E14" s="267">
        <v>312922.301331</v>
      </c>
      <c r="F14" s="267">
        <v>313997.15858563321</v>
      </c>
      <c r="G14" s="267">
        <v>1059155</v>
      </c>
      <c r="H14" s="267">
        <v>222882.61578200001</v>
      </c>
      <c r="I14" s="267">
        <v>223648.19559362071</v>
      </c>
      <c r="J14" s="267">
        <v>2526108</v>
      </c>
      <c r="K14" s="267">
        <v>535804.91711299994</v>
      </c>
      <c r="L14" s="267">
        <v>537645.35417925392</v>
      </c>
    </row>
    <row r="15" spans="2:12" ht="17.25" x14ac:dyDescent="0.25">
      <c r="B15" s="423">
        <v>45505</v>
      </c>
      <c r="C15" s="269" t="s">
        <v>840</v>
      </c>
      <c r="D15" s="265">
        <v>349176</v>
      </c>
      <c r="E15" s="265">
        <v>74407.143353000007</v>
      </c>
      <c r="F15" s="266">
        <v>74472.449508912818</v>
      </c>
      <c r="G15" s="266">
        <v>134137</v>
      </c>
      <c r="H15" s="266">
        <v>28694.628833999999</v>
      </c>
      <c r="I15" s="266">
        <v>28719.813726471992</v>
      </c>
      <c r="J15" s="266">
        <v>483313</v>
      </c>
      <c r="K15" s="266">
        <v>103101.772187</v>
      </c>
      <c r="L15" s="266">
        <v>103192.2632353848</v>
      </c>
    </row>
    <row r="16" spans="2:12" ht="17.25" x14ac:dyDescent="0.25">
      <c r="B16" s="424"/>
      <c r="C16" s="269" t="s">
        <v>882</v>
      </c>
      <c r="D16" s="265">
        <v>859346</v>
      </c>
      <c r="E16" s="265">
        <v>181274.17524800001</v>
      </c>
      <c r="F16" s="266">
        <v>181433.27717045319</v>
      </c>
      <c r="G16" s="266">
        <v>731265</v>
      </c>
      <c r="H16" s="266">
        <v>152658.60363999999</v>
      </c>
      <c r="I16" s="266">
        <v>152792.5900574525</v>
      </c>
      <c r="J16" s="266">
        <v>1590611</v>
      </c>
      <c r="K16" s="266">
        <v>333932.778888</v>
      </c>
      <c r="L16" s="266">
        <v>334225.86722790572</v>
      </c>
    </row>
    <row r="17" spans="2:13" ht="17.25" x14ac:dyDescent="0.25">
      <c r="B17" s="424"/>
      <c r="C17" s="269" t="s">
        <v>842</v>
      </c>
      <c r="D17" s="265">
        <v>103719</v>
      </c>
      <c r="E17" s="265">
        <v>25611.172623999999</v>
      </c>
      <c r="F17" s="266">
        <v>25633.651208140211</v>
      </c>
      <c r="G17" s="266">
        <v>57968</v>
      </c>
      <c r="H17" s="266">
        <v>14591.401143999999</v>
      </c>
      <c r="I17" s="266">
        <v>14604.207821896171</v>
      </c>
      <c r="J17" s="266">
        <v>161687</v>
      </c>
      <c r="K17" s="266">
        <v>40202.573768000002</v>
      </c>
      <c r="L17" s="266">
        <v>40237.859030036387</v>
      </c>
    </row>
    <row r="18" spans="2:13" x14ac:dyDescent="0.25">
      <c r="B18" s="424"/>
      <c r="C18" s="270" t="s">
        <v>841</v>
      </c>
      <c r="D18" s="265">
        <v>111054</v>
      </c>
      <c r="E18" s="265">
        <v>23784.904354999999</v>
      </c>
      <c r="F18" s="266">
        <v>23805.780047872791</v>
      </c>
      <c r="G18" s="266">
        <v>87337</v>
      </c>
      <c r="H18" s="266">
        <v>18706.699084</v>
      </c>
      <c r="I18" s="266">
        <v>18723.117703932741</v>
      </c>
      <c r="J18" s="266">
        <v>198391</v>
      </c>
      <c r="K18" s="266">
        <v>42491.603438999999</v>
      </c>
      <c r="L18" s="266">
        <v>42528.897751805533</v>
      </c>
    </row>
    <row r="19" spans="2:13" x14ac:dyDescent="0.25">
      <c r="B19" s="424"/>
      <c r="C19" s="269" t="s">
        <v>843</v>
      </c>
      <c r="D19" s="265">
        <v>48030</v>
      </c>
      <c r="E19" s="265">
        <v>8722.7025369999992</v>
      </c>
      <c r="F19" s="266">
        <v>8730.3583365132254</v>
      </c>
      <c r="G19" s="266">
        <v>51610</v>
      </c>
      <c r="H19" s="266">
        <v>8871.6555879999996</v>
      </c>
      <c r="I19" s="266">
        <v>8879.4421216166174</v>
      </c>
      <c r="J19" s="266">
        <v>99640</v>
      </c>
      <c r="K19" s="266">
        <v>17594.358124999999</v>
      </c>
      <c r="L19" s="266">
        <v>17609.800458129841</v>
      </c>
    </row>
    <row r="20" spans="2:13" ht="17.25" x14ac:dyDescent="0.25">
      <c r="B20" s="425"/>
      <c r="C20" s="245" t="s">
        <v>883</v>
      </c>
      <c r="D20" s="267">
        <v>1471325</v>
      </c>
      <c r="E20" s="267">
        <v>313800.09811700002</v>
      </c>
      <c r="F20" s="267">
        <v>314075.51627189218</v>
      </c>
      <c r="G20" s="267">
        <v>1062317</v>
      </c>
      <c r="H20" s="267">
        <v>223522.98829000001</v>
      </c>
      <c r="I20" s="267">
        <v>223719.17143137011</v>
      </c>
      <c r="J20" s="267">
        <v>2533642</v>
      </c>
      <c r="K20" s="267">
        <v>537323.08640699997</v>
      </c>
      <c r="L20" s="267">
        <v>537794.6877032622</v>
      </c>
    </row>
    <row r="21" spans="2:13" ht="17.25" x14ac:dyDescent="0.25">
      <c r="B21" s="423">
        <v>45536</v>
      </c>
      <c r="C21" s="269" t="s">
        <v>840</v>
      </c>
      <c r="D21" s="265">
        <v>420895</v>
      </c>
      <c r="E21" s="265">
        <v>89641.813506000006</v>
      </c>
      <c r="F21" s="266">
        <v>89641.813506000006</v>
      </c>
      <c r="G21" s="266">
        <v>167174</v>
      </c>
      <c r="H21" s="266">
        <v>35771.659812999998</v>
      </c>
      <c r="I21" s="266">
        <v>35771.659812999998</v>
      </c>
      <c r="J21" s="266">
        <v>588069</v>
      </c>
      <c r="K21" s="266">
        <v>125413.473319</v>
      </c>
      <c r="L21" s="266">
        <v>125413.473319</v>
      </c>
    </row>
    <row r="22" spans="2:13" ht="17.25" x14ac:dyDescent="0.25">
      <c r="B22" s="424"/>
      <c r="C22" s="269" t="s">
        <v>882</v>
      </c>
      <c r="D22" s="265">
        <v>792093</v>
      </c>
      <c r="E22" s="266">
        <v>166908.847702</v>
      </c>
      <c r="F22" s="266">
        <v>166908.847702</v>
      </c>
      <c r="G22" s="266">
        <v>702144</v>
      </c>
      <c r="H22" s="266">
        <v>146387.691119</v>
      </c>
      <c r="I22" s="266">
        <v>146387.691119</v>
      </c>
      <c r="J22" s="266">
        <v>1494237</v>
      </c>
      <c r="K22" s="266">
        <v>313296.53882100002</v>
      </c>
      <c r="L22" s="266">
        <v>313296.53882100002</v>
      </c>
    </row>
    <row r="23" spans="2:13" ht="17.25" x14ac:dyDescent="0.25">
      <c r="B23" s="424"/>
      <c r="C23" s="269" t="s">
        <v>842</v>
      </c>
      <c r="D23" s="265">
        <v>103429</v>
      </c>
      <c r="E23" s="266">
        <v>25543.780151999999</v>
      </c>
      <c r="F23" s="266">
        <v>25543.780151999999</v>
      </c>
      <c r="G23" s="266">
        <v>57557</v>
      </c>
      <c r="H23" s="266">
        <v>14498.055632</v>
      </c>
      <c r="I23" s="266">
        <v>14498.055632</v>
      </c>
      <c r="J23" s="266">
        <v>160986</v>
      </c>
      <c r="K23" s="266">
        <v>40041.835784000003</v>
      </c>
      <c r="L23" s="266">
        <v>40041.835784000003</v>
      </c>
    </row>
    <row r="24" spans="2:13" x14ac:dyDescent="0.25">
      <c r="B24" s="424"/>
      <c r="C24" s="270" t="s">
        <v>841</v>
      </c>
      <c r="D24" s="265">
        <v>111277</v>
      </c>
      <c r="E24" s="265">
        <v>23832.988879</v>
      </c>
      <c r="F24" s="266">
        <v>23832.988879</v>
      </c>
      <c r="G24" s="266">
        <v>87585</v>
      </c>
      <c r="H24" s="266">
        <v>18759.924375999999</v>
      </c>
      <c r="I24" s="266">
        <v>18759.924375999999</v>
      </c>
      <c r="J24" s="266">
        <v>198862</v>
      </c>
      <c r="K24" s="266">
        <v>42592.913254999999</v>
      </c>
      <c r="L24" s="266">
        <v>42592.913254999999</v>
      </c>
    </row>
    <row r="25" spans="2:13" x14ac:dyDescent="0.25">
      <c r="B25" s="424"/>
      <c r="C25" s="269" t="s">
        <v>843</v>
      </c>
      <c r="D25" s="265">
        <v>48029</v>
      </c>
      <c r="E25" s="265">
        <v>8709.9113300000008</v>
      </c>
      <c r="F25" s="266">
        <v>8709.9113300000008</v>
      </c>
      <c r="G25" s="266">
        <v>51658</v>
      </c>
      <c r="H25" s="266">
        <v>8871.5785739999992</v>
      </c>
      <c r="I25" s="266">
        <v>8871.5785739999992</v>
      </c>
      <c r="J25" s="266">
        <v>99687</v>
      </c>
      <c r="K25" s="266">
        <v>17581.489903999998</v>
      </c>
      <c r="L25" s="266">
        <v>17581.489903999998</v>
      </c>
    </row>
    <row r="26" spans="2:13" ht="17.25" x14ac:dyDescent="0.25">
      <c r="B26" s="425"/>
      <c r="C26" s="245" t="s">
        <v>883</v>
      </c>
      <c r="D26" s="267">
        <v>1475723</v>
      </c>
      <c r="E26" s="267">
        <v>314637.34156899998</v>
      </c>
      <c r="F26" s="267">
        <v>314637.34156899998</v>
      </c>
      <c r="G26" s="267">
        <v>1066118</v>
      </c>
      <c r="H26" s="267">
        <v>224288.909514</v>
      </c>
      <c r="I26" s="267">
        <v>224288.909514</v>
      </c>
      <c r="J26" s="267">
        <v>2541841</v>
      </c>
      <c r="K26" s="267">
        <v>538926.25108299998</v>
      </c>
      <c r="L26" s="267">
        <v>538926.25108299998</v>
      </c>
    </row>
    <row r="27" spans="2:13" x14ac:dyDescent="0.25">
      <c r="B27" s="4" t="s">
        <v>772</v>
      </c>
    </row>
    <row r="28" spans="2:13" ht="57" customHeight="1" x14ac:dyDescent="0.25">
      <c r="B28" s="421" t="s">
        <v>836</v>
      </c>
      <c r="C28" s="421"/>
      <c r="D28" s="421"/>
      <c r="E28" s="421"/>
      <c r="F28" s="421"/>
      <c r="G28" s="421"/>
      <c r="H28" s="421"/>
      <c r="I28" s="421"/>
      <c r="J28" s="421"/>
      <c r="K28" s="421"/>
      <c r="L28" s="421"/>
      <c r="M28" s="232"/>
    </row>
    <row r="29" spans="2:13" x14ac:dyDescent="0.25">
      <c r="B29" s="421" t="s">
        <v>884</v>
      </c>
      <c r="C29" s="421"/>
      <c r="D29" s="421"/>
      <c r="E29" s="421"/>
      <c r="F29" s="421"/>
      <c r="G29" s="421"/>
      <c r="H29" s="421"/>
      <c r="I29" s="421"/>
      <c r="J29" s="421"/>
      <c r="K29" s="421"/>
      <c r="L29" s="421"/>
      <c r="M29" s="232"/>
    </row>
    <row r="30" spans="2:13" ht="15" customHeight="1" x14ac:dyDescent="0.25">
      <c r="B30" s="554" t="s">
        <v>950</v>
      </c>
      <c r="C30" s="232"/>
      <c r="D30" s="232"/>
      <c r="E30" s="232"/>
      <c r="F30" s="232"/>
      <c r="G30" s="232"/>
      <c r="H30" s="232"/>
      <c r="I30" s="232"/>
      <c r="J30" s="232"/>
      <c r="K30" s="232"/>
      <c r="L30" s="232"/>
      <c r="M30" s="232"/>
    </row>
    <row r="31" spans="2:13" x14ac:dyDescent="0.25">
      <c r="B31" s="234"/>
    </row>
    <row r="32" spans="2:13" ht="18.75" x14ac:dyDescent="0.3">
      <c r="B32" s="387" t="s">
        <v>774</v>
      </c>
      <c r="C32" s="2"/>
      <c r="D32" s="2"/>
      <c r="E32" s="2"/>
      <c r="F32" s="2"/>
      <c r="G32" s="231"/>
    </row>
    <row r="33" spans="2:37" x14ac:dyDescent="0.25">
      <c r="B33" s="3" t="s">
        <v>913</v>
      </c>
    </row>
    <row r="35" spans="2:37" ht="17.25" x14ac:dyDescent="0.25">
      <c r="C35" s="416" t="s">
        <v>897</v>
      </c>
      <c r="D35" s="417"/>
      <c r="E35" s="417"/>
      <c r="F35" s="417"/>
      <c r="G35" s="418"/>
      <c r="H35" s="416" t="s">
        <v>844</v>
      </c>
      <c r="I35" s="417"/>
      <c r="J35" s="417"/>
      <c r="K35" s="417"/>
      <c r="L35" s="418"/>
      <c r="M35" s="416" t="s">
        <v>845</v>
      </c>
      <c r="N35" s="417"/>
      <c r="O35" s="417"/>
      <c r="P35" s="417"/>
      <c r="Q35" s="418"/>
      <c r="R35" s="416" t="s">
        <v>841</v>
      </c>
      <c r="S35" s="417"/>
      <c r="T35" s="417"/>
      <c r="U35" s="417"/>
      <c r="V35" s="418"/>
      <c r="W35" s="416" t="s">
        <v>843</v>
      </c>
      <c r="X35" s="417"/>
      <c r="Y35" s="417"/>
      <c r="Z35" s="417"/>
      <c r="AA35" s="418"/>
      <c r="AB35" s="416" t="s">
        <v>846</v>
      </c>
      <c r="AC35" s="417"/>
      <c r="AD35" s="417"/>
      <c r="AE35" s="417"/>
      <c r="AF35" s="418"/>
      <c r="AG35" s="416" t="s">
        <v>883</v>
      </c>
      <c r="AH35" s="417"/>
      <c r="AI35" s="417"/>
      <c r="AJ35" s="417"/>
      <c r="AK35" s="418"/>
    </row>
    <row r="36" spans="2:37" ht="31.5" customHeight="1" x14ac:dyDescent="0.25">
      <c r="C36" s="419" t="s">
        <v>789</v>
      </c>
      <c r="D36" s="420"/>
      <c r="E36" s="419" t="s">
        <v>898</v>
      </c>
      <c r="F36" s="420"/>
      <c r="G36" s="264" t="s">
        <v>899</v>
      </c>
      <c r="H36" s="419" t="s">
        <v>789</v>
      </c>
      <c r="I36" s="420"/>
      <c r="J36" s="419" t="s">
        <v>898</v>
      </c>
      <c r="K36" s="420"/>
      <c r="L36" s="264" t="s">
        <v>899</v>
      </c>
      <c r="M36" s="419" t="s">
        <v>789</v>
      </c>
      <c r="N36" s="420"/>
      <c r="O36" s="419" t="s">
        <v>898</v>
      </c>
      <c r="P36" s="420"/>
      <c r="Q36" s="264" t="s">
        <v>899</v>
      </c>
      <c r="R36" s="419" t="s">
        <v>789</v>
      </c>
      <c r="S36" s="420"/>
      <c r="T36" s="419" t="s">
        <v>898</v>
      </c>
      <c r="U36" s="420"/>
      <c r="V36" s="264" t="s">
        <v>899</v>
      </c>
      <c r="W36" s="419" t="s">
        <v>789</v>
      </c>
      <c r="X36" s="420"/>
      <c r="Y36" s="419" t="s">
        <v>898</v>
      </c>
      <c r="Z36" s="420"/>
      <c r="AA36" s="264" t="s">
        <v>899</v>
      </c>
      <c r="AB36" s="419" t="s">
        <v>789</v>
      </c>
      <c r="AC36" s="420"/>
      <c r="AD36" s="419" t="s">
        <v>898</v>
      </c>
      <c r="AE36" s="420"/>
      <c r="AF36" s="264" t="s">
        <v>899</v>
      </c>
      <c r="AG36" s="419" t="s">
        <v>789</v>
      </c>
      <c r="AH36" s="420"/>
      <c r="AI36" s="419" t="s">
        <v>898</v>
      </c>
      <c r="AJ36" s="420"/>
      <c r="AK36" s="264" t="s">
        <v>899</v>
      </c>
    </row>
    <row r="37" spans="2:37" ht="17.25" x14ac:dyDescent="0.25">
      <c r="B37" s="288" t="s">
        <v>472</v>
      </c>
      <c r="C37" s="286" t="s">
        <v>1</v>
      </c>
      <c r="D37" s="382" t="s">
        <v>885</v>
      </c>
      <c r="E37" s="286" t="s">
        <v>1</v>
      </c>
      <c r="F37" s="382" t="s">
        <v>885</v>
      </c>
      <c r="G37" s="286" t="s">
        <v>1</v>
      </c>
      <c r="H37" s="286" t="s">
        <v>1</v>
      </c>
      <c r="I37" s="382" t="s">
        <v>885</v>
      </c>
      <c r="J37" s="286" t="s">
        <v>1</v>
      </c>
      <c r="K37" s="382" t="s">
        <v>885</v>
      </c>
      <c r="L37" s="286" t="s">
        <v>1</v>
      </c>
      <c r="M37" s="286" t="s">
        <v>1</v>
      </c>
      <c r="N37" s="382" t="s">
        <v>885</v>
      </c>
      <c r="O37" s="286" t="s">
        <v>1</v>
      </c>
      <c r="P37" s="382" t="s">
        <v>885</v>
      </c>
      <c r="Q37" s="286" t="s">
        <v>1</v>
      </c>
      <c r="R37" s="286" t="s">
        <v>1</v>
      </c>
      <c r="S37" s="382" t="s">
        <v>885</v>
      </c>
      <c r="T37" s="286" t="s">
        <v>1</v>
      </c>
      <c r="U37" s="382" t="s">
        <v>885</v>
      </c>
      <c r="V37" s="286" t="s">
        <v>1</v>
      </c>
      <c r="W37" s="286" t="s">
        <v>1</v>
      </c>
      <c r="X37" s="382" t="s">
        <v>885</v>
      </c>
      <c r="Y37" s="286" t="s">
        <v>1</v>
      </c>
      <c r="Z37" s="382" t="s">
        <v>885</v>
      </c>
      <c r="AA37" s="286" t="s">
        <v>1</v>
      </c>
      <c r="AB37" s="286" t="s">
        <v>1</v>
      </c>
      <c r="AC37" s="382" t="s">
        <v>885</v>
      </c>
      <c r="AD37" s="286" t="s">
        <v>1</v>
      </c>
      <c r="AE37" s="382" t="s">
        <v>885</v>
      </c>
      <c r="AF37" s="286" t="s">
        <v>1</v>
      </c>
      <c r="AG37" s="286" t="s">
        <v>1</v>
      </c>
      <c r="AH37" s="382" t="s">
        <v>885</v>
      </c>
      <c r="AI37" s="286" t="s">
        <v>1</v>
      </c>
      <c r="AJ37" s="382" t="s">
        <v>885</v>
      </c>
      <c r="AK37" s="286" t="s">
        <v>1</v>
      </c>
    </row>
    <row r="38" spans="2:37" hidden="1" outlineLevel="1" x14ac:dyDescent="0.25">
      <c r="B38" s="288">
        <v>39630</v>
      </c>
      <c r="C38" s="383"/>
      <c r="D38" s="384"/>
      <c r="E38" s="383"/>
      <c r="F38" s="384"/>
      <c r="G38" s="383"/>
      <c r="H38" s="383">
        <v>290570</v>
      </c>
      <c r="I38" s="384">
        <v>0.60124441060169964</v>
      </c>
      <c r="J38" s="383">
        <v>31113.122253868201</v>
      </c>
      <c r="K38" s="384">
        <v>0.60124441060169964</v>
      </c>
      <c r="L38" s="383">
        <v>17434.2</v>
      </c>
      <c r="M38" s="383"/>
      <c r="N38" s="384"/>
      <c r="O38" s="383"/>
      <c r="P38" s="384"/>
      <c r="Q38" s="383"/>
      <c r="R38" s="383">
        <v>192711</v>
      </c>
      <c r="S38" s="384">
        <v>0.39875558939830036</v>
      </c>
      <c r="T38" s="383">
        <v>20634.755489779382</v>
      </c>
      <c r="U38" s="384">
        <v>0.39875558939830041</v>
      </c>
      <c r="V38" s="383">
        <v>11562.66</v>
      </c>
      <c r="W38" s="383"/>
      <c r="X38" s="384"/>
      <c r="Y38" s="383"/>
      <c r="Z38" s="384"/>
      <c r="AA38" s="383"/>
      <c r="AB38" s="383"/>
      <c r="AC38" s="384"/>
      <c r="AD38" s="383"/>
      <c r="AE38" s="384"/>
      <c r="AF38" s="383"/>
      <c r="AG38" s="383">
        <v>483281</v>
      </c>
      <c r="AH38" s="384">
        <v>1</v>
      </c>
      <c r="AI38" s="383">
        <v>51747.877743647579</v>
      </c>
      <c r="AJ38" s="384">
        <v>1</v>
      </c>
      <c r="AK38" s="383">
        <v>28996.86</v>
      </c>
    </row>
    <row r="39" spans="2:37" hidden="1" outlineLevel="1" x14ac:dyDescent="0.25">
      <c r="B39" s="288">
        <v>39661</v>
      </c>
      <c r="C39" s="383"/>
      <c r="D39" s="384"/>
      <c r="E39" s="383"/>
      <c r="F39" s="384"/>
      <c r="G39" s="383"/>
      <c r="H39" s="383">
        <v>292137</v>
      </c>
      <c r="I39" s="384">
        <v>0.60055998569199553</v>
      </c>
      <c r="J39" s="383">
        <v>30991.965654722149</v>
      </c>
      <c r="K39" s="384">
        <v>0.60055998569199565</v>
      </c>
      <c r="L39" s="383">
        <v>17528.22</v>
      </c>
      <c r="M39" s="383"/>
      <c r="N39" s="384"/>
      <c r="O39" s="383"/>
      <c r="P39" s="384"/>
      <c r="Q39" s="383"/>
      <c r="R39" s="383">
        <v>194304</v>
      </c>
      <c r="S39" s="384">
        <v>0.39944001430800447</v>
      </c>
      <c r="T39" s="383">
        <v>20613.146895378301</v>
      </c>
      <c r="U39" s="384">
        <v>0.39944001430800441</v>
      </c>
      <c r="V39" s="383">
        <v>11658.24</v>
      </c>
      <c r="W39" s="383"/>
      <c r="X39" s="384"/>
      <c r="Y39" s="383"/>
      <c r="Z39" s="384"/>
      <c r="AA39" s="383"/>
      <c r="AB39" s="383"/>
      <c r="AC39" s="384"/>
      <c r="AD39" s="383"/>
      <c r="AE39" s="384"/>
      <c r="AF39" s="383"/>
      <c r="AG39" s="383">
        <v>486441</v>
      </c>
      <c r="AH39" s="384">
        <v>1</v>
      </c>
      <c r="AI39" s="383">
        <v>51605.11255010045</v>
      </c>
      <c r="AJ39" s="384">
        <v>1</v>
      </c>
      <c r="AK39" s="383">
        <v>29186.46</v>
      </c>
    </row>
    <row r="40" spans="2:37" hidden="1" outlineLevel="1" x14ac:dyDescent="0.25">
      <c r="B40" s="288">
        <v>39692</v>
      </c>
      <c r="C40" s="383"/>
      <c r="D40" s="384"/>
      <c r="E40" s="383"/>
      <c r="F40" s="384"/>
      <c r="G40" s="383"/>
      <c r="H40" s="383">
        <v>329546</v>
      </c>
      <c r="I40" s="384">
        <v>0.63002997721120169</v>
      </c>
      <c r="J40" s="383">
        <v>34585.4112426254</v>
      </c>
      <c r="K40" s="384">
        <v>0.62997893774254088</v>
      </c>
      <c r="L40" s="383">
        <v>19768.431017999999</v>
      </c>
      <c r="M40" s="383"/>
      <c r="N40" s="384"/>
      <c r="O40" s="383"/>
      <c r="P40" s="384"/>
      <c r="Q40" s="383"/>
      <c r="R40" s="383">
        <v>193518</v>
      </c>
      <c r="S40" s="384">
        <v>0.36997002278879831</v>
      </c>
      <c r="T40" s="383">
        <v>20313.90232261593</v>
      </c>
      <c r="U40" s="384">
        <v>0.37002106225745907</v>
      </c>
      <c r="V40" s="383">
        <v>11611.08</v>
      </c>
      <c r="W40" s="383"/>
      <c r="X40" s="384"/>
      <c r="Y40" s="383"/>
      <c r="Z40" s="384"/>
      <c r="AA40" s="383"/>
      <c r="AB40" s="383"/>
      <c r="AC40" s="384"/>
      <c r="AD40" s="383"/>
      <c r="AE40" s="384"/>
      <c r="AF40" s="383"/>
      <c r="AG40" s="383">
        <v>523064</v>
      </c>
      <c r="AH40" s="384">
        <v>1</v>
      </c>
      <c r="AI40" s="383">
        <v>54899.313565241333</v>
      </c>
      <c r="AJ40" s="384">
        <v>1</v>
      </c>
      <c r="AK40" s="383">
        <v>31379.511018000001</v>
      </c>
    </row>
    <row r="41" spans="2:37" hidden="1" outlineLevel="1" x14ac:dyDescent="0.25">
      <c r="B41" s="288">
        <v>39722</v>
      </c>
      <c r="C41" s="383"/>
      <c r="D41" s="384"/>
      <c r="E41" s="383"/>
      <c r="F41" s="384"/>
      <c r="G41" s="383"/>
      <c r="H41" s="383">
        <v>340883</v>
      </c>
      <c r="I41" s="384">
        <v>0.63388369355615515</v>
      </c>
      <c r="J41" s="383">
        <v>38399.533761025341</v>
      </c>
      <c r="K41" s="384">
        <v>0.64317181792667089</v>
      </c>
      <c r="L41" s="383">
        <v>22142.510096000002</v>
      </c>
      <c r="M41" s="383">
        <v>3399</v>
      </c>
      <c r="N41" s="384">
        <v>6.3205577115824823E-3</v>
      </c>
      <c r="O41" s="383">
        <v>1001.065406650544</v>
      </c>
      <c r="P41" s="384">
        <v>1.6767314454021649E-2</v>
      </c>
      <c r="Q41" s="383">
        <v>577.24921900000004</v>
      </c>
      <c r="R41" s="383">
        <v>193041</v>
      </c>
      <c r="S41" s="384">
        <v>0.35896639635233718</v>
      </c>
      <c r="T41" s="383">
        <v>20179.220519156381</v>
      </c>
      <c r="U41" s="384">
        <v>0.3379912377691961</v>
      </c>
      <c r="V41" s="383">
        <v>11636.042168</v>
      </c>
      <c r="W41" s="383">
        <v>446</v>
      </c>
      <c r="X41" s="384">
        <v>8.2935237992520956E-4</v>
      </c>
      <c r="Y41" s="383">
        <v>123.56390483397431</v>
      </c>
      <c r="Z41" s="384">
        <v>2.0696298501115796E-3</v>
      </c>
      <c r="AA41" s="383">
        <v>71.251255999999998</v>
      </c>
      <c r="AB41" s="383"/>
      <c r="AC41" s="384"/>
      <c r="AD41" s="383"/>
      <c r="AE41" s="384"/>
      <c r="AF41" s="383"/>
      <c r="AG41" s="383">
        <v>537769</v>
      </c>
      <c r="AH41" s="384">
        <v>1</v>
      </c>
      <c r="AI41" s="383">
        <v>59703.383591666228</v>
      </c>
      <c r="AJ41" s="384">
        <v>1.0000000000000002</v>
      </c>
      <c r="AK41" s="383">
        <v>34427.052738999999</v>
      </c>
    </row>
    <row r="42" spans="2:37" hidden="1" outlineLevel="1" x14ac:dyDescent="0.25">
      <c r="B42" s="288">
        <v>39753</v>
      </c>
      <c r="C42" s="383"/>
      <c r="D42" s="384"/>
      <c r="E42" s="383"/>
      <c r="F42" s="384"/>
      <c r="G42" s="383"/>
      <c r="H42" s="383">
        <v>347314</v>
      </c>
      <c r="I42" s="384">
        <v>0.63749096021761553</v>
      </c>
      <c r="J42" s="383">
        <v>38275.902903442533</v>
      </c>
      <c r="K42" s="384">
        <v>0.64785948050032582</v>
      </c>
      <c r="L42" s="383">
        <v>22044.175416999999</v>
      </c>
      <c r="M42" s="383">
        <v>4226</v>
      </c>
      <c r="N42" s="384">
        <v>7.7567757069385151E-3</v>
      </c>
      <c r="O42" s="383">
        <v>483.77907536814399</v>
      </c>
      <c r="P42" s="384">
        <v>8.1884641947073365E-3</v>
      </c>
      <c r="Q42" s="383">
        <v>278.62205699999998</v>
      </c>
      <c r="R42" s="383">
        <v>192690</v>
      </c>
      <c r="S42" s="384">
        <v>0.35368033861097548</v>
      </c>
      <c r="T42" s="383">
        <v>20251.15529401214</v>
      </c>
      <c r="U42" s="384">
        <v>0.34277187350504346</v>
      </c>
      <c r="V42" s="383">
        <v>11663.213297</v>
      </c>
      <c r="W42" s="383">
        <v>584</v>
      </c>
      <c r="X42" s="384">
        <v>1.0719254644704431E-3</v>
      </c>
      <c r="Y42" s="383">
        <v>69.725805273985841</v>
      </c>
      <c r="Z42" s="384">
        <v>1.1801817999232236E-3</v>
      </c>
      <c r="AA42" s="383">
        <v>40.157063999999998</v>
      </c>
      <c r="AB42" s="383"/>
      <c r="AC42" s="384"/>
      <c r="AD42" s="383"/>
      <c r="AE42" s="384"/>
      <c r="AF42" s="383"/>
      <c r="AG42" s="383">
        <v>544814</v>
      </c>
      <c r="AH42" s="384">
        <v>1</v>
      </c>
      <c r="AI42" s="383">
        <v>59080.563078096813</v>
      </c>
      <c r="AJ42" s="384">
        <v>0.99999999999999978</v>
      </c>
      <c r="AK42" s="383">
        <v>34026.167835</v>
      </c>
    </row>
    <row r="43" spans="2:37" collapsed="1" x14ac:dyDescent="0.25">
      <c r="B43" s="288">
        <v>39783</v>
      </c>
      <c r="C43" s="383"/>
      <c r="D43" s="384"/>
      <c r="E43" s="383"/>
      <c r="F43" s="384"/>
      <c r="G43" s="383"/>
      <c r="H43" s="383">
        <v>358445</v>
      </c>
      <c r="I43" s="384">
        <v>0.64228131758651519</v>
      </c>
      <c r="J43" s="383">
        <v>41232.987545174379</v>
      </c>
      <c r="K43" s="384">
        <v>0.64842421999130029</v>
      </c>
      <c r="L43" s="383">
        <v>23467.261041000002</v>
      </c>
      <c r="M43" s="383">
        <v>4485</v>
      </c>
      <c r="N43" s="384">
        <v>8.0364678245631004E-3</v>
      </c>
      <c r="O43" s="383">
        <v>538.10101288138583</v>
      </c>
      <c r="P43" s="384">
        <v>8.4621015921262331E-3</v>
      </c>
      <c r="Q43" s="383">
        <v>306.25374699999998</v>
      </c>
      <c r="R43" s="383">
        <v>194451</v>
      </c>
      <c r="S43" s="384">
        <v>0.34842791637773013</v>
      </c>
      <c r="T43" s="383">
        <v>21745.752503832198</v>
      </c>
      <c r="U43" s="384">
        <v>0.34197067554159022</v>
      </c>
      <c r="V43" s="383">
        <v>12376.334602999999</v>
      </c>
      <c r="W43" s="383">
        <v>700</v>
      </c>
      <c r="X43" s="384">
        <v>1.2542982111915654E-3</v>
      </c>
      <c r="Y43" s="383">
        <v>72.683008831640393</v>
      </c>
      <c r="Z43" s="384">
        <v>1.143002874983113E-3</v>
      </c>
      <c r="AA43" s="383">
        <v>41.366664</v>
      </c>
      <c r="AB43" s="383"/>
      <c r="AC43" s="384"/>
      <c r="AD43" s="383"/>
      <c r="AE43" s="384"/>
      <c r="AF43" s="383"/>
      <c r="AG43" s="383">
        <v>558081</v>
      </c>
      <c r="AH43" s="384">
        <v>1</v>
      </c>
      <c r="AI43" s="383">
        <v>63589.524070719614</v>
      </c>
      <c r="AJ43" s="384">
        <v>0.99999999999999989</v>
      </c>
      <c r="AK43" s="383">
        <v>36191.216054999997</v>
      </c>
    </row>
    <row r="44" spans="2:37" hidden="1" outlineLevel="1" x14ac:dyDescent="0.25">
      <c r="B44" s="288">
        <v>39814</v>
      </c>
      <c r="C44" s="383"/>
      <c r="D44" s="384"/>
      <c r="E44" s="383"/>
      <c r="F44" s="384"/>
      <c r="G44" s="383"/>
      <c r="H44" s="383">
        <v>364131</v>
      </c>
      <c r="I44" s="384">
        <v>0.64167331898898794</v>
      </c>
      <c r="J44" s="383">
        <v>40243.810027863161</v>
      </c>
      <c r="K44" s="384">
        <v>0.63183868401096954</v>
      </c>
      <c r="L44" s="383">
        <v>22729.603676999999</v>
      </c>
      <c r="M44" s="383">
        <v>6199</v>
      </c>
      <c r="N44" s="384">
        <v>1.0923906243667077E-2</v>
      </c>
      <c r="O44" s="383">
        <v>1029.465189219168</v>
      </c>
      <c r="P44" s="384">
        <v>1.6162881445394805E-2</v>
      </c>
      <c r="Q44" s="383">
        <v>581.43937500000004</v>
      </c>
      <c r="R44" s="383">
        <v>196192</v>
      </c>
      <c r="S44" s="384">
        <v>0.34573044261292646</v>
      </c>
      <c r="T44" s="383">
        <v>22275.19618823475</v>
      </c>
      <c r="U44" s="384">
        <v>0.3497265948705135</v>
      </c>
      <c r="V44" s="383">
        <v>12580.975331</v>
      </c>
      <c r="W44" s="383">
        <v>949</v>
      </c>
      <c r="X44" s="384">
        <v>1.6723321544184636E-3</v>
      </c>
      <c r="Y44" s="383">
        <v>144.70067523961649</v>
      </c>
      <c r="Z44" s="384">
        <v>2.2718396731223342E-3</v>
      </c>
      <c r="AA44" s="383">
        <v>81.726580999999996</v>
      </c>
      <c r="AB44" s="383"/>
      <c r="AC44" s="384"/>
      <c r="AD44" s="383"/>
      <c r="AE44" s="384"/>
      <c r="AF44" s="383"/>
      <c r="AG44" s="383">
        <v>567471</v>
      </c>
      <c r="AH44" s="384">
        <v>0.99999999999999989</v>
      </c>
      <c r="AI44" s="383">
        <v>63693.172080556687</v>
      </c>
      <c r="AJ44" s="384">
        <v>1.0000000000000002</v>
      </c>
      <c r="AK44" s="383">
        <v>35973.744963999998</v>
      </c>
    </row>
    <row r="45" spans="2:37" hidden="1" outlineLevel="1" x14ac:dyDescent="0.25">
      <c r="B45" s="288">
        <v>39845</v>
      </c>
      <c r="C45" s="383"/>
      <c r="D45" s="384"/>
      <c r="E45" s="383"/>
      <c r="F45" s="384"/>
      <c r="G45" s="383"/>
      <c r="H45" s="383">
        <v>366991</v>
      </c>
      <c r="I45" s="384">
        <v>0.64091252813884569</v>
      </c>
      <c r="J45" s="383">
        <v>40661.709352630132</v>
      </c>
      <c r="K45" s="384">
        <v>0.63378798428923577</v>
      </c>
      <c r="L45" s="383">
        <v>22667.397420000001</v>
      </c>
      <c r="M45" s="383">
        <v>7180</v>
      </c>
      <c r="N45" s="384">
        <v>1.2539141156150728E-2</v>
      </c>
      <c r="O45" s="383">
        <v>814.58800539627828</v>
      </c>
      <c r="P45" s="384">
        <v>1.2696861449896273E-2</v>
      </c>
      <c r="Q45" s="383">
        <v>454.10265199999998</v>
      </c>
      <c r="R45" s="383">
        <v>197256</v>
      </c>
      <c r="S45" s="384">
        <v>0.3444875804871404</v>
      </c>
      <c r="T45" s="383">
        <v>22517.278367291481</v>
      </c>
      <c r="U45" s="384">
        <v>0.35097345132054009</v>
      </c>
      <c r="V45" s="383">
        <v>12552.548962999999</v>
      </c>
      <c r="W45" s="383">
        <v>1180</v>
      </c>
      <c r="X45" s="384">
        <v>2.0607502178632115E-3</v>
      </c>
      <c r="Y45" s="383">
        <v>163.06712778129881</v>
      </c>
      <c r="Z45" s="384">
        <v>2.5417029403280505E-3</v>
      </c>
      <c r="AA45" s="383">
        <v>90.903886</v>
      </c>
      <c r="AB45" s="383"/>
      <c r="AC45" s="384"/>
      <c r="AD45" s="383"/>
      <c r="AE45" s="384"/>
      <c r="AF45" s="383"/>
      <c r="AG45" s="383">
        <v>572607</v>
      </c>
      <c r="AH45" s="384">
        <v>1</v>
      </c>
      <c r="AI45" s="383">
        <v>64156.642853099183</v>
      </c>
      <c r="AJ45" s="384">
        <v>1.0000000000000002</v>
      </c>
      <c r="AK45" s="383">
        <v>35764.952920999996</v>
      </c>
    </row>
    <row r="46" spans="2:37" hidden="1" outlineLevel="1" x14ac:dyDescent="0.25">
      <c r="B46" s="288">
        <v>39873</v>
      </c>
      <c r="C46" s="383"/>
      <c r="D46" s="384"/>
      <c r="E46" s="383"/>
      <c r="F46" s="384"/>
      <c r="G46" s="383"/>
      <c r="H46" s="383">
        <v>369833</v>
      </c>
      <c r="I46" s="384">
        <v>0.64020613559803208</v>
      </c>
      <c r="J46" s="383">
        <v>40797.915480389449</v>
      </c>
      <c r="K46" s="384">
        <v>0.63318479098493707</v>
      </c>
      <c r="L46" s="383">
        <v>22752.284488000001</v>
      </c>
      <c r="M46" s="383">
        <v>8287</v>
      </c>
      <c r="N46" s="384">
        <v>1.4345361949044278E-2</v>
      </c>
      <c r="O46" s="383">
        <v>955.20644966502721</v>
      </c>
      <c r="P46" s="384">
        <v>1.4824830853658127E-2</v>
      </c>
      <c r="Q46" s="383">
        <v>532.70194400000003</v>
      </c>
      <c r="R46" s="383">
        <v>198068</v>
      </c>
      <c r="S46" s="384">
        <v>0.34286921087526268</v>
      </c>
      <c r="T46" s="383">
        <v>22483.555462934732</v>
      </c>
      <c r="U46" s="384">
        <v>0.34894541053793743</v>
      </c>
      <c r="V46" s="383">
        <v>12538.685964</v>
      </c>
      <c r="W46" s="383">
        <v>1490</v>
      </c>
      <c r="X46" s="384">
        <v>2.5792915776609113E-3</v>
      </c>
      <c r="Y46" s="383">
        <v>196.19601340945459</v>
      </c>
      <c r="Z46" s="384">
        <v>3.0449676234673537E-3</v>
      </c>
      <c r="AA46" s="383">
        <v>109.415088</v>
      </c>
      <c r="AB46" s="383"/>
      <c r="AC46" s="384"/>
      <c r="AD46" s="383"/>
      <c r="AE46" s="384"/>
      <c r="AF46" s="383"/>
      <c r="AG46" s="383">
        <v>577678</v>
      </c>
      <c r="AH46" s="384">
        <v>0.99999999999999989</v>
      </c>
      <c r="AI46" s="383">
        <v>64432.873406398663</v>
      </c>
      <c r="AJ46" s="384">
        <v>1</v>
      </c>
      <c r="AK46" s="383">
        <v>35933.087484000003</v>
      </c>
    </row>
    <row r="47" spans="2:37" hidden="1" outlineLevel="1" x14ac:dyDescent="0.25">
      <c r="B47" s="288">
        <v>39904</v>
      </c>
      <c r="C47" s="383"/>
      <c r="D47" s="384"/>
      <c r="E47" s="383"/>
      <c r="F47" s="384"/>
      <c r="G47" s="383"/>
      <c r="H47" s="383">
        <v>371972</v>
      </c>
      <c r="I47" s="384">
        <v>0.63854126969412939</v>
      </c>
      <c r="J47" s="383">
        <v>40841.8187053289</v>
      </c>
      <c r="K47" s="384">
        <v>0.62590062620837139</v>
      </c>
      <c r="L47" s="383">
        <v>22741.680691000001</v>
      </c>
      <c r="M47" s="383">
        <v>9630</v>
      </c>
      <c r="N47" s="384">
        <v>1.6531223928560393E-2</v>
      </c>
      <c r="O47" s="383">
        <v>1357.3208126486811</v>
      </c>
      <c r="P47" s="384">
        <v>2.0800933296626651E-2</v>
      </c>
      <c r="Q47" s="383">
        <v>755.78800100000001</v>
      </c>
      <c r="R47" s="383">
        <v>198891</v>
      </c>
      <c r="S47" s="384">
        <v>0.34142384822173472</v>
      </c>
      <c r="T47" s="383">
        <v>22714.346953451979</v>
      </c>
      <c r="U47" s="384">
        <v>0.34809723055317393</v>
      </c>
      <c r="V47" s="383">
        <v>12647.880087</v>
      </c>
      <c r="W47" s="383">
        <v>2041</v>
      </c>
      <c r="X47" s="384">
        <v>3.5036581555754685E-3</v>
      </c>
      <c r="Y47" s="383">
        <v>339.39393027829658</v>
      </c>
      <c r="Z47" s="384">
        <v>5.2012099418283116E-3</v>
      </c>
      <c r="AA47" s="383">
        <v>188.982485</v>
      </c>
      <c r="AB47" s="383"/>
      <c r="AC47" s="384"/>
      <c r="AD47" s="383"/>
      <c r="AE47" s="384"/>
      <c r="AF47" s="383"/>
      <c r="AG47" s="383">
        <v>582534</v>
      </c>
      <c r="AH47" s="384">
        <v>1</v>
      </c>
      <c r="AI47" s="383">
        <v>65252.880401707836</v>
      </c>
      <c r="AJ47" s="384">
        <v>1.0000000000000004</v>
      </c>
      <c r="AK47" s="383">
        <v>36334.331264</v>
      </c>
    </row>
    <row r="48" spans="2:37" hidden="1" outlineLevel="1" x14ac:dyDescent="0.25">
      <c r="B48" s="288">
        <v>39934</v>
      </c>
      <c r="C48" s="383"/>
      <c r="D48" s="384"/>
      <c r="E48" s="383"/>
      <c r="F48" s="384"/>
      <c r="G48" s="383"/>
      <c r="H48" s="383">
        <v>374732</v>
      </c>
      <c r="I48" s="384">
        <v>0.63690179768749777</v>
      </c>
      <c r="J48" s="383">
        <v>41298.200403052368</v>
      </c>
      <c r="K48" s="384">
        <v>0.62392416817607554</v>
      </c>
      <c r="L48" s="383">
        <v>22946.564344999999</v>
      </c>
      <c r="M48" s="383">
        <v>11050</v>
      </c>
      <c r="N48" s="384">
        <v>1.8780794980003977E-2</v>
      </c>
      <c r="O48" s="383">
        <v>1379.2486215704621</v>
      </c>
      <c r="P48" s="384">
        <v>2.0837386145710745E-2</v>
      </c>
      <c r="Q48" s="383">
        <v>766.35342300000002</v>
      </c>
      <c r="R48" s="383">
        <v>200088</v>
      </c>
      <c r="S48" s="384">
        <v>0.3400734575528539</v>
      </c>
      <c r="T48" s="383">
        <v>23177.320679265631</v>
      </c>
      <c r="U48" s="384">
        <v>0.35015788543396559</v>
      </c>
      <c r="V48" s="383">
        <v>12878.040086999999</v>
      </c>
      <c r="W48" s="383">
        <v>2497</v>
      </c>
      <c r="X48" s="384">
        <v>4.2439497796443373E-3</v>
      </c>
      <c r="Y48" s="383">
        <v>336.28765453997607</v>
      </c>
      <c r="Z48" s="384">
        <v>5.0805602442480832E-3</v>
      </c>
      <c r="AA48" s="383">
        <v>186.851878</v>
      </c>
      <c r="AB48" s="383"/>
      <c r="AC48" s="384"/>
      <c r="AD48" s="383"/>
      <c r="AE48" s="384"/>
      <c r="AF48" s="383"/>
      <c r="AG48" s="383">
        <v>588367</v>
      </c>
      <c r="AH48" s="384">
        <v>1</v>
      </c>
      <c r="AI48" s="383">
        <v>66191.057358428443</v>
      </c>
      <c r="AJ48" s="384">
        <v>1</v>
      </c>
      <c r="AK48" s="383">
        <v>36777.809733000002</v>
      </c>
    </row>
    <row r="49" spans="2:37" hidden="1" outlineLevel="1" x14ac:dyDescent="0.25">
      <c r="B49" s="288">
        <v>39965</v>
      </c>
      <c r="C49" s="383"/>
      <c r="D49" s="384"/>
      <c r="E49" s="383"/>
      <c r="F49" s="384"/>
      <c r="G49" s="383"/>
      <c r="H49" s="383">
        <v>377068</v>
      </c>
      <c r="I49" s="384">
        <v>0.63511323862813329</v>
      </c>
      <c r="J49" s="383">
        <v>41477.357808920751</v>
      </c>
      <c r="K49" s="384">
        <v>0.62146721977402319</v>
      </c>
      <c r="L49" s="383">
        <v>23123.443857999999</v>
      </c>
      <c r="M49" s="383">
        <v>12190</v>
      </c>
      <c r="N49" s="384">
        <v>2.0532186180945995E-2</v>
      </c>
      <c r="O49" s="383">
        <v>1337.4367151867759</v>
      </c>
      <c r="P49" s="384">
        <v>2.0039200202672094E-2</v>
      </c>
      <c r="Q49" s="383">
        <v>745.61506399999996</v>
      </c>
      <c r="R49" s="383">
        <v>201424</v>
      </c>
      <c r="S49" s="384">
        <v>0.33926784817972655</v>
      </c>
      <c r="T49" s="383">
        <v>23536.254890395699</v>
      </c>
      <c r="U49" s="384">
        <v>0.35265049808647803</v>
      </c>
      <c r="V49" s="383">
        <v>13121.358190000001</v>
      </c>
      <c r="W49" s="383">
        <v>3020</v>
      </c>
      <c r="X49" s="384">
        <v>5.0867270111941681E-3</v>
      </c>
      <c r="Y49" s="383">
        <v>389.97326405843819</v>
      </c>
      <c r="Z49" s="384">
        <v>5.8430819368266006E-3</v>
      </c>
      <c r="AA49" s="383">
        <v>217.40837300000001</v>
      </c>
      <c r="AB49" s="383"/>
      <c r="AC49" s="384"/>
      <c r="AD49" s="383"/>
      <c r="AE49" s="384"/>
      <c r="AF49" s="383"/>
      <c r="AG49" s="383">
        <v>593702</v>
      </c>
      <c r="AH49" s="384">
        <v>1</v>
      </c>
      <c r="AI49" s="383">
        <v>66741.022678561669</v>
      </c>
      <c r="AJ49" s="384">
        <v>0.99999999999999989</v>
      </c>
      <c r="AK49" s="383">
        <v>37207.825485000001</v>
      </c>
    </row>
    <row r="50" spans="2:37" hidden="1" outlineLevel="1" x14ac:dyDescent="0.25">
      <c r="B50" s="288">
        <v>39995</v>
      </c>
      <c r="C50" s="383"/>
      <c r="D50" s="384"/>
      <c r="E50" s="383"/>
      <c r="F50" s="384"/>
      <c r="G50" s="383"/>
      <c r="H50" s="383">
        <v>378458</v>
      </c>
      <c r="I50" s="384">
        <v>0.63259680975360255</v>
      </c>
      <c r="J50" s="383">
        <v>51911.137530671978</v>
      </c>
      <c r="K50" s="384">
        <v>0.61863068875215677</v>
      </c>
      <c r="L50" s="383">
        <v>28816.125442</v>
      </c>
      <c r="M50" s="383">
        <v>13277</v>
      </c>
      <c r="N50" s="384">
        <v>2.2192655045206022E-2</v>
      </c>
      <c r="O50" s="383">
        <v>1908.3653868153369</v>
      </c>
      <c r="P50" s="384">
        <v>2.2742198491389247E-2</v>
      </c>
      <c r="Q50" s="383">
        <v>1059.3429269999999</v>
      </c>
      <c r="R50" s="383">
        <v>202738</v>
      </c>
      <c r="S50" s="384">
        <v>0.33887885053513433</v>
      </c>
      <c r="T50" s="383">
        <v>29381.210710008279</v>
      </c>
      <c r="U50" s="384">
        <v>0.35013909312168723</v>
      </c>
      <c r="V50" s="383">
        <v>16309.653259999999</v>
      </c>
      <c r="W50" s="383">
        <v>3788</v>
      </c>
      <c r="X50" s="384">
        <v>6.3316846660571224E-3</v>
      </c>
      <c r="Y50" s="383">
        <v>712.2549246824492</v>
      </c>
      <c r="Z50" s="384">
        <v>8.488019634766716E-3</v>
      </c>
      <c r="AA50" s="383">
        <v>395.37617999999998</v>
      </c>
      <c r="AB50" s="383"/>
      <c r="AC50" s="384"/>
      <c r="AD50" s="383"/>
      <c r="AE50" s="384"/>
      <c r="AF50" s="383"/>
      <c r="AG50" s="383">
        <v>598261</v>
      </c>
      <c r="AH50" s="384">
        <v>1</v>
      </c>
      <c r="AI50" s="383">
        <v>83912.968552178048</v>
      </c>
      <c r="AJ50" s="384">
        <v>1</v>
      </c>
      <c r="AK50" s="383">
        <v>46580.497809</v>
      </c>
    </row>
    <row r="51" spans="2:37" hidden="1" outlineLevel="1" x14ac:dyDescent="0.25">
      <c r="B51" s="288">
        <v>40026</v>
      </c>
      <c r="C51" s="383"/>
      <c r="D51" s="384"/>
      <c r="E51" s="383"/>
      <c r="F51" s="384"/>
      <c r="G51" s="383"/>
      <c r="H51" s="383">
        <v>379265</v>
      </c>
      <c r="I51" s="384">
        <v>0.62885818461584375</v>
      </c>
      <c r="J51" s="383">
        <v>52427.445905396467</v>
      </c>
      <c r="K51" s="384">
        <v>0.60958882151824945</v>
      </c>
      <c r="L51" s="383">
        <v>28968.742633999998</v>
      </c>
      <c r="M51" s="383">
        <v>14655</v>
      </c>
      <c r="N51" s="384">
        <v>2.4299412536208695E-2</v>
      </c>
      <c r="O51" s="383">
        <v>2382.2486376732791</v>
      </c>
      <c r="P51" s="384">
        <v>2.7699082313167429E-2</v>
      </c>
      <c r="Q51" s="383">
        <v>1316.3095490000001</v>
      </c>
      <c r="R51" s="383">
        <v>204743</v>
      </c>
      <c r="S51" s="384">
        <v>0.33948376805874969</v>
      </c>
      <c r="T51" s="383">
        <v>30452.29283259932</v>
      </c>
      <c r="U51" s="384">
        <v>0.35407746800883322</v>
      </c>
      <c r="V51" s="383">
        <v>16826.389660000001</v>
      </c>
      <c r="W51" s="383">
        <v>4438</v>
      </c>
      <c r="X51" s="384">
        <v>7.3586347891978288E-3</v>
      </c>
      <c r="Y51" s="383">
        <v>742.61778559359846</v>
      </c>
      <c r="Z51" s="384">
        <v>8.6346281597497621E-3</v>
      </c>
      <c r="AA51" s="383">
        <v>410.332854</v>
      </c>
      <c r="AB51" s="383"/>
      <c r="AC51" s="384"/>
      <c r="AD51" s="383"/>
      <c r="AE51" s="384"/>
      <c r="AF51" s="383"/>
      <c r="AG51" s="383">
        <v>603101</v>
      </c>
      <c r="AH51" s="384">
        <v>1</v>
      </c>
      <c r="AI51" s="383">
        <v>86004.605161262676</v>
      </c>
      <c r="AJ51" s="384">
        <v>0.99999999999999989</v>
      </c>
      <c r="AK51" s="383">
        <v>47521.774697000001</v>
      </c>
    </row>
    <row r="52" spans="2:37" hidden="1" outlineLevel="1" x14ac:dyDescent="0.25">
      <c r="B52" s="288">
        <v>40057</v>
      </c>
      <c r="C52" s="383"/>
      <c r="D52" s="384"/>
      <c r="E52" s="383"/>
      <c r="F52" s="384"/>
      <c r="G52" s="383"/>
      <c r="H52" s="383">
        <v>384674</v>
      </c>
      <c r="I52" s="384">
        <v>0.61716102782626558</v>
      </c>
      <c r="J52" s="383">
        <v>53738.767991451583</v>
      </c>
      <c r="K52" s="384">
        <v>0.60982284356029293</v>
      </c>
      <c r="L52" s="383">
        <v>30030.908394999999</v>
      </c>
      <c r="M52" s="383">
        <v>27203</v>
      </c>
      <c r="N52" s="384">
        <v>4.3643790430228979E-2</v>
      </c>
      <c r="O52" s="383">
        <v>3484.895153975855</v>
      </c>
      <c r="P52" s="384">
        <v>3.95462857028114E-2</v>
      </c>
      <c r="Q52" s="383">
        <v>1947.468672</v>
      </c>
      <c r="R52" s="383">
        <v>206439</v>
      </c>
      <c r="S52" s="384">
        <v>0.33120539839819285</v>
      </c>
      <c r="T52" s="383">
        <v>30133.729481250939</v>
      </c>
      <c r="U52" s="384">
        <v>0.34195492911665282</v>
      </c>
      <c r="V52" s="383">
        <v>16839.6728</v>
      </c>
      <c r="W52" s="383">
        <v>4980</v>
      </c>
      <c r="X52" s="384">
        <v>7.9897833453126607E-3</v>
      </c>
      <c r="Y52" s="383">
        <v>764.54074943408261</v>
      </c>
      <c r="Z52" s="384">
        <v>8.6759416202428618E-3</v>
      </c>
      <c r="AA52" s="383">
        <v>427.24934100000002</v>
      </c>
      <c r="AB52" s="383"/>
      <c r="AC52" s="384"/>
      <c r="AD52" s="383"/>
      <c r="AE52" s="384"/>
      <c r="AF52" s="383"/>
      <c r="AG52" s="383">
        <v>623296</v>
      </c>
      <c r="AH52" s="384">
        <v>1</v>
      </c>
      <c r="AI52" s="383">
        <v>88121.933376112458</v>
      </c>
      <c r="AJ52" s="384">
        <v>1</v>
      </c>
      <c r="AK52" s="383">
        <v>49245.299207999997</v>
      </c>
    </row>
    <row r="53" spans="2:37" hidden="1" outlineLevel="1" x14ac:dyDescent="0.25">
      <c r="B53" s="288">
        <v>40087</v>
      </c>
      <c r="C53" s="383"/>
      <c r="D53" s="384"/>
      <c r="E53" s="383"/>
      <c r="F53" s="384"/>
      <c r="G53" s="383"/>
      <c r="H53" s="383">
        <v>391967</v>
      </c>
      <c r="I53" s="384">
        <v>0.5049435819745729</v>
      </c>
      <c r="J53" s="383">
        <v>54879.534898046688</v>
      </c>
      <c r="K53" s="384">
        <v>0.54420682515871088</v>
      </c>
      <c r="L53" s="383">
        <v>30666.096494000001</v>
      </c>
      <c r="M53" s="383">
        <v>169034</v>
      </c>
      <c r="N53" s="384">
        <v>0.21775464117002186</v>
      </c>
      <c r="O53" s="383">
        <v>13757.06221337729</v>
      </c>
      <c r="P53" s="384">
        <v>0.13642038265377857</v>
      </c>
      <c r="Q53" s="383">
        <v>7687.2990650000002</v>
      </c>
      <c r="R53" s="383">
        <v>208340</v>
      </c>
      <c r="S53" s="384">
        <v>0.26838980288795361</v>
      </c>
      <c r="T53" s="383">
        <v>30852.074271331599</v>
      </c>
      <c r="U53" s="384">
        <v>0.30594117497449341</v>
      </c>
      <c r="V53" s="383">
        <v>17239.808763000001</v>
      </c>
      <c r="W53" s="383">
        <v>6918</v>
      </c>
      <c r="X53" s="384">
        <v>8.9119739674515842E-3</v>
      </c>
      <c r="Y53" s="383">
        <v>1354.4866978910241</v>
      </c>
      <c r="Z53" s="384">
        <v>1.3431617213017168E-2</v>
      </c>
      <c r="AA53" s="383">
        <v>756.87266399999999</v>
      </c>
      <c r="AB53" s="383"/>
      <c r="AC53" s="384"/>
      <c r="AD53" s="383"/>
      <c r="AE53" s="384"/>
      <c r="AF53" s="383"/>
      <c r="AG53" s="383">
        <v>776259</v>
      </c>
      <c r="AH53" s="384">
        <v>0.99999999999999989</v>
      </c>
      <c r="AI53" s="383">
        <v>100843.15808064659</v>
      </c>
      <c r="AJ53" s="384">
        <v>1</v>
      </c>
      <c r="AK53" s="383">
        <v>56350.076986</v>
      </c>
    </row>
    <row r="54" spans="2:37" hidden="1" outlineLevel="1" x14ac:dyDescent="0.25">
      <c r="B54" s="288">
        <v>40118</v>
      </c>
      <c r="C54" s="383"/>
      <c r="D54" s="384"/>
      <c r="E54" s="383"/>
      <c r="F54" s="384"/>
      <c r="G54" s="383"/>
      <c r="H54" s="383">
        <v>393607</v>
      </c>
      <c r="I54" s="384">
        <v>0.48307962694544709</v>
      </c>
      <c r="J54" s="383">
        <v>53887.669958841092</v>
      </c>
      <c r="K54" s="384">
        <v>0.56902663823230815</v>
      </c>
      <c r="L54" s="383">
        <v>29992.656369</v>
      </c>
      <c r="M54" s="383">
        <v>203555</v>
      </c>
      <c r="N54" s="384">
        <v>0.24982602815214283</v>
      </c>
      <c r="O54" s="383">
        <v>8910.9902600844798</v>
      </c>
      <c r="P54" s="384">
        <v>9.409556647911449E-2</v>
      </c>
      <c r="Q54" s="383">
        <v>4959.6553160000003</v>
      </c>
      <c r="R54" s="383">
        <v>209889</v>
      </c>
      <c r="S54" s="384">
        <v>0.25759983897632144</v>
      </c>
      <c r="T54" s="383">
        <v>30701.56470676039</v>
      </c>
      <c r="U54" s="384">
        <v>0.32419305133999993</v>
      </c>
      <c r="V54" s="383">
        <v>17087.795426000001</v>
      </c>
      <c r="W54" s="383">
        <v>7736</v>
      </c>
      <c r="X54" s="384">
        <v>9.4945059260886592E-3</v>
      </c>
      <c r="Y54" s="383">
        <v>1201.264140351698</v>
      </c>
      <c r="Z54" s="384">
        <v>1.2684743948577484E-2</v>
      </c>
      <c r="AA54" s="383">
        <v>668.596408</v>
      </c>
      <c r="AB54" s="383"/>
      <c r="AC54" s="384"/>
      <c r="AD54" s="383"/>
      <c r="AE54" s="384"/>
      <c r="AF54" s="383"/>
      <c r="AG54" s="383">
        <v>814787</v>
      </c>
      <c r="AH54" s="384">
        <v>1</v>
      </c>
      <c r="AI54" s="383">
        <v>94701.489066037655</v>
      </c>
      <c r="AJ54" s="384">
        <v>1.0000000000000002</v>
      </c>
      <c r="AK54" s="383">
        <v>52708.703519000002</v>
      </c>
    </row>
    <row r="55" spans="2:37" collapsed="1" x14ac:dyDescent="0.25">
      <c r="B55" s="288">
        <v>40148</v>
      </c>
      <c r="C55" s="383"/>
      <c r="D55" s="384"/>
      <c r="E55" s="383"/>
      <c r="F55" s="384"/>
      <c r="G55" s="383"/>
      <c r="H55" s="383">
        <v>398828</v>
      </c>
      <c r="I55" s="384">
        <v>0.46495534387142579</v>
      </c>
      <c r="J55" s="383">
        <v>56086.707768667256</v>
      </c>
      <c r="K55" s="384">
        <v>0.55645501643659945</v>
      </c>
      <c r="L55" s="383">
        <v>31098.135496999999</v>
      </c>
      <c r="M55" s="383">
        <v>237978</v>
      </c>
      <c r="N55" s="384">
        <v>0.27743574378888686</v>
      </c>
      <c r="O55" s="383">
        <v>10935.374485463601</v>
      </c>
      <c r="P55" s="384">
        <v>0.10849351354597456</v>
      </c>
      <c r="Q55" s="383">
        <v>6063.2861329999996</v>
      </c>
      <c r="R55" s="383">
        <v>212205</v>
      </c>
      <c r="S55" s="384">
        <v>0.2473894730215429</v>
      </c>
      <c r="T55" s="383">
        <v>32313.43685138155</v>
      </c>
      <c r="U55" s="384">
        <v>0.32059243178298258</v>
      </c>
      <c r="V55" s="383">
        <v>17916.680753000001</v>
      </c>
      <c r="W55" s="383">
        <v>8766</v>
      </c>
      <c r="X55" s="384">
        <v>1.0219439318144459E-2</v>
      </c>
      <c r="Y55" s="383">
        <v>1457.368211476258</v>
      </c>
      <c r="Z55" s="384">
        <v>1.4459038234443134E-2</v>
      </c>
      <c r="AA55" s="383">
        <v>808.06016099999999</v>
      </c>
      <c r="AB55" s="383"/>
      <c r="AC55" s="384"/>
      <c r="AD55" s="383"/>
      <c r="AE55" s="384"/>
      <c r="AF55" s="383"/>
      <c r="AG55" s="383">
        <v>857777</v>
      </c>
      <c r="AH55" s="384">
        <v>1</v>
      </c>
      <c r="AI55" s="383">
        <v>100792.88731698869</v>
      </c>
      <c r="AJ55" s="384">
        <v>0.99999999999999978</v>
      </c>
      <c r="AK55" s="383">
        <v>55886.162543999999</v>
      </c>
    </row>
    <row r="56" spans="2:37" hidden="1" outlineLevel="1" x14ac:dyDescent="0.25">
      <c r="B56" s="288">
        <v>40179</v>
      </c>
      <c r="C56" s="383"/>
      <c r="D56" s="384"/>
      <c r="E56" s="383"/>
      <c r="F56" s="384"/>
      <c r="G56" s="383"/>
      <c r="H56" s="383">
        <v>401503</v>
      </c>
      <c r="I56" s="384">
        <v>0.45844561265688655</v>
      </c>
      <c r="J56" s="383">
        <v>54582.382729309829</v>
      </c>
      <c r="K56" s="384">
        <v>0.56428748389835748</v>
      </c>
      <c r="L56" s="383">
        <v>30420.882973</v>
      </c>
      <c r="M56" s="383">
        <v>250933</v>
      </c>
      <c r="N56" s="384">
        <v>0.28652122878491698</v>
      </c>
      <c r="O56" s="383">
        <v>10069.108432147241</v>
      </c>
      <c r="P56" s="384">
        <v>0.10409717528188873</v>
      </c>
      <c r="Q56" s="383">
        <v>5611.9054159999996</v>
      </c>
      <c r="R56" s="383">
        <v>213689</v>
      </c>
      <c r="S56" s="384">
        <v>0.24399514953322249</v>
      </c>
      <c r="T56" s="383">
        <v>30599.02589659888</v>
      </c>
      <c r="U56" s="384">
        <v>0.31634103294029636</v>
      </c>
      <c r="V56" s="383">
        <v>17054.026214000001</v>
      </c>
      <c r="W56" s="383">
        <v>9667</v>
      </c>
      <c r="X56" s="384">
        <v>1.1038009024973967E-2</v>
      </c>
      <c r="Y56" s="383">
        <v>1477.452792045322</v>
      </c>
      <c r="Z56" s="384">
        <v>1.5274307879457423E-2</v>
      </c>
      <c r="AA56" s="383">
        <v>823.44185500000003</v>
      </c>
      <c r="AB56" s="383"/>
      <c r="AC56" s="384"/>
      <c r="AD56" s="383"/>
      <c r="AE56" s="384"/>
      <c r="AF56" s="383"/>
      <c r="AG56" s="383">
        <v>875792</v>
      </c>
      <c r="AH56" s="384">
        <v>1</v>
      </c>
      <c r="AI56" s="383">
        <v>96727.969850101275</v>
      </c>
      <c r="AJ56" s="384">
        <v>1</v>
      </c>
      <c r="AK56" s="383">
        <v>53910.256458000003</v>
      </c>
    </row>
    <row r="57" spans="2:37" hidden="1" outlineLevel="1" x14ac:dyDescent="0.25">
      <c r="B57" s="288">
        <v>40210</v>
      </c>
      <c r="C57" s="383"/>
      <c r="D57" s="384"/>
      <c r="E57" s="383"/>
      <c r="F57" s="384"/>
      <c r="G57" s="383"/>
      <c r="H57" s="383">
        <v>399656</v>
      </c>
      <c r="I57" s="384">
        <v>0.4499100531125676</v>
      </c>
      <c r="J57" s="383">
        <v>53610.248415838752</v>
      </c>
      <c r="K57" s="384">
        <v>0.56799650996090323</v>
      </c>
      <c r="L57" s="383">
        <v>29963.034174</v>
      </c>
      <c r="M57" s="383">
        <v>265352</v>
      </c>
      <c r="N57" s="384">
        <v>0.29871822871050613</v>
      </c>
      <c r="O57" s="383">
        <v>10719.939904461949</v>
      </c>
      <c r="P57" s="384">
        <v>0.11357694904704245</v>
      </c>
      <c r="Q57" s="383">
        <v>5991.4276689999997</v>
      </c>
      <c r="R57" s="383">
        <v>212721</v>
      </c>
      <c r="S57" s="384">
        <v>0.23946923456211963</v>
      </c>
      <c r="T57" s="383">
        <v>28546.12779127467</v>
      </c>
      <c r="U57" s="384">
        <v>0.30244405570692384</v>
      </c>
      <c r="V57" s="383">
        <v>15954.572639</v>
      </c>
      <c r="W57" s="383">
        <v>10573</v>
      </c>
      <c r="X57" s="384">
        <v>1.1902483614806676E-2</v>
      </c>
      <c r="Y57" s="383">
        <v>1508.5039985497549</v>
      </c>
      <c r="Z57" s="384">
        <v>1.59824852851304E-2</v>
      </c>
      <c r="AA57" s="383">
        <v>843.11037899999997</v>
      </c>
      <c r="AB57" s="383"/>
      <c r="AC57" s="384"/>
      <c r="AD57" s="383"/>
      <c r="AE57" s="384"/>
      <c r="AF57" s="383"/>
      <c r="AG57" s="383">
        <v>888302</v>
      </c>
      <c r="AH57" s="384">
        <v>1</v>
      </c>
      <c r="AI57" s="383">
        <v>94384.820110125132</v>
      </c>
      <c r="AJ57" s="384">
        <v>0.99999999999999989</v>
      </c>
      <c r="AK57" s="383">
        <v>52752.144861000001</v>
      </c>
    </row>
    <row r="58" spans="2:37" hidden="1" outlineLevel="1" x14ac:dyDescent="0.25">
      <c r="B58" s="288">
        <v>40238</v>
      </c>
      <c r="C58" s="383"/>
      <c r="D58" s="384"/>
      <c r="E58" s="383"/>
      <c r="F58" s="384"/>
      <c r="G58" s="383"/>
      <c r="H58" s="383">
        <v>402294</v>
      </c>
      <c r="I58" s="384">
        <v>0.44120182405622199</v>
      </c>
      <c r="J58" s="383">
        <v>55560.489164175917</v>
      </c>
      <c r="K58" s="384">
        <v>0.55107759732160899</v>
      </c>
      <c r="L58" s="383">
        <v>31079.143866999999</v>
      </c>
      <c r="M58" s="383">
        <v>283774</v>
      </c>
      <c r="N58" s="384">
        <v>0.31121917408594296</v>
      </c>
      <c r="O58" s="383">
        <v>12653.99792789909</v>
      </c>
      <c r="P58" s="384">
        <v>0.12550888013267331</v>
      </c>
      <c r="Q58" s="383">
        <v>7078.3290070000003</v>
      </c>
      <c r="R58" s="383">
        <v>214407</v>
      </c>
      <c r="S58" s="384">
        <v>0.23514335160460356</v>
      </c>
      <c r="T58" s="383">
        <v>30901.638192587041</v>
      </c>
      <c r="U58" s="384">
        <v>0.30649839093663989</v>
      </c>
      <c r="V58" s="383">
        <v>17285.601216999999</v>
      </c>
      <c r="W58" s="383">
        <v>11339</v>
      </c>
      <c r="X58" s="384">
        <v>1.243565025323147E-2</v>
      </c>
      <c r="Y58" s="383">
        <v>1705.4095304264449</v>
      </c>
      <c r="Z58" s="384">
        <v>1.6915131609077837E-2</v>
      </c>
      <c r="AA58" s="383">
        <v>953.96330999999998</v>
      </c>
      <c r="AB58" s="383"/>
      <c r="AC58" s="384"/>
      <c r="AD58" s="383"/>
      <c r="AE58" s="384"/>
      <c r="AF58" s="383"/>
      <c r="AG58" s="383">
        <v>911814</v>
      </c>
      <c r="AH58" s="384">
        <v>1</v>
      </c>
      <c r="AI58" s="383">
        <v>100821.5348150885</v>
      </c>
      <c r="AJ58" s="384">
        <v>1</v>
      </c>
      <c r="AK58" s="383">
        <v>56397.037401000001</v>
      </c>
    </row>
    <row r="59" spans="2:37" hidden="1" outlineLevel="1" x14ac:dyDescent="0.25">
      <c r="B59" s="288">
        <v>40269</v>
      </c>
      <c r="C59" s="383"/>
      <c r="D59" s="384"/>
      <c r="E59" s="383"/>
      <c r="F59" s="384"/>
      <c r="G59" s="383"/>
      <c r="H59" s="383">
        <v>403577</v>
      </c>
      <c r="I59" s="384">
        <v>0.43827049215933278</v>
      </c>
      <c r="J59" s="383">
        <v>54624.949122357517</v>
      </c>
      <c r="K59" s="384">
        <v>0.56380649761620694</v>
      </c>
      <c r="L59" s="383">
        <v>30697.055165000002</v>
      </c>
      <c r="M59" s="383">
        <v>290581</v>
      </c>
      <c r="N59" s="384">
        <v>0.31556079232005563</v>
      </c>
      <c r="O59" s="383">
        <v>10895.56478906592</v>
      </c>
      <c r="P59" s="384">
        <v>0.11245759166775042</v>
      </c>
      <c r="Q59" s="383">
        <v>6122.8753299999998</v>
      </c>
      <c r="R59" s="383">
        <v>214665</v>
      </c>
      <c r="S59" s="384">
        <v>0.23311867425394206</v>
      </c>
      <c r="T59" s="383">
        <v>29666.954636376409</v>
      </c>
      <c r="U59" s="384">
        <v>0.30620480306549697</v>
      </c>
      <c r="V59" s="383">
        <v>16671.652013999999</v>
      </c>
      <c r="W59" s="383">
        <v>12017</v>
      </c>
      <c r="X59" s="384">
        <v>1.3050041266669563E-2</v>
      </c>
      <c r="Y59" s="383">
        <v>1698.5186717757699</v>
      </c>
      <c r="Z59" s="384">
        <v>1.7531107650545646E-2</v>
      </c>
      <c r="AA59" s="383">
        <v>954.500136</v>
      </c>
      <c r="AB59" s="383"/>
      <c r="AC59" s="384"/>
      <c r="AD59" s="383"/>
      <c r="AE59" s="384"/>
      <c r="AF59" s="383"/>
      <c r="AG59" s="383">
        <v>920840</v>
      </c>
      <c r="AH59" s="384">
        <v>1</v>
      </c>
      <c r="AI59" s="383">
        <v>96885.987219575618</v>
      </c>
      <c r="AJ59" s="384">
        <v>0.99999999999999989</v>
      </c>
      <c r="AK59" s="383">
        <v>54446.082645000002</v>
      </c>
    </row>
    <row r="60" spans="2:37" hidden="1" outlineLevel="1" x14ac:dyDescent="0.25">
      <c r="B60" s="288">
        <v>40299</v>
      </c>
      <c r="C60" s="383"/>
      <c r="D60" s="384"/>
      <c r="E60" s="383"/>
      <c r="F60" s="384"/>
      <c r="G60" s="383"/>
      <c r="H60" s="383">
        <v>404226</v>
      </c>
      <c r="I60" s="384">
        <v>0.43466376479342433</v>
      </c>
      <c r="J60" s="383">
        <v>54667.480457799153</v>
      </c>
      <c r="K60" s="384">
        <v>0.56029958168225025</v>
      </c>
      <c r="L60" s="383">
        <v>30831.499243999999</v>
      </c>
      <c r="M60" s="383">
        <v>297968</v>
      </c>
      <c r="N60" s="384">
        <v>0.32040465647426702</v>
      </c>
      <c r="O60" s="383">
        <v>11443.373799959851</v>
      </c>
      <c r="P60" s="384">
        <v>0.1172857702505731</v>
      </c>
      <c r="Q60" s="383">
        <v>6453.8619250000002</v>
      </c>
      <c r="R60" s="383">
        <v>214850</v>
      </c>
      <c r="S60" s="384">
        <v>0.23102796422265567</v>
      </c>
      <c r="T60" s="383">
        <v>29604.00516229546</v>
      </c>
      <c r="U60" s="384">
        <v>0.30341825834387648</v>
      </c>
      <c r="V60" s="383">
        <v>16696.139188000001</v>
      </c>
      <c r="W60" s="383">
        <v>12930</v>
      </c>
      <c r="X60" s="384">
        <v>1.3903614509652959E-2</v>
      </c>
      <c r="Y60" s="383">
        <v>1853.445545772659</v>
      </c>
      <c r="Z60" s="384">
        <v>1.8996389723300207E-2</v>
      </c>
      <c r="AA60" s="383">
        <v>1045.310749</v>
      </c>
      <c r="AB60" s="383"/>
      <c r="AC60" s="384"/>
      <c r="AD60" s="383"/>
      <c r="AE60" s="384"/>
      <c r="AF60" s="383"/>
      <c r="AG60" s="383">
        <v>929974</v>
      </c>
      <c r="AH60" s="384">
        <v>1</v>
      </c>
      <c r="AI60" s="383">
        <v>97568.304965827119</v>
      </c>
      <c r="AJ60" s="384">
        <v>1</v>
      </c>
      <c r="AK60" s="383">
        <v>55026.811106000001</v>
      </c>
    </row>
    <row r="61" spans="2:37" hidden="1" outlineLevel="1" x14ac:dyDescent="0.25">
      <c r="B61" s="288">
        <v>40330</v>
      </c>
      <c r="C61" s="383"/>
      <c r="D61" s="384"/>
      <c r="E61" s="383"/>
      <c r="F61" s="384"/>
      <c r="G61" s="383"/>
      <c r="H61" s="383">
        <v>405141</v>
      </c>
      <c r="I61" s="384">
        <v>0.42909933210897239</v>
      </c>
      <c r="J61" s="383">
        <v>54622.612017189887</v>
      </c>
      <c r="K61" s="384">
        <v>0.55333693815810048</v>
      </c>
      <c r="L61" s="383">
        <v>30806.306613000001</v>
      </c>
      <c r="M61" s="383">
        <v>309440</v>
      </c>
      <c r="N61" s="384">
        <v>0.32773897810342673</v>
      </c>
      <c r="O61" s="383">
        <v>11907.84210079771</v>
      </c>
      <c r="P61" s="384">
        <v>0.12062859399788381</v>
      </c>
      <c r="Q61" s="383">
        <v>6715.8383919999997</v>
      </c>
      <c r="R61" s="383">
        <v>215430</v>
      </c>
      <c r="S61" s="384">
        <v>0.22816962271464974</v>
      </c>
      <c r="T61" s="383">
        <v>29955.63241888952</v>
      </c>
      <c r="U61" s="384">
        <v>0.30345597383811462</v>
      </c>
      <c r="V61" s="383">
        <v>16894.512418999999</v>
      </c>
      <c r="W61" s="383">
        <v>14155</v>
      </c>
      <c r="X61" s="384">
        <v>1.4992067072951155E-2</v>
      </c>
      <c r="Y61" s="383">
        <v>2228.834247216646</v>
      </c>
      <c r="Z61" s="384">
        <v>2.2578494005900927E-2</v>
      </c>
      <c r="AA61" s="383">
        <v>1257.0279720000001</v>
      </c>
      <c r="AB61" s="383"/>
      <c r="AC61" s="384"/>
      <c r="AD61" s="383"/>
      <c r="AE61" s="384"/>
      <c r="AF61" s="383"/>
      <c r="AG61" s="383">
        <v>944166</v>
      </c>
      <c r="AH61" s="384">
        <v>1</v>
      </c>
      <c r="AI61" s="383">
        <v>98714.920784093774</v>
      </c>
      <c r="AJ61" s="384">
        <v>0.99999999999999989</v>
      </c>
      <c r="AK61" s="383">
        <v>55673.685396000001</v>
      </c>
    </row>
    <row r="62" spans="2:37" hidden="1" outlineLevel="1" x14ac:dyDescent="0.25">
      <c r="B62" s="288">
        <v>40360</v>
      </c>
      <c r="C62" s="383"/>
      <c r="D62" s="384"/>
      <c r="E62" s="383"/>
      <c r="F62" s="384"/>
      <c r="G62" s="383"/>
      <c r="H62" s="383">
        <v>405859</v>
      </c>
      <c r="I62" s="384">
        <v>0.42549963778030092</v>
      </c>
      <c r="J62" s="383">
        <v>55053.356210914513</v>
      </c>
      <c r="K62" s="384">
        <v>0.50727639370041144</v>
      </c>
      <c r="L62" s="383">
        <v>31248.696782999999</v>
      </c>
      <c r="M62" s="383">
        <v>317232</v>
      </c>
      <c r="N62" s="384">
        <v>0.33258373250887724</v>
      </c>
      <c r="O62" s="383">
        <v>21131.390550992859</v>
      </c>
      <c r="P62" s="384">
        <v>0.19471030161204667</v>
      </c>
      <c r="Q62" s="383">
        <v>11994.335338999999</v>
      </c>
      <c r="R62" s="383">
        <v>215653</v>
      </c>
      <c r="S62" s="384">
        <v>0.22608904419080328</v>
      </c>
      <c r="T62" s="383">
        <v>30129.149853305091</v>
      </c>
      <c r="U62" s="384">
        <v>0.27761806971931385</v>
      </c>
      <c r="V62" s="383">
        <v>17101.530822000001</v>
      </c>
      <c r="W62" s="383">
        <v>15097</v>
      </c>
      <c r="X62" s="384">
        <v>1.5827585520018537E-2</v>
      </c>
      <c r="Y62" s="383">
        <v>2213.4405417931998</v>
      </c>
      <c r="Z62" s="384">
        <v>2.0395234968227698E-2</v>
      </c>
      <c r="AA62" s="383">
        <v>1256.3654079999999</v>
      </c>
      <c r="AB62" s="383"/>
      <c r="AC62" s="384"/>
      <c r="AD62" s="383"/>
      <c r="AE62" s="384"/>
      <c r="AF62" s="383"/>
      <c r="AG62" s="383">
        <v>953841</v>
      </c>
      <c r="AH62" s="384">
        <v>1</v>
      </c>
      <c r="AI62" s="383">
        <v>108527.33715700571</v>
      </c>
      <c r="AJ62" s="384">
        <v>0.99999999999999956</v>
      </c>
      <c r="AK62" s="383">
        <v>61600.928352000003</v>
      </c>
    </row>
    <row r="63" spans="2:37" hidden="1" outlineLevel="1" x14ac:dyDescent="0.25">
      <c r="B63" s="288">
        <v>40391</v>
      </c>
      <c r="C63" s="383"/>
      <c r="D63" s="384"/>
      <c r="E63" s="383"/>
      <c r="F63" s="384"/>
      <c r="G63" s="383"/>
      <c r="H63" s="383">
        <v>407004</v>
      </c>
      <c r="I63" s="384">
        <v>0.42148364928762716</v>
      </c>
      <c r="J63" s="383">
        <v>55332.561027656891</v>
      </c>
      <c r="K63" s="384">
        <v>0.50333152463962949</v>
      </c>
      <c r="L63" s="383">
        <v>31376.299859999999</v>
      </c>
      <c r="M63" s="383">
        <v>326831</v>
      </c>
      <c r="N63" s="384">
        <v>0.33845839986910314</v>
      </c>
      <c r="O63" s="383">
        <v>22348.181194876921</v>
      </c>
      <c r="P63" s="384">
        <v>0.20328977919741928</v>
      </c>
      <c r="Q63" s="383">
        <v>12672.524486</v>
      </c>
      <c r="R63" s="383">
        <v>215989</v>
      </c>
      <c r="S63" s="384">
        <v>0.22367306445633287</v>
      </c>
      <c r="T63" s="383">
        <v>29983.5615156483</v>
      </c>
      <c r="U63" s="384">
        <v>0.27274486218438548</v>
      </c>
      <c r="V63" s="383">
        <v>17002.162913</v>
      </c>
      <c r="W63" s="383">
        <v>15822</v>
      </c>
      <c r="X63" s="384">
        <v>1.6384886386936828E-2</v>
      </c>
      <c r="Y63" s="383">
        <v>2268.3317494785629</v>
      </c>
      <c r="Z63" s="384">
        <v>2.0633833978565629E-2</v>
      </c>
      <c r="AA63" s="383">
        <v>1286.256335</v>
      </c>
      <c r="AB63" s="383"/>
      <c r="AC63" s="384"/>
      <c r="AD63" s="383"/>
      <c r="AE63" s="384"/>
      <c r="AF63" s="383"/>
      <c r="AG63" s="383">
        <v>965646</v>
      </c>
      <c r="AH63" s="384">
        <v>1</v>
      </c>
      <c r="AI63" s="383">
        <v>109932.63548766069</v>
      </c>
      <c r="AJ63" s="384">
        <v>1</v>
      </c>
      <c r="AK63" s="383">
        <v>62337.243594</v>
      </c>
    </row>
    <row r="64" spans="2:37" hidden="1" outlineLevel="1" x14ac:dyDescent="0.25">
      <c r="B64" s="288">
        <v>40422</v>
      </c>
      <c r="C64" s="383"/>
      <c r="D64" s="384"/>
      <c r="E64" s="383"/>
      <c r="F64" s="384"/>
      <c r="G64" s="383"/>
      <c r="H64" s="383">
        <v>405711</v>
      </c>
      <c r="I64" s="384">
        <v>0.41614713792488012</v>
      </c>
      <c r="J64" s="383">
        <v>54219.097267775382</v>
      </c>
      <c r="K64" s="384">
        <v>0.50140057751931</v>
      </c>
      <c r="L64" s="383">
        <v>30867.869701</v>
      </c>
      <c r="M64" s="383">
        <v>337133</v>
      </c>
      <c r="N64" s="384">
        <v>0.34580510030546036</v>
      </c>
      <c r="O64" s="383">
        <v>21830.782041107312</v>
      </c>
      <c r="P64" s="384">
        <v>0.201883972155601</v>
      </c>
      <c r="Q64" s="383">
        <v>12428.641742</v>
      </c>
      <c r="R64" s="383">
        <v>216293</v>
      </c>
      <c r="S64" s="384">
        <v>0.22185672289680611</v>
      </c>
      <c r="T64" s="383">
        <v>29982.138300109469</v>
      </c>
      <c r="U64" s="384">
        <v>0.27726506372273135</v>
      </c>
      <c r="V64" s="383">
        <v>17069.349824000001</v>
      </c>
      <c r="W64" s="383">
        <v>15785</v>
      </c>
      <c r="X64" s="384">
        <v>1.6191038872853419E-2</v>
      </c>
      <c r="Y64" s="383">
        <v>2103.2732118231902</v>
      </c>
      <c r="Z64" s="384">
        <v>1.9450386602357227E-2</v>
      </c>
      <c r="AA64" s="383">
        <v>1197.4298120000001</v>
      </c>
      <c r="AB64" s="383"/>
      <c r="AC64" s="384"/>
      <c r="AD64" s="383"/>
      <c r="AE64" s="384"/>
      <c r="AF64" s="383"/>
      <c r="AG64" s="383">
        <v>974922</v>
      </c>
      <c r="AH64" s="384">
        <v>1</v>
      </c>
      <c r="AI64" s="383">
        <v>108135.2908208154</v>
      </c>
      <c r="AJ64" s="384">
        <v>0.99999999999999956</v>
      </c>
      <c r="AK64" s="383">
        <v>61563.291079000002</v>
      </c>
    </row>
    <row r="65" spans="2:37" hidden="1" outlineLevel="1" x14ac:dyDescent="0.25">
      <c r="B65" s="288">
        <v>40452</v>
      </c>
      <c r="C65" s="383"/>
      <c r="D65" s="384"/>
      <c r="E65" s="383"/>
      <c r="F65" s="384"/>
      <c r="G65" s="383"/>
      <c r="H65" s="383">
        <v>405916</v>
      </c>
      <c r="I65" s="384">
        <v>0.41141747446859406</v>
      </c>
      <c r="J65" s="383">
        <v>54806.355656298547</v>
      </c>
      <c r="K65" s="384">
        <v>0.49481363331721684</v>
      </c>
      <c r="L65" s="383">
        <v>31232.799297000001</v>
      </c>
      <c r="M65" s="383">
        <v>348007</v>
      </c>
      <c r="N65" s="384">
        <v>0.35272362024998277</v>
      </c>
      <c r="O65" s="383">
        <v>23818.709822695229</v>
      </c>
      <c r="P65" s="384">
        <v>0.21504481017142468</v>
      </c>
      <c r="Q65" s="383">
        <v>13573.699154</v>
      </c>
      <c r="R65" s="383">
        <v>216539</v>
      </c>
      <c r="S65" s="384">
        <v>0.21947380370311809</v>
      </c>
      <c r="T65" s="383">
        <v>29923.2760638984</v>
      </c>
      <c r="U65" s="384">
        <v>0.27015926843933591</v>
      </c>
      <c r="V65" s="383">
        <v>17052.541889</v>
      </c>
      <c r="W65" s="383">
        <v>16166</v>
      </c>
      <c r="X65" s="384">
        <v>1.6385101578305097E-2</v>
      </c>
      <c r="Y65" s="383">
        <v>2213.270437922266</v>
      </c>
      <c r="Z65" s="384">
        <v>1.9982288072022986E-2</v>
      </c>
      <c r="AA65" s="383">
        <v>1261.2885960000001</v>
      </c>
      <c r="AB65" s="383"/>
      <c r="AC65" s="384"/>
      <c r="AD65" s="383"/>
      <c r="AE65" s="384"/>
      <c r="AF65" s="383"/>
      <c r="AG65" s="383">
        <v>986628</v>
      </c>
      <c r="AH65" s="384">
        <v>1</v>
      </c>
      <c r="AI65" s="383">
        <v>110761.6119808144</v>
      </c>
      <c r="AJ65" s="384">
        <v>1.0000000000000004</v>
      </c>
      <c r="AK65" s="383">
        <v>63120.328935999998</v>
      </c>
    </row>
    <row r="66" spans="2:37" hidden="1" outlineLevel="1" x14ac:dyDescent="0.25">
      <c r="B66" s="288">
        <v>40483</v>
      </c>
      <c r="C66" s="383"/>
      <c r="D66" s="384"/>
      <c r="E66" s="383"/>
      <c r="F66" s="384"/>
      <c r="G66" s="383"/>
      <c r="H66" s="383">
        <v>406466</v>
      </c>
      <c r="I66" s="384">
        <v>0.40554460266275022</v>
      </c>
      <c r="J66" s="383">
        <v>55103.014242193669</v>
      </c>
      <c r="K66" s="384">
        <v>0.48876839213209111</v>
      </c>
      <c r="L66" s="383">
        <v>31423.959846999998</v>
      </c>
      <c r="M66" s="383">
        <v>362534</v>
      </c>
      <c r="N66" s="384">
        <v>0.36171218990453691</v>
      </c>
      <c r="O66" s="383">
        <v>25347.961178489259</v>
      </c>
      <c r="P66" s="384">
        <v>0.22483855737151484</v>
      </c>
      <c r="Q66" s="383">
        <v>14455.349226</v>
      </c>
      <c r="R66" s="383">
        <v>216508</v>
      </c>
      <c r="S66" s="384">
        <v>0.21601720890137607</v>
      </c>
      <c r="T66" s="383">
        <v>29895.891801255319</v>
      </c>
      <c r="U66" s="384">
        <v>0.26517908626250158</v>
      </c>
      <c r="V66" s="383">
        <v>17048.927658000001</v>
      </c>
      <c r="W66" s="383">
        <v>16764</v>
      </c>
      <c r="X66" s="384">
        <v>1.6725998531336803E-2</v>
      </c>
      <c r="Y66" s="383">
        <v>2391.6304575555009</v>
      </c>
      <c r="Z66" s="384">
        <v>2.1213964233892029E-2</v>
      </c>
      <c r="AA66" s="383">
        <v>1363.8908960000001</v>
      </c>
      <c r="AB66" s="383"/>
      <c r="AC66" s="384"/>
      <c r="AD66" s="383"/>
      <c r="AE66" s="384"/>
      <c r="AF66" s="383"/>
      <c r="AG66" s="383">
        <v>1002272</v>
      </c>
      <c r="AH66" s="384">
        <v>1</v>
      </c>
      <c r="AI66" s="383">
        <v>112738.4976794938</v>
      </c>
      <c r="AJ66" s="384">
        <v>0.99999999999999956</v>
      </c>
      <c r="AK66" s="383">
        <v>64292.127627000002</v>
      </c>
    </row>
    <row r="67" spans="2:37" collapsed="1" x14ac:dyDescent="0.25">
      <c r="B67" s="288">
        <v>40513</v>
      </c>
      <c r="C67" s="383"/>
      <c r="D67" s="384"/>
      <c r="E67" s="383"/>
      <c r="F67" s="384"/>
      <c r="G67" s="383"/>
      <c r="H67" s="383">
        <v>407118</v>
      </c>
      <c r="I67" s="384">
        <v>0.40265059168525213</v>
      </c>
      <c r="J67" s="383">
        <v>55123.318741062387</v>
      </c>
      <c r="K67" s="384">
        <v>0.49036701508285668</v>
      </c>
      <c r="L67" s="383">
        <v>31472.596183000001</v>
      </c>
      <c r="M67" s="383">
        <v>370216</v>
      </c>
      <c r="N67" s="384">
        <v>0.36615352662212752</v>
      </c>
      <c r="O67" s="383">
        <v>25080.402998426762</v>
      </c>
      <c r="P67" s="384">
        <v>0.22311070226350871</v>
      </c>
      <c r="Q67" s="383">
        <v>14319.627586000001</v>
      </c>
      <c r="R67" s="383">
        <v>216390</v>
      </c>
      <c r="S67" s="384">
        <v>0.21401549804914474</v>
      </c>
      <c r="T67" s="383">
        <v>29739.317422179211</v>
      </c>
      <c r="U67" s="384">
        <v>0.26455555739339642</v>
      </c>
      <c r="V67" s="383">
        <v>16979.629481</v>
      </c>
      <c r="W67" s="383">
        <v>17371</v>
      </c>
      <c r="X67" s="384">
        <v>1.7180383643475638E-2</v>
      </c>
      <c r="Y67" s="383">
        <v>2469.3316658194458</v>
      </c>
      <c r="Z67" s="384">
        <v>2.1966725260238251E-2</v>
      </c>
      <c r="AA67" s="383">
        <v>1409.862108</v>
      </c>
      <c r="AB67" s="383"/>
      <c r="AC67" s="384"/>
      <c r="AD67" s="383"/>
      <c r="AE67" s="384"/>
      <c r="AF67" s="383"/>
      <c r="AG67" s="383">
        <v>1011095</v>
      </c>
      <c r="AH67" s="384">
        <v>1.0000000000000002</v>
      </c>
      <c r="AI67" s="383">
        <v>112412.3708274878</v>
      </c>
      <c r="AJ67" s="384">
        <v>1</v>
      </c>
      <c r="AK67" s="383">
        <v>64181.715358000001</v>
      </c>
    </row>
    <row r="68" spans="2:37" hidden="1" outlineLevel="1" x14ac:dyDescent="0.25">
      <c r="B68" s="288">
        <v>40544</v>
      </c>
      <c r="C68" s="383"/>
      <c r="D68" s="384"/>
      <c r="E68" s="383"/>
      <c r="F68" s="384"/>
      <c r="G68" s="383"/>
      <c r="H68" s="383">
        <v>408161</v>
      </c>
      <c r="I68" s="384">
        <v>0.4019207780007602</v>
      </c>
      <c r="J68" s="383">
        <v>55654.758688590176</v>
      </c>
      <c r="K68" s="384">
        <v>0.4931994920469075</v>
      </c>
      <c r="L68" s="383">
        <v>31862.037417</v>
      </c>
      <c r="M68" s="383">
        <v>372853</v>
      </c>
      <c r="N68" s="384">
        <v>0.36715258890466618</v>
      </c>
      <c r="O68" s="383">
        <v>24965.033998806419</v>
      </c>
      <c r="P68" s="384">
        <v>0.22123430910983982</v>
      </c>
      <c r="Q68" s="383">
        <v>14292.342041</v>
      </c>
      <c r="R68" s="383">
        <v>216183</v>
      </c>
      <c r="S68" s="384">
        <v>0.2128778583709329</v>
      </c>
      <c r="T68" s="383">
        <v>29393.985272624541</v>
      </c>
      <c r="U68" s="384">
        <v>0.26048264240636737</v>
      </c>
      <c r="V68" s="383">
        <v>16827.891822000001</v>
      </c>
      <c r="W68" s="383">
        <v>18329</v>
      </c>
      <c r="X68" s="384">
        <v>1.8048774723640755E-2</v>
      </c>
      <c r="Y68" s="383">
        <v>2830.536736265969</v>
      </c>
      <c r="Z68" s="384">
        <v>2.5083556436885358E-2</v>
      </c>
      <c r="AA68" s="383">
        <v>1620.4664170000001</v>
      </c>
      <c r="AB68" s="383"/>
      <c r="AC68" s="384"/>
      <c r="AD68" s="383"/>
      <c r="AE68" s="384"/>
      <c r="AF68" s="383"/>
      <c r="AG68" s="383">
        <v>1015526</v>
      </c>
      <c r="AH68" s="384">
        <v>1</v>
      </c>
      <c r="AI68" s="383">
        <v>112844.3146962871</v>
      </c>
      <c r="AJ68" s="384">
        <v>0.99999999999999989</v>
      </c>
      <c r="AK68" s="383">
        <v>64602.737696999997</v>
      </c>
    </row>
    <row r="69" spans="2:37" hidden="1" outlineLevel="1" x14ac:dyDescent="0.25">
      <c r="B69" s="288">
        <v>40575</v>
      </c>
      <c r="C69" s="383"/>
      <c r="D69" s="384"/>
      <c r="E69" s="383"/>
      <c r="F69" s="384"/>
      <c r="G69" s="383"/>
      <c r="H69" s="383">
        <v>407627</v>
      </c>
      <c r="I69" s="384">
        <v>0.39832102587253987</v>
      </c>
      <c r="J69" s="383">
        <v>54513.042284511859</v>
      </c>
      <c r="K69" s="384">
        <v>0.48441660651244028</v>
      </c>
      <c r="L69" s="383">
        <v>31280.217891</v>
      </c>
      <c r="M69" s="383">
        <v>381231</v>
      </c>
      <c r="N69" s="384">
        <v>0.37252763682095208</v>
      </c>
      <c r="O69" s="383">
        <v>26334.789898472682</v>
      </c>
      <c r="P69" s="384">
        <v>0.23401756756218914</v>
      </c>
      <c r="Q69" s="383">
        <v>15111.208833999999</v>
      </c>
      <c r="R69" s="383">
        <v>215873</v>
      </c>
      <c r="S69" s="384">
        <v>0.21094469899732549</v>
      </c>
      <c r="T69" s="383">
        <v>29176.99477572563</v>
      </c>
      <c r="U69" s="384">
        <v>0.25927411505895503</v>
      </c>
      <c r="V69" s="383">
        <v>16742.09906</v>
      </c>
      <c r="W69" s="383">
        <v>18632</v>
      </c>
      <c r="X69" s="384">
        <v>1.8206638309182569E-2</v>
      </c>
      <c r="Y69" s="383">
        <v>2508.5617642297261</v>
      </c>
      <c r="Z69" s="384">
        <v>2.2291710866415564E-2</v>
      </c>
      <c r="AA69" s="383">
        <v>1439.441926</v>
      </c>
      <c r="AB69" s="383"/>
      <c r="AC69" s="384"/>
      <c r="AD69" s="383"/>
      <c r="AE69" s="384"/>
      <c r="AF69" s="383"/>
      <c r="AG69" s="383">
        <v>1023363</v>
      </c>
      <c r="AH69" s="384">
        <v>1</v>
      </c>
      <c r="AI69" s="383">
        <v>112533.3887229399</v>
      </c>
      <c r="AJ69" s="384">
        <v>1</v>
      </c>
      <c r="AK69" s="383">
        <v>64572.967710999998</v>
      </c>
    </row>
    <row r="70" spans="2:37" hidden="1" outlineLevel="1" x14ac:dyDescent="0.25">
      <c r="B70" s="288">
        <v>40603</v>
      </c>
      <c r="C70" s="383"/>
      <c r="D70" s="384"/>
      <c r="E70" s="383"/>
      <c r="F70" s="384"/>
      <c r="G70" s="383"/>
      <c r="H70" s="383">
        <v>408158</v>
      </c>
      <c r="I70" s="384">
        <v>0.39701768379277474</v>
      </c>
      <c r="J70" s="383">
        <v>54493.934216625523</v>
      </c>
      <c r="K70" s="384">
        <v>0.48977940697454198</v>
      </c>
      <c r="L70" s="383">
        <v>31508.366419000002</v>
      </c>
      <c r="M70" s="383">
        <v>384417</v>
      </c>
      <c r="N70" s="384">
        <v>0.37392467365717952</v>
      </c>
      <c r="O70" s="383">
        <v>24616.668988084959</v>
      </c>
      <c r="P70" s="384">
        <v>0.22124916675578299</v>
      </c>
      <c r="Q70" s="383">
        <v>14233.346108</v>
      </c>
      <c r="R70" s="383">
        <v>215968</v>
      </c>
      <c r="S70" s="384">
        <v>0.21007334202283914</v>
      </c>
      <c r="T70" s="383">
        <v>29235.81150472469</v>
      </c>
      <c r="U70" s="384">
        <v>0.26276499627062977</v>
      </c>
      <c r="V70" s="383">
        <v>16904.132077999999</v>
      </c>
      <c r="W70" s="383">
        <v>19517</v>
      </c>
      <c r="X70" s="384">
        <v>1.8984300527206583E-2</v>
      </c>
      <c r="Y70" s="383">
        <v>2915.7850495229368</v>
      </c>
      <c r="Z70" s="384">
        <v>2.6206429999045357E-2</v>
      </c>
      <c r="AA70" s="383">
        <v>1685.9055060000001</v>
      </c>
      <c r="AB70" s="383"/>
      <c r="AC70" s="384"/>
      <c r="AD70" s="383"/>
      <c r="AE70" s="384"/>
      <c r="AF70" s="383"/>
      <c r="AG70" s="383">
        <v>1028060</v>
      </c>
      <c r="AH70" s="384">
        <v>1</v>
      </c>
      <c r="AI70" s="383">
        <v>111262.1997589581</v>
      </c>
      <c r="AJ70" s="384">
        <v>1.0000000000000002</v>
      </c>
      <c r="AK70" s="383">
        <v>64331.750111000001</v>
      </c>
    </row>
    <row r="71" spans="2:37" hidden="1" outlineLevel="1" x14ac:dyDescent="0.25">
      <c r="B71" s="288">
        <v>40634</v>
      </c>
      <c r="C71" s="383"/>
      <c r="D71" s="384"/>
      <c r="E71" s="383"/>
      <c r="F71" s="384"/>
      <c r="G71" s="383"/>
      <c r="H71" s="383">
        <v>403355</v>
      </c>
      <c r="I71" s="384">
        <v>0.39436004180643697</v>
      </c>
      <c r="J71" s="383">
        <v>52707.961067271179</v>
      </c>
      <c r="K71" s="384">
        <v>0.48945379262799243</v>
      </c>
      <c r="L71" s="383">
        <v>30572.922061000001</v>
      </c>
      <c r="M71" s="383">
        <v>383911</v>
      </c>
      <c r="N71" s="384">
        <v>0.3753496498368708</v>
      </c>
      <c r="O71" s="383">
        <v>23328.71964268904</v>
      </c>
      <c r="P71" s="384">
        <v>0.21663388366884614</v>
      </c>
      <c r="Q71" s="383">
        <v>13531.677435</v>
      </c>
      <c r="R71" s="383">
        <v>215453</v>
      </c>
      <c r="S71" s="384">
        <v>0.21064832241405776</v>
      </c>
      <c r="T71" s="383">
        <v>29157.649400537332</v>
      </c>
      <c r="U71" s="384">
        <v>0.27076217319421286</v>
      </c>
      <c r="V71" s="383">
        <v>16912.711563000001</v>
      </c>
      <c r="W71" s="383">
        <v>20090</v>
      </c>
      <c r="X71" s="384">
        <v>1.964198594263445E-2</v>
      </c>
      <c r="Y71" s="383">
        <v>2492.9773762210061</v>
      </c>
      <c r="Z71" s="384">
        <v>2.315015050894902E-2</v>
      </c>
      <c r="AA71" s="383">
        <v>1446.035883</v>
      </c>
      <c r="AB71" s="383"/>
      <c r="AC71" s="384"/>
      <c r="AD71" s="383"/>
      <c r="AE71" s="384"/>
      <c r="AF71" s="383"/>
      <c r="AG71" s="383">
        <v>1022809</v>
      </c>
      <c r="AH71" s="384">
        <v>0.99999999999999989</v>
      </c>
      <c r="AI71" s="383">
        <v>107687.30748671851</v>
      </c>
      <c r="AJ71" s="384">
        <v>1.0000000000000004</v>
      </c>
      <c r="AK71" s="383">
        <v>62463.346941999996</v>
      </c>
    </row>
    <row r="72" spans="2:37" hidden="1" outlineLevel="1" x14ac:dyDescent="0.25">
      <c r="B72" s="288">
        <v>40664</v>
      </c>
      <c r="C72" s="383"/>
      <c r="D72" s="384"/>
      <c r="E72" s="383"/>
      <c r="F72" s="384"/>
      <c r="G72" s="383"/>
      <c r="H72" s="383">
        <v>406131</v>
      </c>
      <c r="I72" s="384">
        <v>0.3934630632166759</v>
      </c>
      <c r="J72" s="383">
        <v>54853.779452219227</v>
      </c>
      <c r="K72" s="384">
        <v>0.48762634671125843</v>
      </c>
      <c r="L72" s="383">
        <v>31944.810621000001</v>
      </c>
      <c r="M72" s="383">
        <v>389170</v>
      </c>
      <c r="N72" s="384">
        <v>0.37703110649527805</v>
      </c>
      <c r="O72" s="383">
        <v>25462.37420874117</v>
      </c>
      <c r="P72" s="384">
        <v>0.22634948107483785</v>
      </c>
      <c r="Q72" s="383">
        <v>14828.344193999999</v>
      </c>
      <c r="R72" s="383">
        <v>215354</v>
      </c>
      <c r="S72" s="384">
        <v>0.20863673178349848</v>
      </c>
      <c r="T72" s="383">
        <v>28791.825128845088</v>
      </c>
      <c r="U72" s="384">
        <v>0.25594685804571543</v>
      </c>
      <c r="V72" s="383">
        <v>16767.293162999998</v>
      </c>
      <c r="W72" s="383">
        <v>21541</v>
      </c>
      <c r="X72" s="384">
        <v>2.0869098504547587E-2</v>
      </c>
      <c r="Y72" s="383">
        <v>3383.4397362328218</v>
      </c>
      <c r="Z72" s="384">
        <v>3.0077314168188391E-2</v>
      </c>
      <c r="AA72" s="383">
        <v>1970.3900570000001</v>
      </c>
      <c r="AB72" s="383"/>
      <c r="AC72" s="384"/>
      <c r="AD72" s="383"/>
      <c r="AE72" s="384"/>
      <c r="AF72" s="383"/>
      <c r="AG72" s="383">
        <v>1032196</v>
      </c>
      <c r="AH72" s="384">
        <v>1</v>
      </c>
      <c r="AI72" s="383">
        <v>112491.41852603829</v>
      </c>
      <c r="AJ72" s="384">
        <v>1.0000000000000002</v>
      </c>
      <c r="AK72" s="383">
        <v>65510.838035000001</v>
      </c>
    </row>
    <row r="73" spans="2:37" hidden="1" outlineLevel="1" x14ac:dyDescent="0.25">
      <c r="B73" s="288">
        <v>40695</v>
      </c>
      <c r="C73" s="383"/>
      <c r="D73" s="384"/>
      <c r="E73" s="383"/>
      <c r="F73" s="384"/>
      <c r="G73" s="383"/>
      <c r="H73" s="383">
        <v>406612</v>
      </c>
      <c r="I73" s="384">
        <v>0.39025410877652328</v>
      </c>
      <c r="J73" s="383">
        <v>53748.539867559171</v>
      </c>
      <c r="K73" s="384">
        <v>0.47884412502391205</v>
      </c>
      <c r="L73" s="383">
        <v>31354.279933000002</v>
      </c>
      <c r="M73" s="383">
        <v>397492</v>
      </c>
      <c r="N73" s="384">
        <v>0.38150100391970176</v>
      </c>
      <c r="O73" s="383">
        <v>26470.54455158456</v>
      </c>
      <c r="P73" s="384">
        <v>0.23582528522528962</v>
      </c>
      <c r="Q73" s="383">
        <v>15441.626244999999</v>
      </c>
      <c r="R73" s="383">
        <v>215443</v>
      </c>
      <c r="S73" s="384">
        <v>0.20677578614782766</v>
      </c>
      <c r="T73" s="383">
        <v>28853.256510541829</v>
      </c>
      <c r="U73" s="384">
        <v>0.25705279440009315</v>
      </c>
      <c r="V73" s="383">
        <v>16831.584333999999</v>
      </c>
      <c r="W73" s="383">
        <v>22369</v>
      </c>
      <c r="X73" s="384">
        <v>2.1469101155947311E-2</v>
      </c>
      <c r="Y73" s="383">
        <v>3174.081358308747</v>
      </c>
      <c r="Z73" s="384">
        <v>2.8277795350705282E-2</v>
      </c>
      <c r="AA73" s="383">
        <v>1851.6044469999999</v>
      </c>
      <c r="AB73" s="383"/>
      <c r="AC73" s="384"/>
      <c r="AD73" s="383"/>
      <c r="AE73" s="384"/>
      <c r="AF73" s="383"/>
      <c r="AG73" s="383">
        <v>1041916</v>
      </c>
      <c r="AH73" s="384">
        <v>1</v>
      </c>
      <c r="AI73" s="383">
        <v>112246.4222879943</v>
      </c>
      <c r="AJ73" s="384">
        <v>1</v>
      </c>
      <c r="AK73" s="383">
        <v>65479.094959000002</v>
      </c>
    </row>
    <row r="74" spans="2:37" hidden="1" outlineLevel="1" x14ac:dyDescent="0.25">
      <c r="B74" s="288">
        <v>40725</v>
      </c>
      <c r="C74" s="383"/>
      <c r="D74" s="384"/>
      <c r="E74" s="383"/>
      <c r="F74" s="384"/>
      <c r="G74" s="383"/>
      <c r="H74" s="383">
        <v>405603</v>
      </c>
      <c r="I74" s="384">
        <v>0.38809004847262435</v>
      </c>
      <c r="J74" s="383">
        <v>55265.930401303864</v>
      </c>
      <c r="K74" s="384">
        <v>0.45769448394037171</v>
      </c>
      <c r="L74" s="383">
        <v>32280.384067999999</v>
      </c>
      <c r="M74" s="383">
        <v>402342</v>
      </c>
      <c r="N74" s="384">
        <v>0.38496985052519983</v>
      </c>
      <c r="O74" s="383">
        <v>32882.886172712497</v>
      </c>
      <c r="P74" s="384">
        <v>0.27232538216590951</v>
      </c>
      <c r="Q74" s="383">
        <v>19206.628518000001</v>
      </c>
      <c r="R74" s="383">
        <v>214230</v>
      </c>
      <c r="S74" s="384">
        <v>0.2049800693887627</v>
      </c>
      <c r="T74" s="383">
        <v>29402.606046853311</v>
      </c>
      <c r="U74" s="384">
        <v>0.24350283263844383</v>
      </c>
      <c r="V74" s="383">
        <v>17173.824975</v>
      </c>
      <c r="W74" s="383">
        <v>22951</v>
      </c>
      <c r="X74" s="384">
        <v>2.196003161341312E-2</v>
      </c>
      <c r="Y74" s="383">
        <v>3197.0948738351681</v>
      </c>
      <c r="Z74" s="384">
        <v>2.6477301255275209E-2</v>
      </c>
      <c r="AA74" s="383">
        <v>1867.397322</v>
      </c>
      <c r="AB74" s="383"/>
      <c r="AC74" s="384"/>
      <c r="AD74" s="383"/>
      <c r="AE74" s="384"/>
      <c r="AF74" s="383"/>
      <c r="AG74" s="383">
        <v>1045126</v>
      </c>
      <c r="AH74" s="384">
        <v>0.99999999999999989</v>
      </c>
      <c r="AI74" s="383">
        <v>120748.51749470481</v>
      </c>
      <c r="AJ74" s="384">
        <v>1.0000000000000002</v>
      </c>
      <c r="AK74" s="383">
        <v>70528.234882999997</v>
      </c>
    </row>
    <row r="75" spans="2:37" hidden="1" outlineLevel="1" x14ac:dyDescent="0.25">
      <c r="B75" s="288">
        <v>40756</v>
      </c>
      <c r="C75" s="383"/>
      <c r="D75" s="384"/>
      <c r="E75" s="383"/>
      <c r="F75" s="384"/>
      <c r="G75" s="383"/>
      <c r="H75" s="383">
        <v>405997</v>
      </c>
      <c r="I75" s="384">
        <v>0.38525524297354719</v>
      </c>
      <c r="J75" s="383">
        <v>55269.592216487057</v>
      </c>
      <c r="K75" s="384">
        <v>0.45146023061924567</v>
      </c>
      <c r="L75" s="383">
        <v>32334.868839999999</v>
      </c>
      <c r="M75" s="383">
        <v>409747</v>
      </c>
      <c r="N75" s="384">
        <v>0.38881366128981754</v>
      </c>
      <c r="O75" s="383">
        <v>34334.747727179078</v>
      </c>
      <c r="P75" s="384">
        <v>0.28045752656271578</v>
      </c>
      <c r="Q75" s="383">
        <v>20087.167643000001</v>
      </c>
      <c r="R75" s="383">
        <v>214543</v>
      </c>
      <c r="S75" s="384">
        <v>0.20358233088735567</v>
      </c>
      <c r="T75" s="383">
        <v>29500.63417298517</v>
      </c>
      <c r="U75" s="384">
        <v>0.24097089508065855</v>
      </c>
      <c r="V75" s="383">
        <v>17259.022518999998</v>
      </c>
      <c r="W75" s="383">
        <v>23552</v>
      </c>
      <c r="X75" s="384">
        <v>2.2348764849279633E-2</v>
      </c>
      <c r="Y75" s="383">
        <v>3319.08113330169</v>
      </c>
      <c r="Z75" s="384">
        <v>2.7111347737379939E-2</v>
      </c>
      <c r="AA75" s="383">
        <v>1941.7920200000001</v>
      </c>
      <c r="AB75" s="383"/>
      <c r="AC75" s="384"/>
      <c r="AD75" s="383"/>
      <c r="AE75" s="384"/>
      <c r="AF75" s="383"/>
      <c r="AG75" s="383">
        <v>1053839</v>
      </c>
      <c r="AH75" s="384">
        <v>1</v>
      </c>
      <c r="AI75" s="383">
        <v>122424.055249953</v>
      </c>
      <c r="AJ75" s="384">
        <v>1</v>
      </c>
      <c r="AK75" s="383">
        <v>71622.851022000003</v>
      </c>
    </row>
    <row r="76" spans="2:37" hidden="1" outlineLevel="1" x14ac:dyDescent="0.25">
      <c r="B76" s="288">
        <v>40787</v>
      </c>
      <c r="C76" s="383"/>
      <c r="D76" s="384"/>
      <c r="E76" s="383"/>
      <c r="F76" s="384"/>
      <c r="G76" s="383"/>
      <c r="H76" s="383">
        <v>405744</v>
      </c>
      <c r="I76" s="384">
        <v>0.38511420240554001</v>
      </c>
      <c r="J76" s="383">
        <v>55035.58219094314</v>
      </c>
      <c r="K76" s="384">
        <v>0.45972646739031847</v>
      </c>
      <c r="L76" s="383">
        <v>32357.993809</v>
      </c>
      <c r="M76" s="383">
        <v>409464</v>
      </c>
      <c r="N76" s="384">
        <v>0.38864506135341997</v>
      </c>
      <c r="O76" s="383">
        <v>31763.839402596979</v>
      </c>
      <c r="P76" s="384">
        <v>0.26533157455564055</v>
      </c>
      <c r="Q76" s="383">
        <v>18675.447370999998</v>
      </c>
      <c r="R76" s="383">
        <v>214849</v>
      </c>
      <c r="S76" s="384">
        <v>0.2039251381970599</v>
      </c>
      <c r="T76" s="383">
        <v>29909.028050434408</v>
      </c>
      <c r="U76" s="384">
        <v>0.24983785509889458</v>
      </c>
      <c r="V76" s="383">
        <v>17584.916992999999</v>
      </c>
      <c r="W76" s="383">
        <v>23511</v>
      </c>
      <c r="X76" s="384">
        <v>2.2315598043980076E-2</v>
      </c>
      <c r="Y76" s="383">
        <v>3005.3064583398159</v>
      </c>
      <c r="Z76" s="384">
        <v>2.5104102955146666E-2</v>
      </c>
      <c r="AA76" s="383">
        <v>1766.9602809999999</v>
      </c>
      <c r="AB76" s="383"/>
      <c r="AC76" s="384"/>
      <c r="AD76" s="383"/>
      <c r="AE76" s="384"/>
      <c r="AF76" s="383"/>
      <c r="AG76" s="383">
        <v>1053568</v>
      </c>
      <c r="AH76" s="384">
        <v>1</v>
      </c>
      <c r="AI76" s="383">
        <v>119713.75610231431</v>
      </c>
      <c r="AJ76" s="384">
        <v>1.0000000000000002</v>
      </c>
      <c r="AK76" s="383">
        <v>70385.318453999993</v>
      </c>
    </row>
    <row r="77" spans="2:37" hidden="1" outlineLevel="1" x14ac:dyDescent="0.25">
      <c r="B77" s="288">
        <v>40817</v>
      </c>
      <c r="C77" s="383"/>
      <c r="D77" s="384"/>
      <c r="E77" s="383"/>
      <c r="F77" s="384"/>
      <c r="G77" s="383"/>
      <c r="H77" s="383">
        <v>403625</v>
      </c>
      <c r="I77" s="384">
        <v>0.37899843940438205</v>
      </c>
      <c r="J77" s="383">
        <v>54168.443315684402</v>
      </c>
      <c r="K77" s="384">
        <v>0.43739465880348816</v>
      </c>
      <c r="L77" s="383">
        <v>32002.757372</v>
      </c>
      <c r="M77" s="383">
        <v>422164</v>
      </c>
      <c r="N77" s="384">
        <v>0.39640631074069138</v>
      </c>
      <c r="O77" s="383">
        <v>36631.048196867829</v>
      </c>
      <c r="P77" s="384">
        <v>0.29578521823690512</v>
      </c>
      <c r="Q77" s="383">
        <v>21641.651042000001</v>
      </c>
      <c r="R77" s="383">
        <v>214346</v>
      </c>
      <c r="S77" s="384">
        <v>0.20126800741423767</v>
      </c>
      <c r="T77" s="383">
        <v>29291.537449644889</v>
      </c>
      <c r="U77" s="384">
        <v>0.2365207719548281</v>
      </c>
      <c r="V77" s="383">
        <v>17305.462529</v>
      </c>
      <c r="W77" s="383">
        <v>24843</v>
      </c>
      <c r="X77" s="384">
        <v>2.3327242440688914E-2</v>
      </c>
      <c r="Y77" s="383">
        <v>3752.3747589742852</v>
      </c>
      <c r="Z77" s="384">
        <v>3.0299351004778669E-2</v>
      </c>
      <c r="AA77" s="383">
        <v>2216.9058519999999</v>
      </c>
      <c r="AB77" s="383"/>
      <c r="AC77" s="384"/>
      <c r="AD77" s="383"/>
      <c r="AE77" s="384"/>
      <c r="AF77" s="383"/>
      <c r="AG77" s="383">
        <v>1064978</v>
      </c>
      <c r="AH77" s="384">
        <v>1</v>
      </c>
      <c r="AI77" s="383">
        <v>123843.4037211714</v>
      </c>
      <c r="AJ77" s="384">
        <v>1</v>
      </c>
      <c r="AK77" s="383">
        <v>73166.776794999998</v>
      </c>
    </row>
    <row r="78" spans="2:37" hidden="1" outlineLevel="1" x14ac:dyDescent="0.25">
      <c r="B78" s="288">
        <v>40848</v>
      </c>
      <c r="C78" s="383"/>
      <c r="D78" s="384"/>
      <c r="E78" s="383"/>
      <c r="F78" s="384"/>
      <c r="G78" s="383"/>
      <c r="H78" s="383">
        <v>401693</v>
      </c>
      <c r="I78" s="384">
        <v>0.3778840382838855</v>
      </c>
      <c r="J78" s="383">
        <v>53141.574443467383</v>
      </c>
      <c r="K78" s="384">
        <v>0.44669860673176254</v>
      </c>
      <c r="L78" s="383">
        <v>31495.705231</v>
      </c>
      <c r="M78" s="383">
        <v>422687</v>
      </c>
      <c r="N78" s="384">
        <v>0.39763369162544709</v>
      </c>
      <c r="O78" s="383">
        <v>33747.289829050918</v>
      </c>
      <c r="P78" s="384">
        <v>0.28367370567175881</v>
      </c>
      <c r="Q78" s="383">
        <v>20001.189350000001</v>
      </c>
      <c r="R78" s="383">
        <v>213867</v>
      </c>
      <c r="S78" s="384">
        <v>0.20119077408782265</v>
      </c>
      <c r="T78" s="383">
        <v>28918.475946883071</v>
      </c>
      <c r="U78" s="384">
        <v>0.24308355651037031</v>
      </c>
      <c r="V78" s="383">
        <v>17139.270028999999</v>
      </c>
      <c r="W78" s="383">
        <v>24759</v>
      </c>
      <c r="X78" s="384">
        <v>2.3291496002844764E-2</v>
      </c>
      <c r="Y78" s="383">
        <v>3157.8269931713671</v>
      </c>
      <c r="Z78" s="384">
        <v>2.6544131086108671E-2</v>
      </c>
      <c r="AA78" s="383">
        <v>1871.566456</v>
      </c>
      <c r="AB78" s="383"/>
      <c r="AC78" s="384"/>
      <c r="AD78" s="383"/>
      <c r="AE78" s="384"/>
      <c r="AF78" s="383"/>
      <c r="AG78" s="383">
        <v>1063006</v>
      </c>
      <c r="AH78" s="384">
        <v>1</v>
      </c>
      <c r="AI78" s="383">
        <v>118965.16721257271</v>
      </c>
      <c r="AJ78" s="384">
        <v>1.0000000000000002</v>
      </c>
      <c r="AK78" s="383">
        <v>70507.731065999993</v>
      </c>
    </row>
    <row r="79" spans="2:37" collapsed="1" x14ac:dyDescent="0.25">
      <c r="B79" s="288">
        <v>40878</v>
      </c>
      <c r="C79" s="383"/>
      <c r="D79" s="384"/>
      <c r="E79" s="383"/>
      <c r="F79" s="384"/>
      <c r="G79" s="383"/>
      <c r="H79" s="383">
        <v>405116</v>
      </c>
      <c r="I79" s="384">
        <v>0.37454835930074742</v>
      </c>
      <c r="J79" s="383">
        <v>55580.396924356013</v>
      </c>
      <c r="K79" s="384">
        <v>0.44180205287802504</v>
      </c>
      <c r="L79" s="383">
        <v>33141.81525</v>
      </c>
      <c r="M79" s="383">
        <v>436791</v>
      </c>
      <c r="N79" s="384">
        <v>0.40383335244061641</v>
      </c>
      <c r="O79" s="383">
        <v>37392.353933456638</v>
      </c>
      <c r="P79" s="384">
        <v>0.29722743348210173</v>
      </c>
      <c r="Q79" s="383">
        <v>22296.538967</v>
      </c>
      <c r="R79" s="383">
        <v>213801</v>
      </c>
      <c r="S79" s="384">
        <v>0.19766884982784955</v>
      </c>
      <c r="T79" s="383">
        <v>29000.800075193201</v>
      </c>
      <c r="U79" s="384">
        <v>0.23052395659864197</v>
      </c>
      <c r="V79" s="383">
        <v>17292.772476999999</v>
      </c>
      <c r="W79" s="383">
        <v>25904</v>
      </c>
      <c r="X79" s="384">
        <v>2.3949438430786639E-2</v>
      </c>
      <c r="Y79" s="383">
        <v>3830.2939388986888</v>
      </c>
      <c r="Z79" s="384">
        <v>3.0446557041231576E-2</v>
      </c>
      <c r="AA79" s="383">
        <v>2283.9508369999999</v>
      </c>
      <c r="AB79" s="383"/>
      <c r="AC79" s="384"/>
      <c r="AD79" s="383"/>
      <c r="AE79" s="384"/>
      <c r="AF79" s="383"/>
      <c r="AG79" s="383">
        <v>1081612</v>
      </c>
      <c r="AH79" s="384">
        <v>1</v>
      </c>
      <c r="AI79" s="383">
        <v>125803.8448719045</v>
      </c>
      <c r="AJ79" s="384">
        <v>1.0000000000000004</v>
      </c>
      <c r="AK79" s="383">
        <v>75015.077531000003</v>
      </c>
    </row>
    <row r="80" spans="2:37" hidden="1" outlineLevel="1" x14ac:dyDescent="0.25">
      <c r="B80" s="288">
        <v>40909</v>
      </c>
      <c r="C80" s="383"/>
      <c r="D80" s="384"/>
      <c r="E80" s="383"/>
      <c r="F80" s="384"/>
      <c r="G80" s="383"/>
      <c r="H80" s="383">
        <v>405147</v>
      </c>
      <c r="I80" s="384">
        <v>0.37581396815738016</v>
      </c>
      <c r="J80" s="383">
        <v>54049.233831809623</v>
      </c>
      <c r="K80" s="384">
        <v>0.45393341351649902</v>
      </c>
      <c r="L80" s="383">
        <v>32257.170563</v>
      </c>
      <c r="M80" s="383">
        <v>434885</v>
      </c>
      <c r="N80" s="384">
        <v>0.40339890840145004</v>
      </c>
      <c r="O80" s="383">
        <v>33222.959523906713</v>
      </c>
      <c r="P80" s="384">
        <v>0.27902359302143931</v>
      </c>
      <c r="Q80" s="383">
        <v>19827.823560000001</v>
      </c>
      <c r="R80" s="383">
        <v>212218</v>
      </c>
      <c r="S80" s="384">
        <v>0.19685321301755387</v>
      </c>
      <c r="T80" s="383">
        <v>28544.421888874829</v>
      </c>
      <c r="U80" s="384">
        <v>0.23973081478254513</v>
      </c>
      <c r="V80" s="383">
        <v>17035.621417999999</v>
      </c>
      <c r="W80" s="383">
        <v>25802</v>
      </c>
      <c r="X80" s="384">
        <v>2.393391042361593E-2</v>
      </c>
      <c r="Y80" s="383">
        <v>3252.0239487761082</v>
      </c>
      <c r="Z80" s="384">
        <v>2.7312178679516325E-2</v>
      </c>
      <c r="AA80" s="383">
        <v>1940.8432600000001</v>
      </c>
      <c r="AB80" s="383"/>
      <c r="AC80" s="384"/>
      <c r="AD80" s="383"/>
      <c r="AE80" s="384"/>
      <c r="AF80" s="383"/>
      <c r="AG80" s="383">
        <v>1078052</v>
      </c>
      <c r="AH80" s="384">
        <v>1</v>
      </c>
      <c r="AI80" s="383">
        <v>119068.6391933673</v>
      </c>
      <c r="AJ80" s="384">
        <v>0.99999999999999967</v>
      </c>
      <c r="AK80" s="383">
        <v>71061.458801000001</v>
      </c>
    </row>
    <row r="81" spans="2:37" hidden="1" outlineLevel="1" x14ac:dyDescent="0.25">
      <c r="B81" s="288">
        <v>40940</v>
      </c>
      <c r="C81" s="383"/>
      <c r="D81" s="384"/>
      <c r="E81" s="383"/>
      <c r="F81" s="384"/>
      <c r="G81" s="383"/>
      <c r="H81" s="383">
        <v>405788</v>
      </c>
      <c r="I81" s="384">
        <v>0.37228120263778847</v>
      </c>
      <c r="J81" s="383">
        <v>54134.919720440826</v>
      </c>
      <c r="K81" s="384">
        <v>0.43889155242458822</v>
      </c>
      <c r="L81" s="383">
        <v>32433.792901000001</v>
      </c>
      <c r="M81" s="383">
        <v>445464</v>
      </c>
      <c r="N81" s="384">
        <v>0.40868106906029705</v>
      </c>
      <c r="O81" s="383">
        <v>36909.418075887603</v>
      </c>
      <c r="P81" s="384">
        <v>0.29923812360061175</v>
      </c>
      <c r="Q81" s="383">
        <v>22113.497685999999</v>
      </c>
      <c r="R81" s="383">
        <v>211479</v>
      </c>
      <c r="S81" s="384">
        <v>0.19401671920470018</v>
      </c>
      <c r="T81" s="383">
        <v>28179.56599070727</v>
      </c>
      <c r="U81" s="384">
        <v>0.22846202651045383</v>
      </c>
      <c r="V81" s="383">
        <v>16883.191331999999</v>
      </c>
      <c r="W81" s="383">
        <v>27273</v>
      </c>
      <c r="X81" s="384">
        <v>2.5021009097214324E-2</v>
      </c>
      <c r="Y81" s="383">
        <v>4120.7343619121684</v>
      </c>
      <c r="Z81" s="384">
        <v>3.3408297464345982E-2</v>
      </c>
      <c r="AA81" s="383">
        <v>2468.8508929999998</v>
      </c>
      <c r="AB81" s="383"/>
      <c r="AC81" s="384"/>
      <c r="AD81" s="383"/>
      <c r="AE81" s="384"/>
      <c r="AF81" s="383"/>
      <c r="AG81" s="383">
        <v>1090004</v>
      </c>
      <c r="AH81" s="384">
        <v>1</v>
      </c>
      <c r="AI81" s="383">
        <v>123344.6381489479</v>
      </c>
      <c r="AJ81" s="384">
        <v>0.99999999999999978</v>
      </c>
      <c r="AK81" s="383">
        <v>73899.332811999993</v>
      </c>
    </row>
    <row r="82" spans="2:37" hidden="1" outlineLevel="1" x14ac:dyDescent="0.25">
      <c r="B82" s="288">
        <v>40969</v>
      </c>
      <c r="C82" s="383"/>
      <c r="D82" s="384"/>
      <c r="E82" s="383"/>
      <c r="F82" s="384"/>
      <c r="G82" s="383"/>
      <c r="H82" s="383">
        <v>405724</v>
      </c>
      <c r="I82" s="384">
        <v>0.36716306614154987</v>
      </c>
      <c r="J82" s="383">
        <v>54016.298485405678</v>
      </c>
      <c r="K82" s="384">
        <v>0.43558475508604411</v>
      </c>
      <c r="L82" s="383">
        <v>32415.538608999999</v>
      </c>
      <c r="M82" s="383">
        <v>459460</v>
      </c>
      <c r="N82" s="384">
        <v>0.41579187420363722</v>
      </c>
      <c r="O82" s="383">
        <v>37633.779623991017</v>
      </c>
      <c r="P82" s="384">
        <v>0.30347693455721192</v>
      </c>
      <c r="Q82" s="383">
        <v>22584.280497</v>
      </c>
      <c r="R82" s="383">
        <v>211975</v>
      </c>
      <c r="S82" s="384">
        <v>0.19182841277655507</v>
      </c>
      <c r="T82" s="383">
        <v>28542.207897112759</v>
      </c>
      <c r="U82" s="384">
        <v>0.23016295053682526</v>
      </c>
      <c r="V82" s="383">
        <v>17128.368066999999</v>
      </c>
      <c r="W82" s="383">
        <v>27865</v>
      </c>
      <c r="X82" s="384">
        <v>2.5216646878257847E-2</v>
      </c>
      <c r="Y82" s="383">
        <v>3816.4123115376619</v>
      </c>
      <c r="Z82" s="384">
        <v>3.0775359819918826E-2</v>
      </c>
      <c r="AA82" s="383">
        <v>2290.2543139999998</v>
      </c>
      <c r="AB82" s="383"/>
      <c r="AC82" s="384"/>
      <c r="AD82" s="383"/>
      <c r="AE82" s="384"/>
      <c r="AF82" s="383"/>
      <c r="AG82" s="383">
        <v>1105024</v>
      </c>
      <c r="AH82" s="384">
        <v>1</v>
      </c>
      <c r="AI82" s="383">
        <v>124008.6983180471</v>
      </c>
      <c r="AJ82" s="384">
        <v>1</v>
      </c>
      <c r="AK82" s="383">
        <v>74418.441487000004</v>
      </c>
    </row>
    <row r="83" spans="2:37" hidden="1" outlineLevel="1" x14ac:dyDescent="0.25">
      <c r="B83" s="288">
        <v>41000</v>
      </c>
      <c r="C83" s="383"/>
      <c r="D83" s="384"/>
      <c r="E83" s="383"/>
      <c r="F83" s="384"/>
      <c r="G83" s="383"/>
      <c r="H83" s="383">
        <v>405278</v>
      </c>
      <c r="I83" s="384">
        <v>0.3653901809018496</v>
      </c>
      <c r="J83" s="383">
        <v>53849.833449307647</v>
      </c>
      <c r="K83" s="384">
        <v>0.44139917627248493</v>
      </c>
      <c r="L83" s="383">
        <v>32332.027182000002</v>
      </c>
      <c r="M83" s="383">
        <v>464267</v>
      </c>
      <c r="N83" s="384">
        <v>0.41857343136503589</v>
      </c>
      <c r="O83" s="383">
        <v>35834.752316056161</v>
      </c>
      <c r="P83" s="384">
        <v>0.29373220195983868</v>
      </c>
      <c r="Q83" s="383">
        <v>21515.576033000001</v>
      </c>
      <c r="R83" s="383">
        <v>210835</v>
      </c>
      <c r="S83" s="384">
        <v>0.19008443288419666</v>
      </c>
      <c r="T83" s="383">
        <v>28449.08618741763</v>
      </c>
      <c r="U83" s="384">
        <v>0.23319298137945349</v>
      </c>
      <c r="V83" s="383">
        <v>17081.141555999999</v>
      </c>
      <c r="W83" s="383">
        <v>28785</v>
      </c>
      <c r="X83" s="384">
        <v>2.595195484891788E-2</v>
      </c>
      <c r="Y83" s="383">
        <v>3864.3659775499032</v>
      </c>
      <c r="Z83" s="384">
        <v>3.167564038822248E-2</v>
      </c>
      <c r="AA83" s="383">
        <v>2320.2074699999998</v>
      </c>
      <c r="AB83" s="383"/>
      <c r="AC83" s="384"/>
      <c r="AD83" s="383"/>
      <c r="AE83" s="384"/>
      <c r="AF83" s="383"/>
      <c r="AG83" s="383">
        <v>1109165</v>
      </c>
      <c r="AH83" s="384">
        <v>1</v>
      </c>
      <c r="AI83" s="383">
        <v>121998.0379303314</v>
      </c>
      <c r="AJ83" s="384">
        <v>0.99999999999999967</v>
      </c>
      <c r="AK83" s="383">
        <v>73248.952241000006</v>
      </c>
    </row>
    <row r="84" spans="2:37" hidden="1" outlineLevel="1" x14ac:dyDescent="0.25">
      <c r="B84" s="288">
        <v>41030</v>
      </c>
      <c r="C84" s="383"/>
      <c r="D84" s="384"/>
      <c r="E84" s="383"/>
      <c r="F84" s="384"/>
      <c r="G84" s="383"/>
      <c r="H84" s="383">
        <v>405077</v>
      </c>
      <c r="I84" s="384">
        <v>0.36230928712874827</v>
      </c>
      <c r="J84" s="383">
        <v>53626.463447594208</v>
      </c>
      <c r="K84" s="384">
        <v>0.43297818513383662</v>
      </c>
      <c r="L84" s="383">
        <v>32207.790520999999</v>
      </c>
      <c r="M84" s="383">
        <v>472382</v>
      </c>
      <c r="N84" s="384">
        <v>0.42250827786433781</v>
      </c>
      <c r="O84" s="383">
        <v>37705.502742547178</v>
      </c>
      <c r="P84" s="384">
        <v>0.30443290676777562</v>
      </c>
      <c r="Q84" s="383">
        <v>22645.739729000001</v>
      </c>
      <c r="R84" s="383">
        <v>211171</v>
      </c>
      <c r="S84" s="384">
        <v>0.18887573096538413</v>
      </c>
      <c r="T84" s="383">
        <v>28557.929435851351</v>
      </c>
      <c r="U84" s="384">
        <v>0.23057572070547952</v>
      </c>
      <c r="V84" s="383">
        <v>17151.752135999999</v>
      </c>
      <c r="W84" s="383">
        <v>29412</v>
      </c>
      <c r="X84" s="384">
        <v>2.6306704041529745E-2</v>
      </c>
      <c r="Y84" s="383">
        <v>3964.989651929237</v>
      </c>
      <c r="Z84" s="384">
        <v>3.2013187392907982E-2</v>
      </c>
      <c r="AA84" s="383">
        <v>2381.3533080000002</v>
      </c>
      <c r="AB84" s="383"/>
      <c r="AC84" s="384"/>
      <c r="AD84" s="383"/>
      <c r="AE84" s="384"/>
      <c r="AF84" s="383"/>
      <c r="AG84" s="383">
        <v>1118042</v>
      </c>
      <c r="AH84" s="384">
        <v>1</v>
      </c>
      <c r="AI84" s="383">
        <v>123854.885277922</v>
      </c>
      <c r="AJ84" s="384">
        <v>0.99999999999999978</v>
      </c>
      <c r="AK84" s="383">
        <v>74386.635693999997</v>
      </c>
    </row>
    <row r="85" spans="2:37" hidden="1" outlineLevel="1" x14ac:dyDescent="0.25">
      <c r="B85" s="288">
        <v>41061</v>
      </c>
      <c r="C85" s="383"/>
      <c r="D85" s="384"/>
      <c r="E85" s="383"/>
      <c r="F85" s="384"/>
      <c r="G85" s="383"/>
      <c r="H85" s="383">
        <v>405447</v>
      </c>
      <c r="I85" s="384">
        <v>0.35951851030813564</v>
      </c>
      <c r="J85" s="383">
        <v>53946.440907311262</v>
      </c>
      <c r="K85" s="384">
        <v>0.43216834628017903</v>
      </c>
      <c r="L85" s="383">
        <v>32304.016004000001</v>
      </c>
      <c r="M85" s="383">
        <v>480566</v>
      </c>
      <c r="N85" s="384">
        <v>0.42612813123475946</v>
      </c>
      <c r="O85" s="383">
        <v>38093.460830256387</v>
      </c>
      <c r="P85" s="384">
        <v>0.30516912133993085</v>
      </c>
      <c r="Q85" s="383">
        <v>22810.990819999999</v>
      </c>
      <c r="R85" s="383">
        <v>211515</v>
      </c>
      <c r="S85" s="384">
        <v>0.18755486588339615</v>
      </c>
      <c r="T85" s="383">
        <v>28725.105577181021</v>
      </c>
      <c r="U85" s="384">
        <v>0.2301186355434138</v>
      </c>
      <c r="V85" s="383">
        <v>17201.065624999999</v>
      </c>
      <c r="W85" s="383">
        <v>30222</v>
      </c>
      <c r="X85" s="384">
        <v>2.6798492573708713E-2</v>
      </c>
      <c r="Y85" s="383">
        <v>4062.369265805502</v>
      </c>
      <c r="Z85" s="384">
        <v>3.2543896836476044E-2</v>
      </c>
      <c r="AA85" s="383">
        <v>2432.6135250000002</v>
      </c>
      <c r="AB85" s="383"/>
      <c r="AC85" s="384"/>
      <c r="AD85" s="383"/>
      <c r="AE85" s="384"/>
      <c r="AF85" s="383"/>
      <c r="AG85" s="383">
        <v>1127750</v>
      </c>
      <c r="AH85" s="384">
        <v>0.99999999999999989</v>
      </c>
      <c r="AI85" s="383">
        <v>124827.37658055421</v>
      </c>
      <c r="AJ85" s="384">
        <v>0.99999999999999978</v>
      </c>
      <c r="AK85" s="383">
        <v>74748.685974000007</v>
      </c>
    </row>
    <row r="86" spans="2:37" hidden="1" outlineLevel="1" x14ac:dyDescent="0.25">
      <c r="B86" s="288">
        <v>41091</v>
      </c>
      <c r="C86" s="383"/>
      <c r="D86" s="384"/>
      <c r="E86" s="383"/>
      <c r="F86" s="384"/>
      <c r="G86" s="383"/>
      <c r="H86" s="383">
        <v>405988</v>
      </c>
      <c r="I86" s="384">
        <v>0.3605279492901563</v>
      </c>
      <c r="J86" s="383">
        <v>55457.418257951889</v>
      </c>
      <c r="K86" s="384">
        <v>0.43364826145176477</v>
      </c>
      <c r="L86" s="383">
        <v>33204.447982999998</v>
      </c>
      <c r="M86" s="383">
        <v>478596</v>
      </c>
      <c r="N86" s="384">
        <v>0.42500574996914109</v>
      </c>
      <c r="O86" s="383">
        <v>38862.981583049514</v>
      </c>
      <c r="P86" s="384">
        <v>0.30388836926978452</v>
      </c>
      <c r="Q86" s="383">
        <v>23268.732857999999</v>
      </c>
      <c r="R86" s="383">
        <v>211177</v>
      </c>
      <c r="S86" s="384">
        <v>0.18753069240284773</v>
      </c>
      <c r="T86" s="383">
        <v>29425.127689448109</v>
      </c>
      <c r="U86" s="384">
        <v>0.23008924443928133</v>
      </c>
      <c r="V86" s="383">
        <v>17617.933766999999</v>
      </c>
      <c r="W86" s="383">
        <v>30332</v>
      </c>
      <c r="X86" s="384">
        <v>2.6935608337854865E-2</v>
      </c>
      <c r="Y86" s="383">
        <v>4140.1881237351226</v>
      </c>
      <c r="Z86" s="384">
        <v>3.2374124839169634E-2</v>
      </c>
      <c r="AA86" s="383">
        <v>2478.8867839999998</v>
      </c>
      <c r="AB86" s="383"/>
      <c r="AC86" s="384"/>
      <c r="AD86" s="383"/>
      <c r="AE86" s="384"/>
      <c r="AF86" s="383"/>
      <c r="AG86" s="383">
        <v>1126093</v>
      </c>
      <c r="AH86" s="384">
        <v>1</v>
      </c>
      <c r="AI86" s="383">
        <v>127885.71565418461</v>
      </c>
      <c r="AJ86" s="384">
        <v>1.0000000000000002</v>
      </c>
      <c r="AK86" s="383">
        <v>76570.001392000006</v>
      </c>
    </row>
    <row r="87" spans="2:37" hidden="1" outlineLevel="1" x14ac:dyDescent="0.25">
      <c r="B87" s="288">
        <v>41122</v>
      </c>
      <c r="C87" s="383"/>
      <c r="D87" s="384"/>
      <c r="E87" s="383"/>
      <c r="F87" s="384"/>
      <c r="G87" s="383"/>
      <c r="H87" s="383">
        <v>403875</v>
      </c>
      <c r="I87" s="384">
        <v>0.35582916675844145</v>
      </c>
      <c r="J87" s="383">
        <v>55121.34586726626</v>
      </c>
      <c r="K87" s="384">
        <v>0.42874193510125624</v>
      </c>
      <c r="L87" s="383">
        <v>33076.216285000002</v>
      </c>
      <c r="M87" s="383">
        <v>489880</v>
      </c>
      <c r="N87" s="384">
        <v>0.43160282813153894</v>
      </c>
      <c r="O87" s="383">
        <v>40485.563105432258</v>
      </c>
      <c r="P87" s="384">
        <v>0.31490266422894064</v>
      </c>
      <c r="Q87" s="383">
        <v>24293.841535</v>
      </c>
      <c r="R87" s="383">
        <v>198447</v>
      </c>
      <c r="S87" s="384">
        <v>0.17483932071980793</v>
      </c>
      <c r="T87" s="383">
        <v>27243.86630058405</v>
      </c>
      <c r="U87" s="384">
        <v>0.21190679896458789</v>
      </c>
      <c r="V87" s="383">
        <v>16348.004570999999</v>
      </c>
      <c r="W87" s="383">
        <v>42823</v>
      </c>
      <c r="X87" s="384">
        <v>3.7728684390211667E-2</v>
      </c>
      <c r="Y87" s="383">
        <v>5714.5488866884834</v>
      </c>
      <c r="Z87" s="384">
        <v>4.4448601705215599E-2</v>
      </c>
      <c r="AA87" s="383">
        <v>3429.0827260000001</v>
      </c>
      <c r="AB87" s="383"/>
      <c r="AC87" s="384"/>
      <c r="AD87" s="383"/>
      <c r="AE87" s="384"/>
      <c r="AF87" s="383"/>
      <c r="AG87" s="383">
        <v>1135025</v>
      </c>
      <c r="AH87" s="384">
        <v>1</v>
      </c>
      <c r="AI87" s="383">
        <v>128565.324159971</v>
      </c>
      <c r="AJ87" s="384">
        <v>1.0000000000000004</v>
      </c>
      <c r="AK87" s="383">
        <v>77147.145116999993</v>
      </c>
    </row>
    <row r="88" spans="2:37" hidden="1" outlineLevel="1" x14ac:dyDescent="0.25">
      <c r="B88" s="288">
        <v>41153</v>
      </c>
      <c r="C88" s="383"/>
      <c r="D88" s="384"/>
      <c r="E88" s="383"/>
      <c r="F88" s="384"/>
      <c r="G88" s="383"/>
      <c r="H88" s="383">
        <v>403144</v>
      </c>
      <c r="I88" s="384">
        <v>0.35241061539685359</v>
      </c>
      <c r="J88" s="383">
        <v>54274.610589765143</v>
      </c>
      <c r="K88" s="384">
        <v>0.42433171253565888</v>
      </c>
      <c r="L88" s="383">
        <v>32818.428891000003</v>
      </c>
      <c r="M88" s="383">
        <v>499207</v>
      </c>
      <c r="N88" s="384">
        <v>0.43638463199357319</v>
      </c>
      <c r="O88" s="383">
        <v>40537.430744174228</v>
      </c>
      <c r="P88" s="384">
        <v>0.31693119899997707</v>
      </c>
      <c r="Q88" s="383">
        <v>24511.917706</v>
      </c>
      <c r="R88" s="383">
        <v>198376</v>
      </c>
      <c r="S88" s="384">
        <v>0.17341150616148626</v>
      </c>
      <c r="T88" s="383">
        <v>27360.67950220071</v>
      </c>
      <c r="U88" s="384">
        <v>0.21391224852928722</v>
      </c>
      <c r="V88" s="383">
        <v>16544.282951000001</v>
      </c>
      <c r="W88" s="383">
        <v>43234</v>
      </c>
      <c r="X88" s="384">
        <v>3.7793246448086952E-2</v>
      </c>
      <c r="Y88" s="383">
        <v>5733.370050725096</v>
      </c>
      <c r="Z88" s="384">
        <v>4.4824839935076626E-2</v>
      </c>
      <c r="AA88" s="383">
        <v>3466.8180069999999</v>
      </c>
      <c r="AB88" s="383"/>
      <c r="AC88" s="384"/>
      <c r="AD88" s="383"/>
      <c r="AE88" s="384"/>
      <c r="AF88" s="383"/>
      <c r="AG88" s="383">
        <v>1143961</v>
      </c>
      <c r="AH88" s="384">
        <v>0.99999999999999989</v>
      </c>
      <c r="AI88" s="383">
        <v>127906.0908868652</v>
      </c>
      <c r="AJ88" s="384">
        <v>0.99999999999999978</v>
      </c>
      <c r="AK88" s="383">
        <v>77341.447555000006</v>
      </c>
    </row>
    <row r="89" spans="2:37" hidden="1" outlineLevel="1" x14ac:dyDescent="0.25">
      <c r="B89" s="288">
        <v>41183</v>
      </c>
      <c r="C89" s="383"/>
      <c r="D89" s="384"/>
      <c r="E89" s="383"/>
      <c r="F89" s="384"/>
      <c r="G89" s="383"/>
      <c r="H89" s="383">
        <v>403812</v>
      </c>
      <c r="I89" s="384">
        <v>0.35006267652153106</v>
      </c>
      <c r="J89" s="383">
        <v>54563.470512865933</v>
      </c>
      <c r="K89" s="384">
        <v>0.42507821560282549</v>
      </c>
      <c r="L89" s="383">
        <v>33177.418311000001</v>
      </c>
      <c r="M89" s="383">
        <v>510960</v>
      </c>
      <c r="N89" s="384">
        <v>0.44294876129347693</v>
      </c>
      <c r="O89" s="383">
        <v>41784.233483413933</v>
      </c>
      <c r="P89" s="384">
        <v>0.32552121854626698</v>
      </c>
      <c r="Q89" s="383">
        <v>25406.979799000001</v>
      </c>
      <c r="R89" s="383">
        <v>197358</v>
      </c>
      <c r="S89" s="384">
        <v>0.17108869898105142</v>
      </c>
      <c r="T89" s="383">
        <v>26524.772042418441</v>
      </c>
      <c r="U89" s="384">
        <v>0.20664196509282343</v>
      </c>
      <c r="V89" s="383">
        <v>16128.436285</v>
      </c>
      <c r="W89" s="383">
        <v>41412</v>
      </c>
      <c r="X89" s="384">
        <v>3.5899863203940556E-2</v>
      </c>
      <c r="Y89" s="383">
        <v>5488.5373232465536</v>
      </c>
      <c r="Z89" s="384">
        <v>4.2758600758084547E-2</v>
      </c>
      <c r="AA89" s="383">
        <v>3337.3151849999999</v>
      </c>
      <c r="AB89" s="383"/>
      <c r="AC89" s="384"/>
      <c r="AD89" s="383"/>
      <c r="AE89" s="384"/>
      <c r="AF89" s="383"/>
      <c r="AG89" s="383">
        <v>1153542</v>
      </c>
      <c r="AH89" s="384">
        <v>0.99999999999999989</v>
      </c>
      <c r="AI89" s="383">
        <v>128361.0133619448</v>
      </c>
      <c r="AJ89" s="384">
        <v>1.0000000000000004</v>
      </c>
      <c r="AK89" s="383">
        <v>78050.149579999998</v>
      </c>
    </row>
    <row r="90" spans="2:37" hidden="1" outlineLevel="1" x14ac:dyDescent="0.25">
      <c r="B90" s="288">
        <v>41214</v>
      </c>
      <c r="C90" s="383"/>
      <c r="D90" s="384"/>
      <c r="E90" s="383"/>
      <c r="F90" s="384"/>
      <c r="G90" s="383"/>
      <c r="H90" s="383">
        <v>403590</v>
      </c>
      <c r="I90" s="384">
        <v>0.34642115590454126</v>
      </c>
      <c r="J90" s="383">
        <v>54357.871515486331</v>
      </c>
      <c r="K90" s="384">
        <v>0.41859241624605387</v>
      </c>
      <c r="L90" s="383">
        <v>32903.542734000002</v>
      </c>
      <c r="M90" s="383">
        <v>526706</v>
      </c>
      <c r="N90" s="384">
        <v>0.4520976767062051</v>
      </c>
      <c r="O90" s="383">
        <v>43231.467350703177</v>
      </c>
      <c r="P90" s="384">
        <v>0.33291157051720932</v>
      </c>
      <c r="Q90" s="383">
        <v>26168.582281999999</v>
      </c>
      <c r="R90" s="383">
        <v>196261</v>
      </c>
      <c r="S90" s="384">
        <v>0.16846047344825485</v>
      </c>
      <c r="T90" s="383">
        <v>27268.691176563381</v>
      </c>
      <c r="U90" s="384">
        <v>0.20998738562110883</v>
      </c>
      <c r="V90" s="383">
        <v>16506.101515999999</v>
      </c>
      <c r="W90" s="383">
        <v>38470</v>
      </c>
      <c r="X90" s="384">
        <v>3.302069394099879E-2</v>
      </c>
      <c r="Y90" s="383">
        <v>5000.6807360255198</v>
      </c>
      <c r="Z90" s="384">
        <v>3.8508627615628031E-2</v>
      </c>
      <c r="AA90" s="383">
        <v>3026.978572</v>
      </c>
      <c r="AB90" s="383"/>
      <c r="AC90" s="384"/>
      <c r="AD90" s="383"/>
      <c r="AE90" s="384"/>
      <c r="AF90" s="383"/>
      <c r="AG90" s="383">
        <v>1165027</v>
      </c>
      <c r="AH90" s="384">
        <v>1</v>
      </c>
      <c r="AI90" s="383">
        <v>129858.7107787784</v>
      </c>
      <c r="AJ90" s="384">
        <v>1</v>
      </c>
      <c r="AK90" s="383">
        <v>78605.205103999993</v>
      </c>
    </row>
    <row r="91" spans="2:37" collapsed="1" x14ac:dyDescent="0.25">
      <c r="B91" s="288">
        <v>41244</v>
      </c>
      <c r="C91" s="383"/>
      <c r="D91" s="384"/>
      <c r="E91" s="383"/>
      <c r="F91" s="384"/>
      <c r="G91" s="383"/>
      <c r="H91" s="383">
        <v>406123</v>
      </c>
      <c r="I91" s="384">
        <v>0.34387216571311968</v>
      </c>
      <c r="J91" s="383">
        <v>55381.935960821233</v>
      </c>
      <c r="K91" s="384">
        <v>0.42191777193179664</v>
      </c>
      <c r="L91" s="383">
        <v>33514.523148</v>
      </c>
      <c r="M91" s="383">
        <v>539888</v>
      </c>
      <c r="N91" s="384">
        <v>0.45713356742298455</v>
      </c>
      <c r="O91" s="383">
        <v>43774.429468225047</v>
      </c>
      <c r="P91" s="384">
        <v>0.33348797633012944</v>
      </c>
      <c r="Q91" s="383">
        <v>26490.210287000002</v>
      </c>
      <c r="R91" s="383">
        <v>194854</v>
      </c>
      <c r="S91" s="384">
        <v>0.16498663453649318</v>
      </c>
      <c r="T91" s="383">
        <v>26700.362823761028</v>
      </c>
      <c r="U91" s="384">
        <v>0.20341213063301478</v>
      </c>
      <c r="V91" s="383">
        <v>16157.794277000001</v>
      </c>
      <c r="W91" s="383">
        <v>40164</v>
      </c>
      <c r="X91" s="384">
        <v>3.4007632327402629E-2</v>
      </c>
      <c r="Y91" s="383">
        <v>5405.6637228825584</v>
      </c>
      <c r="Z91" s="384">
        <v>4.1182121105058783E-2</v>
      </c>
      <c r="AA91" s="383">
        <v>3271.2515159999998</v>
      </c>
      <c r="AB91" s="383"/>
      <c r="AC91" s="384"/>
      <c r="AD91" s="383"/>
      <c r="AE91" s="384"/>
      <c r="AF91" s="383"/>
      <c r="AG91" s="383">
        <v>1181029</v>
      </c>
      <c r="AH91" s="384">
        <v>1</v>
      </c>
      <c r="AI91" s="383">
        <v>131262.39197568991</v>
      </c>
      <c r="AJ91" s="384">
        <v>0.99999999999999967</v>
      </c>
      <c r="AK91" s="383">
        <v>79433.779227999999</v>
      </c>
    </row>
    <row r="92" spans="2:37" hidden="1" outlineLevel="1" x14ac:dyDescent="0.25">
      <c r="B92" s="288">
        <v>41275</v>
      </c>
      <c r="C92" s="383"/>
      <c r="D92" s="384"/>
      <c r="E92" s="383"/>
      <c r="F92" s="384"/>
      <c r="G92" s="383"/>
      <c r="H92" s="383">
        <v>407292</v>
      </c>
      <c r="I92" s="384">
        <v>0.34219173363467187</v>
      </c>
      <c r="J92" s="383">
        <v>54956.596904490078</v>
      </c>
      <c r="K92" s="384">
        <v>0.42065001039593225</v>
      </c>
      <c r="L92" s="383">
        <v>33316.246744999997</v>
      </c>
      <c r="M92" s="383">
        <v>546324</v>
      </c>
      <c r="N92" s="384">
        <v>0.45900129805208173</v>
      </c>
      <c r="O92" s="383">
        <v>43337.721651895277</v>
      </c>
      <c r="P92" s="384">
        <v>0.3317165561595451</v>
      </c>
      <c r="Q92" s="383">
        <v>26272.555239000001</v>
      </c>
      <c r="R92" s="383">
        <v>195551</v>
      </c>
      <c r="S92" s="384">
        <v>0.16429474603968092</v>
      </c>
      <c r="T92" s="383">
        <v>26966.834292807831</v>
      </c>
      <c r="U92" s="384">
        <v>0.20641014481535699</v>
      </c>
      <c r="V92" s="383">
        <v>16348.059302</v>
      </c>
      <c r="W92" s="383">
        <v>41078</v>
      </c>
      <c r="X92" s="384">
        <v>3.4512222273565527E-2</v>
      </c>
      <c r="Y92" s="383">
        <v>5385.6926192350666</v>
      </c>
      <c r="Z92" s="384">
        <v>4.1223288629166022E-2</v>
      </c>
      <c r="AA92" s="383">
        <v>3264.959519</v>
      </c>
      <c r="AB92" s="383"/>
      <c r="AC92" s="384"/>
      <c r="AD92" s="383"/>
      <c r="AE92" s="384"/>
      <c r="AF92" s="383"/>
      <c r="AG92" s="383">
        <v>1190245</v>
      </c>
      <c r="AH92" s="384">
        <v>1</v>
      </c>
      <c r="AI92" s="383">
        <v>130646.8454684282</v>
      </c>
      <c r="AJ92" s="384">
        <v>1.0000000000000004</v>
      </c>
      <c r="AK92" s="383">
        <v>79201.820804999996</v>
      </c>
    </row>
    <row r="93" spans="2:37" hidden="1" outlineLevel="1" x14ac:dyDescent="0.25">
      <c r="B93" s="288">
        <v>41306</v>
      </c>
      <c r="C93" s="383"/>
      <c r="D93" s="384"/>
      <c r="E93" s="383"/>
      <c r="F93" s="384"/>
      <c r="G93" s="383"/>
      <c r="H93" s="383">
        <v>407384</v>
      </c>
      <c r="I93" s="384">
        <v>0.34100270787208131</v>
      </c>
      <c r="J93" s="383">
        <v>54579.559816253459</v>
      </c>
      <c r="K93" s="384">
        <v>0.42121555459190868</v>
      </c>
      <c r="L93" s="383">
        <v>33126.898195000002</v>
      </c>
      <c r="M93" s="383">
        <v>550022</v>
      </c>
      <c r="N93" s="384">
        <v>0.46039852176133056</v>
      </c>
      <c r="O93" s="383">
        <v>42754.386168540303</v>
      </c>
      <c r="P93" s="384">
        <v>0.32995525324583908</v>
      </c>
      <c r="Q93" s="383">
        <v>25949.644936000001</v>
      </c>
      <c r="R93" s="383">
        <v>195641</v>
      </c>
      <c r="S93" s="384">
        <v>0.16376222623078437</v>
      </c>
      <c r="T93" s="383">
        <v>26833.914883103771</v>
      </c>
      <c r="U93" s="384">
        <v>0.20708965732612419</v>
      </c>
      <c r="V93" s="383">
        <v>16286.763204000001</v>
      </c>
      <c r="W93" s="383">
        <v>41618</v>
      </c>
      <c r="X93" s="384">
        <v>3.4836544135803761E-2</v>
      </c>
      <c r="Y93" s="383">
        <v>5408.4551566434366</v>
      </c>
      <c r="Z93" s="384">
        <v>4.1739534836127822E-2</v>
      </c>
      <c r="AA93" s="383">
        <v>3282.6454440000002</v>
      </c>
      <c r="AB93" s="383"/>
      <c r="AC93" s="384"/>
      <c r="AD93" s="383"/>
      <c r="AE93" s="384"/>
      <c r="AF93" s="383"/>
      <c r="AG93" s="383">
        <v>1194665</v>
      </c>
      <c r="AH93" s="384">
        <v>1</v>
      </c>
      <c r="AI93" s="383">
        <v>129576.316024541</v>
      </c>
      <c r="AJ93" s="384">
        <v>0.99999999999999967</v>
      </c>
      <c r="AK93" s="383">
        <v>78645.951778999995</v>
      </c>
    </row>
    <row r="94" spans="2:37" hidden="1" outlineLevel="1" x14ac:dyDescent="0.25">
      <c r="B94" s="288">
        <v>41334</v>
      </c>
      <c r="C94" s="383"/>
      <c r="D94" s="384"/>
      <c r="E94" s="383"/>
      <c r="F94" s="384"/>
      <c r="G94" s="383"/>
      <c r="H94" s="383">
        <v>407033</v>
      </c>
      <c r="I94" s="384">
        <v>0.33955975934089033</v>
      </c>
      <c r="J94" s="383">
        <v>54275.825719594002</v>
      </c>
      <c r="K94" s="384">
        <v>0.41920239906981044</v>
      </c>
      <c r="L94" s="383">
        <v>33126.135347000003</v>
      </c>
      <c r="M94" s="383">
        <v>553656</v>
      </c>
      <c r="N94" s="384">
        <v>0.46187728787995075</v>
      </c>
      <c r="O94" s="383">
        <v>43033.970981836203</v>
      </c>
      <c r="P94" s="384">
        <v>0.3323753003830171</v>
      </c>
      <c r="Q94" s="383">
        <v>26264.900226999998</v>
      </c>
      <c r="R94" s="383">
        <v>195663</v>
      </c>
      <c r="S94" s="384">
        <v>0.1632282424076589</v>
      </c>
      <c r="T94" s="383">
        <v>26716.086376226482</v>
      </c>
      <c r="U94" s="384">
        <v>0.20634319891382749</v>
      </c>
      <c r="V94" s="383">
        <v>16305.614544</v>
      </c>
      <c r="W94" s="383">
        <v>42356</v>
      </c>
      <c r="X94" s="384">
        <v>3.5334710371499982E-2</v>
      </c>
      <c r="Y94" s="383">
        <v>5448.151040538698</v>
      </c>
      <c r="Z94" s="384">
        <v>4.2079101633344815E-2</v>
      </c>
      <c r="AA94" s="383">
        <v>3325.1670770000001</v>
      </c>
      <c r="AB94" s="383"/>
      <c r="AC94" s="384"/>
      <c r="AD94" s="383"/>
      <c r="AE94" s="384"/>
      <c r="AF94" s="383"/>
      <c r="AG94" s="383">
        <v>1198708</v>
      </c>
      <c r="AH94" s="384">
        <v>0.99999999999999989</v>
      </c>
      <c r="AI94" s="383">
        <v>129474.0341181954</v>
      </c>
      <c r="AJ94" s="384">
        <v>0.99999999999999989</v>
      </c>
      <c r="AK94" s="383">
        <v>79021.817194999996</v>
      </c>
    </row>
    <row r="95" spans="2:37" hidden="1" outlineLevel="1" x14ac:dyDescent="0.25">
      <c r="B95" s="288">
        <v>41365</v>
      </c>
      <c r="C95" s="383"/>
      <c r="D95" s="384"/>
      <c r="E95" s="383"/>
      <c r="F95" s="384"/>
      <c r="G95" s="383"/>
      <c r="H95" s="383">
        <v>407163</v>
      </c>
      <c r="I95" s="384">
        <v>0.33837900729259729</v>
      </c>
      <c r="J95" s="383">
        <v>54458.859553246657</v>
      </c>
      <c r="K95" s="384">
        <v>0.41932508415365372</v>
      </c>
      <c r="L95" s="383">
        <v>33179.247027999998</v>
      </c>
      <c r="M95" s="383">
        <v>557660</v>
      </c>
      <c r="N95" s="384">
        <v>0.46345182938231078</v>
      </c>
      <c r="O95" s="383">
        <v>43393.474326646909</v>
      </c>
      <c r="P95" s="384">
        <v>0.33412327072236392</v>
      </c>
      <c r="Q95" s="383">
        <v>26437.623114000002</v>
      </c>
      <c r="R95" s="383">
        <v>195429</v>
      </c>
      <c r="S95" s="384">
        <v>0.16241424445783384</v>
      </c>
      <c r="T95" s="383">
        <v>26494.76699055087</v>
      </c>
      <c r="U95" s="384">
        <v>0.20400574835911808</v>
      </c>
      <c r="V95" s="383">
        <v>16142.027690999999</v>
      </c>
      <c r="W95" s="383">
        <v>43023</v>
      </c>
      <c r="X95" s="384">
        <v>3.5754918867258109E-2</v>
      </c>
      <c r="Y95" s="383">
        <v>5525.5483252598897</v>
      </c>
      <c r="Z95" s="384">
        <v>4.2545896764864435E-2</v>
      </c>
      <c r="AA95" s="383">
        <v>3366.4592750000002</v>
      </c>
      <c r="AB95" s="383"/>
      <c r="AC95" s="384"/>
      <c r="AD95" s="383"/>
      <c r="AE95" s="384"/>
      <c r="AF95" s="383"/>
      <c r="AG95" s="383">
        <v>1203275</v>
      </c>
      <c r="AH95" s="384">
        <v>1</v>
      </c>
      <c r="AI95" s="383">
        <v>129872.6491957043</v>
      </c>
      <c r="AJ95" s="384">
        <v>1.0000000000000002</v>
      </c>
      <c r="AK95" s="383">
        <v>79125.357107999997</v>
      </c>
    </row>
    <row r="96" spans="2:37" hidden="1" outlineLevel="1" x14ac:dyDescent="0.25">
      <c r="B96" s="288">
        <v>41395</v>
      </c>
      <c r="C96" s="383"/>
      <c r="D96" s="384"/>
      <c r="E96" s="383"/>
      <c r="F96" s="384"/>
      <c r="G96" s="383"/>
      <c r="H96" s="383">
        <v>403102</v>
      </c>
      <c r="I96" s="384">
        <v>0.3353312242482121</v>
      </c>
      <c r="J96" s="383">
        <v>53639.278300644182</v>
      </c>
      <c r="K96" s="384">
        <v>0.41463631646069632</v>
      </c>
      <c r="L96" s="383">
        <v>32662.696939000001</v>
      </c>
      <c r="M96" s="383">
        <v>557865</v>
      </c>
      <c r="N96" s="384">
        <v>0.46407498205225683</v>
      </c>
      <c r="O96" s="383">
        <v>43350.831454323183</v>
      </c>
      <c r="P96" s="384">
        <v>0.33510572176197956</v>
      </c>
      <c r="Q96" s="383">
        <v>26397.727835000002</v>
      </c>
      <c r="R96" s="383">
        <v>194785</v>
      </c>
      <c r="S96" s="384">
        <v>0.16203713331908051</v>
      </c>
      <c r="T96" s="383">
        <v>26426.369351577559</v>
      </c>
      <c r="U96" s="384">
        <v>0.20427814826204266</v>
      </c>
      <c r="V96" s="383">
        <v>16091.873729000001</v>
      </c>
      <c r="W96" s="383">
        <v>46349</v>
      </c>
      <c r="X96" s="384">
        <v>3.8556660380450559E-2</v>
      </c>
      <c r="Y96" s="383">
        <v>5948.1620770950494</v>
      </c>
      <c r="Z96" s="384">
        <v>4.5979813515281326E-2</v>
      </c>
      <c r="AA96" s="383">
        <v>3622.028883</v>
      </c>
      <c r="AB96" s="383"/>
      <c r="AC96" s="384"/>
      <c r="AD96" s="383"/>
      <c r="AE96" s="384"/>
      <c r="AF96" s="383"/>
      <c r="AG96" s="383">
        <v>1202101</v>
      </c>
      <c r="AH96" s="384">
        <v>1</v>
      </c>
      <c r="AI96" s="383">
        <v>129364.64118363999</v>
      </c>
      <c r="AJ96" s="384">
        <v>0.99999999999999978</v>
      </c>
      <c r="AK96" s="383">
        <v>78774.327386000004</v>
      </c>
    </row>
    <row r="97" spans="2:37" hidden="1" outlineLevel="1" x14ac:dyDescent="0.25">
      <c r="B97" s="288">
        <v>41426</v>
      </c>
      <c r="C97" s="383"/>
      <c r="D97" s="384"/>
      <c r="E97" s="383"/>
      <c r="F97" s="384"/>
      <c r="G97" s="383"/>
      <c r="H97" s="383">
        <v>402501</v>
      </c>
      <c r="I97" s="384">
        <v>0.33400161150190816</v>
      </c>
      <c r="J97" s="383">
        <v>53290.636684276913</v>
      </c>
      <c r="K97" s="384">
        <v>0.41328247289202463</v>
      </c>
      <c r="L97" s="383">
        <v>32599.223427000001</v>
      </c>
      <c r="M97" s="383">
        <v>560838</v>
      </c>
      <c r="N97" s="384">
        <v>0.46539212521585577</v>
      </c>
      <c r="O97" s="383">
        <v>43305.767573700003</v>
      </c>
      <c r="P97" s="384">
        <v>0.33584726749242511</v>
      </c>
      <c r="Q97" s="383">
        <v>26491.227739999998</v>
      </c>
      <c r="R97" s="383">
        <v>194527</v>
      </c>
      <c r="S97" s="384">
        <v>0.16142154051948115</v>
      </c>
      <c r="T97" s="383">
        <v>26292.29295514608</v>
      </c>
      <c r="U97" s="384">
        <v>0.20390343457296919</v>
      </c>
      <c r="V97" s="383">
        <v>16083.657201</v>
      </c>
      <c r="W97" s="383">
        <v>47221</v>
      </c>
      <c r="X97" s="384">
        <v>3.9184722762754885E-2</v>
      </c>
      <c r="Y97" s="383">
        <v>6056.1290974759468</v>
      </c>
      <c r="Z97" s="384">
        <v>4.6966825042581407E-2</v>
      </c>
      <c r="AA97" s="383">
        <v>3704.686561</v>
      </c>
      <c r="AB97" s="383"/>
      <c r="AC97" s="384"/>
      <c r="AD97" s="383"/>
      <c r="AE97" s="384"/>
      <c r="AF97" s="383"/>
      <c r="AG97" s="383">
        <v>1205087</v>
      </c>
      <c r="AH97" s="384">
        <v>1</v>
      </c>
      <c r="AI97" s="383">
        <v>128944.8263105989</v>
      </c>
      <c r="AJ97" s="384">
        <v>1.0000000000000002</v>
      </c>
      <c r="AK97" s="383">
        <v>78878.794928999996</v>
      </c>
    </row>
    <row r="98" spans="2:37" hidden="1" outlineLevel="1" x14ac:dyDescent="0.25">
      <c r="B98" s="288">
        <v>41456</v>
      </c>
      <c r="C98" s="383"/>
      <c r="D98" s="384"/>
      <c r="E98" s="383"/>
      <c r="F98" s="384"/>
      <c r="G98" s="383"/>
      <c r="H98" s="383">
        <v>400723</v>
      </c>
      <c r="I98" s="384">
        <v>0.33189440615679722</v>
      </c>
      <c r="J98" s="383">
        <v>53633.117857789162</v>
      </c>
      <c r="K98" s="384">
        <v>0.41034112445368165</v>
      </c>
      <c r="L98" s="383">
        <v>32826.371928</v>
      </c>
      <c r="M98" s="383">
        <v>564939</v>
      </c>
      <c r="N98" s="384">
        <v>0.46790449742044971</v>
      </c>
      <c r="O98" s="383">
        <v>44331.832838615643</v>
      </c>
      <c r="P98" s="384">
        <v>0.33917800908619528</v>
      </c>
      <c r="Q98" s="383">
        <v>27133.481907000001</v>
      </c>
      <c r="R98" s="383">
        <v>193707</v>
      </c>
      <c r="S98" s="384">
        <v>0.16043568682959231</v>
      </c>
      <c r="T98" s="383">
        <v>26573.74526450524</v>
      </c>
      <c r="U98" s="384">
        <v>0.20331282141187587</v>
      </c>
      <c r="V98" s="383">
        <v>16264.570855</v>
      </c>
      <c r="W98" s="383">
        <v>48012</v>
      </c>
      <c r="X98" s="384">
        <v>3.976540959316073E-2</v>
      </c>
      <c r="Y98" s="383">
        <v>6165.0396912135311</v>
      </c>
      <c r="Z98" s="384">
        <v>4.7168045048246982E-2</v>
      </c>
      <c r="AA98" s="383">
        <v>3773.3380780000002</v>
      </c>
      <c r="AB98" s="383"/>
      <c r="AC98" s="384"/>
      <c r="AD98" s="383"/>
      <c r="AE98" s="384"/>
      <c r="AF98" s="383"/>
      <c r="AG98" s="383">
        <v>1207381</v>
      </c>
      <c r="AH98" s="384">
        <v>1</v>
      </c>
      <c r="AI98" s="383">
        <v>130703.73565212361</v>
      </c>
      <c r="AJ98" s="384">
        <v>0.99999999999999989</v>
      </c>
      <c r="AK98" s="383">
        <v>79997.762768000001</v>
      </c>
    </row>
    <row r="99" spans="2:37" hidden="1" outlineLevel="1" x14ac:dyDescent="0.25">
      <c r="B99" s="288">
        <v>41487</v>
      </c>
      <c r="C99" s="383"/>
      <c r="D99" s="384"/>
      <c r="E99" s="383"/>
      <c r="F99" s="384"/>
      <c r="G99" s="383"/>
      <c r="H99" s="383">
        <v>399188</v>
      </c>
      <c r="I99" s="384">
        <v>0.3300148974128766</v>
      </c>
      <c r="J99" s="383">
        <v>53600.920022975333</v>
      </c>
      <c r="K99" s="384">
        <v>0.40790726659532389</v>
      </c>
      <c r="L99" s="383">
        <v>32899.986038000003</v>
      </c>
      <c r="M99" s="383">
        <v>569076</v>
      </c>
      <c r="N99" s="384">
        <v>0.47046393619079269</v>
      </c>
      <c r="O99" s="383">
        <v>45403.055290184413</v>
      </c>
      <c r="P99" s="384">
        <v>0.34552086364482226</v>
      </c>
      <c r="Q99" s="383">
        <v>27868.176227</v>
      </c>
      <c r="R99" s="383">
        <v>192279</v>
      </c>
      <c r="S99" s="384">
        <v>0.15896002499987599</v>
      </c>
      <c r="T99" s="383">
        <v>26082.16895838721</v>
      </c>
      <c r="U99" s="384">
        <v>0.19848738122653156</v>
      </c>
      <c r="V99" s="383">
        <v>16009.109436999999</v>
      </c>
      <c r="W99" s="383">
        <v>49063</v>
      </c>
      <c r="X99" s="384">
        <v>4.0561141396454711E-2</v>
      </c>
      <c r="Y99" s="383">
        <v>6318.5263791273292</v>
      </c>
      <c r="Z99" s="384">
        <v>4.8084488533322207E-2</v>
      </c>
      <c r="AA99" s="383">
        <v>3878.2809990000001</v>
      </c>
      <c r="AB99" s="383"/>
      <c r="AC99" s="384"/>
      <c r="AD99" s="383"/>
      <c r="AE99" s="384"/>
      <c r="AF99" s="383"/>
      <c r="AG99" s="383">
        <v>1209606</v>
      </c>
      <c r="AH99" s="384">
        <v>0.99999999999999989</v>
      </c>
      <c r="AI99" s="383">
        <v>131404.67065067429</v>
      </c>
      <c r="AJ99" s="384">
        <v>1</v>
      </c>
      <c r="AK99" s="383">
        <v>80655.552700999993</v>
      </c>
    </row>
    <row r="100" spans="2:37" hidden="1" outlineLevel="1" x14ac:dyDescent="0.25">
      <c r="B100" s="288">
        <v>41518</v>
      </c>
      <c r="C100" s="383"/>
      <c r="D100" s="384"/>
      <c r="E100" s="383"/>
      <c r="F100" s="384"/>
      <c r="G100" s="383"/>
      <c r="H100" s="383">
        <v>400350</v>
      </c>
      <c r="I100" s="384">
        <v>0.32974744483823965</v>
      </c>
      <c r="J100" s="383">
        <v>55412.005628406121</v>
      </c>
      <c r="K100" s="384">
        <v>0.41266316460913122</v>
      </c>
      <c r="L100" s="383">
        <v>34177.654072999998</v>
      </c>
      <c r="M100" s="383">
        <v>572392</v>
      </c>
      <c r="N100" s="384">
        <v>0.47144948031934475</v>
      </c>
      <c r="O100" s="383">
        <v>46288.43929451135</v>
      </c>
      <c r="P100" s="384">
        <v>0.34471832642525041</v>
      </c>
      <c r="Q100" s="383">
        <v>28550.315908</v>
      </c>
      <c r="R100" s="383">
        <v>189756</v>
      </c>
      <c r="S100" s="384">
        <v>0.15629213473891596</v>
      </c>
      <c r="T100" s="383">
        <v>25755.50184689293</v>
      </c>
      <c r="U100" s="384">
        <v>0.1918058510552576</v>
      </c>
      <c r="V100" s="383">
        <v>15885.774619</v>
      </c>
      <c r="W100" s="383">
        <v>51613</v>
      </c>
      <c r="X100" s="384">
        <v>4.2510940103499595E-2</v>
      </c>
      <c r="Y100" s="383">
        <v>6823.0739440727793</v>
      </c>
      <c r="Z100" s="384">
        <v>5.0812657910360659E-2</v>
      </c>
      <c r="AA100" s="383">
        <v>4208.4140129999996</v>
      </c>
      <c r="AB100" s="383"/>
      <c r="AC100" s="384"/>
      <c r="AD100" s="383"/>
      <c r="AE100" s="384"/>
      <c r="AF100" s="383"/>
      <c r="AG100" s="383">
        <v>1214111</v>
      </c>
      <c r="AH100" s="384">
        <v>0.99999999999999978</v>
      </c>
      <c r="AI100" s="383">
        <v>134279.02071388319</v>
      </c>
      <c r="AJ100" s="384">
        <v>1</v>
      </c>
      <c r="AK100" s="383">
        <v>82822.158613000007</v>
      </c>
    </row>
    <row r="101" spans="2:37" hidden="1" outlineLevel="1" x14ac:dyDescent="0.25">
      <c r="B101" s="288">
        <v>41548</v>
      </c>
      <c r="C101" s="383"/>
      <c r="D101" s="384"/>
      <c r="E101" s="383"/>
      <c r="F101" s="384"/>
      <c r="G101" s="383"/>
      <c r="H101" s="383">
        <v>400134</v>
      </c>
      <c r="I101" s="384">
        <v>0.32862354489054751</v>
      </c>
      <c r="J101" s="383">
        <v>53899.412444622212</v>
      </c>
      <c r="K101" s="384">
        <v>0.40561745913669406</v>
      </c>
      <c r="L101" s="383">
        <v>33343.569083000002</v>
      </c>
      <c r="M101" s="383">
        <v>576466</v>
      </c>
      <c r="N101" s="384">
        <v>0.47344214795262179</v>
      </c>
      <c r="O101" s="383">
        <v>46408.223041623562</v>
      </c>
      <c r="P101" s="384">
        <v>0.34924287036584351</v>
      </c>
      <c r="Q101" s="383">
        <v>28709.325776000001</v>
      </c>
      <c r="R101" s="383">
        <v>187727</v>
      </c>
      <c r="S101" s="384">
        <v>0.15417713119022081</v>
      </c>
      <c r="T101" s="383">
        <v>25389.293662184191</v>
      </c>
      <c r="U101" s="384">
        <v>0.19106591922706634</v>
      </c>
      <c r="V101" s="383">
        <v>15706.473017</v>
      </c>
      <c r="W101" s="383">
        <v>53279</v>
      </c>
      <c r="X101" s="384">
        <v>4.3757175966609892E-2</v>
      </c>
      <c r="Y101" s="383">
        <v>7185.448645021921</v>
      </c>
      <c r="Z101" s="384">
        <v>5.4073751270396084E-2</v>
      </c>
      <c r="AA101" s="383">
        <v>4445.1041750000004</v>
      </c>
      <c r="AB101" s="383"/>
      <c r="AC101" s="384"/>
      <c r="AD101" s="383"/>
      <c r="AE101" s="384"/>
      <c r="AF101" s="383"/>
      <c r="AG101" s="383">
        <v>1217606</v>
      </c>
      <c r="AH101" s="384">
        <v>1</v>
      </c>
      <c r="AI101" s="383">
        <v>132882.37779345189</v>
      </c>
      <c r="AJ101" s="384">
        <v>0.99999999999999989</v>
      </c>
      <c r="AK101" s="383">
        <v>82204.472051000004</v>
      </c>
    </row>
    <row r="102" spans="2:37" hidden="1" outlineLevel="1" x14ac:dyDescent="0.25">
      <c r="B102" s="288">
        <v>41579</v>
      </c>
      <c r="C102" s="383"/>
      <c r="D102" s="384"/>
      <c r="E102" s="383"/>
      <c r="F102" s="384"/>
      <c r="G102" s="383"/>
      <c r="H102" s="383">
        <v>400749</v>
      </c>
      <c r="I102" s="384">
        <v>0.32741840868128691</v>
      </c>
      <c r="J102" s="383">
        <v>53797.587648101959</v>
      </c>
      <c r="K102" s="384">
        <v>0.40500191152857201</v>
      </c>
      <c r="L102" s="383">
        <v>33361.861667999998</v>
      </c>
      <c r="M102" s="383">
        <v>582144</v>
      </c>
      <c r="N102" s="384">
        <v>0.47562105483322248</v>
      </c>
      <c r="O102" s="383">
        <v>46827.248403683603</v>
      </c>
      <c r="P102" s="384">
        <v>0.35252742630708356</v>
      </c>
      <c r="Q102" s="383">
        <v>29039.298076999999</v>
      </c>
      <c r="R102" s="383">
        <v>187169</v>
      </c>
      <c r="S102" s="384">
        <v>0.15292009745368743</v>
      </c>
      <c r="T102" s="383">
        <v>25199.546911147601</v>
      </c>
      <c r="U102" s="384">
        <v>0.18970859317013961</v>
      </c>
      <c r="V102" s="383">
        <v>15627.165360000001</v>
      </c>
      <c r="W102" s="383">
        <v>53904</v>
      </c>
      <c r="X102" s="384">
        <v>4.4040439031803172E-2</v>
      </c>
      <c r="Y102" s="383">
        <v>7008.5398374982742</v>
      </c>
      <c r="Z102" s="384">
        <v>5.2762068994205047E-2</v>
      </c>
      <c r="AA102" s="383">
        <v>4346.2531829999998</v>
      </c>
      <c r="AB102" s="383"/>
      <c r="AC102" s="384"/>
      <c r="AD102" s="383"/>
      <c r="AE102" s="384"/>
      <c r="AF102" s="383"/>
      <c r="AG102" s="383">
        <v>1223966</v>
      </c>
      <c r="AH102" s="384">
        <v>1</v>
      </c>
      <c r="AI102" s="383">
        <v>132832.92280043141</v>
      </c>
      <c r="AJ102" s="384">
        <v>1.0000000000000002</v>
      </c>
      <c r="AK102" s="383">
        <v>82374.578288000004</v>
      </c>
    </row>
    <row r="103" spans="2:37" collapsed="1" x14ac:dyDescent="0.25">
      <c r="B103" s="288">
        <v>41609</v>
      </c>
      <c r="C103" s="383"/>
      <c r="D103" s="384"/>
      <c r="E103" s="383"/>
      <c r="F103" s="384"/>
      <c r="G103" s="383"/>
      <c r="H103" s="383">
        <v>400768</v>
      </c>
      <c r="I103" s="384">
        <v>0.32611717069137802</v>
      </c>
      <c r="J103" s="383">
        <v>53592.811995788448</v>
      </c>
      <c r="K103" s="384">
        <v>0.40458654330121419</v>
      </c>
      <c r="L103" s="383">
        <v>33352.269704999999</v>
      </c>
      <c r="M103" s="383">
        <v>586883</v>
      </c>
      <c r="N103" s="384">
        <v>0.47756463461870213</v>
      </c>
      <c r="O103" s="383">
        <v>47059.527706973851</v>
      </c>
      <c r="P103" s="384">
        <v>0.35526502408286548</v>
      </c>
      <c r="Q103" s="383">
        <v>29286.428567999999</v>
      </c>
      <c r="R103" s="383">
        <v>186782</v>
      </c>
      <c r="S103" s="384">
        <v>0.15199022221354244</v>
      </c>
      <c r="T103" s="383">
        <v>24797.234876709939</v>
      </c>
      <c r="U103" s="384">
        <v>0.18720099148715674</v>
      </c>
      <c r="V103" s="383">
        <v>15431.996096999999</v>
      </c>
      <c r="W103" s="383">
        <v>54475</v>
      </c>
      <c r="X103" s="384">
        <v>4.4327972476377403E-2</v>
      </c>
      <c r="Y103" s="383">
        <v>7013.585362771908</v>
      </c>
      <c r="Z103" s="384">
        <v>5.2947441128763116E-2</v>
      </c>
      <c r="AA103" s="383">
        <v>4364.7456050000001</v>
      </c>
      <c r="AB103" s="383"/>
      <c r="AC103" s="384"/>
      <c r="AD103" s="383"/>
      <c r="AE103" s="384"/>
      <c r="AF103" s="383"/>
      <c r="AG103" s="383">
        <v>1228908</v>
      </c>
      <c r="AH103" s="384">
        <v>1</v>
      </c>
      <c r="AI103" s="383">
        <v>132463.15994224421</v>
      </c>
      <c r="AJ103" s="384">
        <v>0.99999999999999956</v>
      </c>
      <c r="AK103" s="383">
        <v>82435.439975000001</v>
      </c>
    </row>
    <row r="104" spans="2:37" hidden="1" outlineLevel="1" x14ac:dyDescent="0.25">
      <c r="B104" s="288">
        <v>41640</v>
      </c>
      <c r="C104" s="383"/>
      <c r="D104" s="384"/>
      <c r="E104" s="383"/>
      <c r="F104" s="384"/>
      <c r="G104" s="383"/>
      <c r="H104" s="383">
        <v>398815</v>
      </c>
      <c r="I104" s="384">
        <v>0.32310345889173525</v>
      </c>
      <c r="J104" s="383">
        <v>53154.142114425042</v>
      </c>
      <c r="K104" s="384">
        <v>0.40037192448340059</v>
      </c>
      <c r="L104" s="383">
        <v>33138.486981000002</v>
      </c>
      <c r="M104" s="383">
        <v>594176</v>
      </c>
      <c r="N104" s="384">
        <v>0.48137688098606041</v>
      </c>
      <c r="O104" s="383">
        <v>47226.341031241973</v>
      </c>
      <c r="P104" s="384">
        <v>0.35572206215433261</v>
      </c>
      <c r="Q104" s="383">
        <v>29442.851020999999</v>
      </c>
      <c r="R104" s="383">
        <v>185913</v>
      </c>
      <c r="S104" s="384">
        <v>0.1506190422951473</v>
      </c>
      <c r="T104" s="383">
        <v>25229.445055134562</v>
      </c>
      <c r="U104" s="384">
        <v>0.19003526477066729</v>
      </c>
      <c r="V104" s="383">
        <v>15729.077796</v>
      </c>
      <c r="W104" s="383">
        <v>55422</v>
      </c>
      <c r="X104" s="384">
        <v>4.4900617827057031E-2</v>
      </c>
      <c r="Y104" s="383">
        <v>7151.9835716329026</v>
      </c>
      <c r="Z104" s="384">
        <v>5.3870748591599266E-2</v>
      </c>
      <c r="AA104" s="383">
        <v>4458.8418709999996</v>
      </c>
      <c r="AB104" s="383"/>
      <c r="AC104" s="384"/>
      <c r="AD104" s="383"/>
      <c r="AE104" s="384"/>
      <c r="AF104" s="383"/>
      <c r="AG104" s="383">
        <v>1234326</v>
      </c>
      <c r="AH104" s="384">
        <v>1</v>
      </c>
      <c r="AI104" s="383">
        <v>132761.91177243451</v>
      </c>
      <c r="AJ104" s="384">
        <v>0.99999999999999978</v>
      </c>
      <c r="AK104" s="383">
        <v>82769.257668999999</v>
      </c>
    </row>
    <row r="105" spans="2:37" hidden="1" outlineLevel="1" x14ac:dyDescent="0.25">
      <c r="B105" s="288">
        <v>41671</v>
      </c>
      <c r="C105" s="383"/>
      <c r="D105" s="384"/>
      <c r="E105" s="383"/>
      <c r="F105" s="384"/>
      <c r="G105" s="383"/>
      <c r="H105" s="383">
        <v>397052</v>
      </c>
      <c r="I105" s="384">
        <v>0.32181176558313246</v>
      </c>
      <c r="J105" s="383">
        <v>52552.226192837858</v>
      </c>
      <c r="K105" s="384">
        <v>0.39973542737393597</v>
      </c>
      <c r="L105" s="383">
        <v>32922.676230999998</v>
      </c>
      <c r="M105" s="383">
        <v>595309</v>
      </c>
      <c r="N105" s="384">
        <v>0.48249962311618882</v>
      </c>
      <c r="O105" s="383">
        <v>46764.945219903151</v>
      </c>
      <c r="P105" s="384">
        <v>0.35571481396432963</v>
      </c>
      <c r="Q105" s="383">
        <v>29297.087145000001</v>
      </c>
      <c r="R105" s="383">
        <v>183701</v>
      </c>
      <c r="S105" s="384">
        <v>0.14889017848893096</v>
      </c>
      <c r="T105" s="383">
        <v>24593.88376112991</v>
      </c>
      <c r="U105" s="384">
        <v>0.1870719348779939</v>
      </c>
      <c r="V105" s="383">
        <v>15407.462842000001</v>
      </c>
      <c r="W105" s="383">
        <v>57740</v>
      </c>
      <c r="X105" s="384">
        <v>4.6798432811747753E-2</v>
      </c>
      <c r="Y105" s="383">
        <v>7556.4670772340196</v>
      </c>
      <c r="Z105" s="384">
        <v>5.7477823783740715E-2</v>
      </c>
      <c r="AA105" s="383">
        <v>4733.9406349999999</v>
      </c>
      <c r="AB105" s="383"/>
      <c r="AC105" s="384"/>
      <c r="AD105" s="383"/>
      <c r="AE105" s="384"/>
      <c r="AF105" s="383"/>
      <c r="AG105" s="383">
        <v>1233802</v>
      </c>
      <c r="AH105" s="384">
        <v>1</v>
      </c>
      <c r="AI105" s="383">
        <v>131467.52225110491</v>
      </c>
      <c r="AJ105" s="384">
        <v>1.0000000000000002</v>
      </c>
      <c r="AK105" s="383">
        <v>82361.166853000002</v>
      </c>
    </row>
    <row r="106" spans="2:37" hidden="1" outlineLevel="1" x14ac:dyDescent="0.25">
      <c r="B106" s="288">
        <v>41699</v>
      </c>
      <c r="C106" s="383"/>
      <c r="D106" s="384"/>
      <c r="E106" s="383"/>
      <c r="F106" s="384"/>
      <c r="G106" s="383"/>
      <c r="H106" s="383">
        <v>397518</v>
      </c>
      <c r="I106" s="384">
        <v>0.32096211607402386</v>
      </c>
      <c r="J106" s="383">
        <v>52280.139536853982</v>
      </c>
      <c r="K106" s="384">
        <v>0.39854143172092443</v>
      </c>
      <c r="L106" s="383">
        <v>33026.458544000001</v>
      </c>
      <c r="M106" s="383">
        <v>598940</v>
      </c>
      <c r="N106" s="384">
        <v>0.48359332106062075</v>
      </c>
      <c r="O106" s="383">
        <v>46701.065873269137</v>
      </c>
      <c r="P106" s="384">
        <v>0.35601109371380807</v>
      </c>
      <c r="Q106" s="383">
        <v>29502.040922</v>
      </c>
      <c r="R106" s="383">
        <v>183770</v>
      </c>
      <c r="S106" s="384">
        <v>0.1483787100733133</v>
      </c>
      <c r="T106" s="383">
        <v>24659.77298921804</v>
      </c>
      <c r="U106" s="384">
        <v>0.18798613240325995</v>
      </c>
      <c r="V106" s="383">
        <v>15578.094809</v>
      </c>
      <c r="W106" s="383">
        <v>58292</v>
      </c>
      <c r="X106" s="384">
        <v>4.7065852792042118E-2</v>
      </c>
      <c r="Y106" s="383">
        <v>7537.703102116282</v>
      </c>
      <c r="Z106" s="384">
        <v>5.746134216200776E-2</v>
      </c>
      <c r="AA106" s="383">
        <v>4761.7248390000004</v>
      </c>
      <c r="AB106" s="383"/>
      <c r="AC106" s="384"/>
      <c r="AD106" s="383"/>
      <c r="AE106" s="384"/>
      <c r="AF106" s="383"/>
      <c r="AG106" s="383">
        <v>1238520</v>
      </c>
      <c r="AH106" s="384">
        <v>1</v>
      </c>
      <c r="AI106" s="383">
        <v>131178.68150145741</v>
      </c>
      <c r="AJ106" s="384">
        <v>1.0000000000000002</v>
      </c>
      <c r="AK106" s="383">
        <v>82868.319113999998</v>
      </c>
    </row>
    <row r="107" spans="2:37" hidden="1" outlineLevel="1" x14ac:dyDescent="0.25">
      <c r="B107" s="288">
        <v>41730</v>
      </c>
      <c r="C107" s="383"/>
      <c r="D107" s="384"/>
      <c r="E107" s="383"/>
      <c r="F107" s="384"/>
      <c r="G107" s="383"/>
      <c r="H107" s="383">
        <v>398547</v>
      </c>
      <c r="I107" s="384">
        <v>0.32072809971093613</v>
      </c>
      <c r="J107" s="383">
        <v>52023.680581783017</v>
      </c>
      <c r="K107" s="384">
        <v>0.39942317306162317</v>
      </c>
      <c r="L107" s="383">
        <v>33068.525474000002</v>
      </c>
      <c r="M107" s="383">
        <v>602259</v>
      </c>
      <c r="N107" s="384">
        <v>0.48466400350224365</v>
      </c>
      <c r="O107" s="383">
        <v>46582.751753526798</v>
      </c>
      <c r="P107" s="384">
        <v>0.35764925332581821</v>
      </c>
      <c r="Q107" s="383">
        <v>29610.033273000001</v>
      </c>
      <c r="R107" s="383">
        <v>183522</v>
      </c>
      <c r="S107" s="384">
        <v>0.14768813293074701</v>
      </c>
      <c r="T107" s="383">
        <v>24284.763058719371</v>
      </c>
      <c r="U107" s="384">
        <v>0.18645157377350124</v>
      </c>
      <c r="V107" s="383">
        <v>15436.456953000001</v>
      </c>
      <c r="W107" s="383">
        <v>58304</v>
      </c>
      <c r="X107" s="384">
        <v>4.6919763856073236E-2</v>
      </c>
      <c r="Y107" s="383">
        <v>7355.8310441608819</v>
      </c>
      <c r="Z107" s="384">
        <v>5.6475999839057038E-2</v>
      </c>
      <c r="AA107" s="383">
        <v>4675.6877549999999</v>
      </c>
      <c r="AB107" s="383"/>
      <c r="AC107" s="384"/>
      <c r="AD107" s="383"/>
      <c r="AE107" s="384"/>
      <c r="AF107" s="383"/>
      <c r="AG107" s="383">
        <v>1242632</v>
      </c>
      <c r="AH107" s="384">
        <v>1</v>
      </c>
      <c r="AI107" s="383">
        <v>130247.02643819011</v>
      </c>
      <c r="AJ107" s="384">
        <v>0.99999999999999967</v>
      </c>
      <c r="AK107" s="383">
        <v>82790.703454999995</v>
      </c>
    </row>
    <row r="108" spans="2:37" hidden="1" outlineLevel="1" x14ac:dyDescent="0.25">
      <c r="B108" s="288">
        <v>41760</v>
      </c>
      <c r="C108" s="383"/>
      <c r="D108" s="384"/>
      <c r="E108" s="383"/>
      <c r="F108" s="384"/>
      <c r="G108" s="383"/>
      <c r="H108" s="383">
        <v>398953</v>
      </c>
      <c r="I108" s="384">
        <v>0.31997411032306755</v>
      </c>
      <c r="J108" s="383">
        <v>51925.989833530257</v>
      </c>
      <c r="K108" s="384">
        <v>0.39885789458751875</v>
      </c>
      <c r="L108" s="383">
        <v>33117.869868000002</v>
      </c>
      <c r="M108" s="383">
        <v>605684</v>
      </c>
      <c r="N108" s="384">
        <v>0.48577952550028913</v>
      </c>
      <c r="O108" s="383">
        <v>46780.887702393193</v>
      </c>
      <c r="P108" s="384">
        <v>0.35933694159187768</v>
      </c>
      <c r="Q108" s="383">
        <v>29836.375892</v>
      </c>
      <c r="R108" s="383">
        <v>183558</v>
      </c>
      <c r="S108" s="384">
        <v>0.14721986735951761</v>
      </c>
      <c r="T108" s="383">
        <v>24101.354958941869</v>
      </c>
      <c r="U108" s="384">
        <v>0.18512917570658577</v>
      </c>
      <c r="V108" s="383">
        <v>15371.599843</v>
      </c>
      <c r="W108" s="383">
        <v>58634</v>
      </c>
      <c r="X108" s="384">
        <v>4.7026496817125688E-2</v>
      </c>
      <c r="Y108" s="383">
        <v>7378.4594025831229</v>
      </c>
      <c r="Z108" s="384">
        <v>5.6675988114018104E-2</v>
      </c>
      <c r="AA108" s="383">
        <v>4705.9066009999997</v>
      </c>
      <c r="AB108" s="383"/>
      <c r="AC108" s="384"/>
      <c r="AD108" s="383"/>
      <c r="AE108" s="384"/>
      <c r="AF108" s="383"/>
      <c r="AG108" s="383">
        <v>1246829</v>
      </c>
      <c r="AH108" s="384">
        <v>1</v>
      </c>
      <c r="AI108" s="383">
        <v>130186.6918974484</v>
      </c>
      <c r="AJ108" s="384">
        <v>1.0000000000000004</v>
      </c>
      <c r="AK108" s="383">
        <v>83031.752204000004</v>
      </c>
    </row>
    <row r="109" spans="2:37" hidden="1" outlineLevel="1" x14ac:dyDescent="0.25">
      <c r="B109" s="288">
        <v>41791</v>
      </c>
      <c r="C109" s="383"/>
      <c r="D109" s="384"/>
      <c r="E109" s="383"/>
      <c r="F109" s="384"/>
      <c r="G109" s="383"/>
      <c r="H109" s="383">
        <v>400312</v>
      </c>
      <c r="I109" s="384">
        <v>0.31937910032415651</v>
      </c>
      <c r="J109" s="383">
        <v>52368.037229110043</v>
      </c>
      <c r="K109" s="384">
        <v>0.39677082868932995</v>
      </c>
      <c r="L109" s="383">
        <v>33417.094260999998</v>
      </c>
      <c r="M109" s="383">
        <v>609869</v>
      </c>
      <c r="N109" s="384">
        <v>0.48656900751312221</v>
      </c>
      <c r="O109" s="383">
        <v>47794.957055667917</v>
      </c>
      <c r="P109" s="384">
        <v>0.36212250299132648</v>
      </c>
      <c r="Q109" s="383">
        <v>30498.920136000001</v>
      </c>
      <c r="R109" s="383">
        <v>183898</v>
      </c>
      <c r="S109" s="384">
        <v>0.14671850404537393</v>
      </c>
      <c r="T109" s="383">
        <v>24318.35694593484</v>
      </c>
      <c r="U109" s="384">
        <v>0.18425007214969596</v>
      </c>
      <c r="V109" s="383">
        <v>15518.031023</v>
      </c>
      <c r="W109" s="383">
        <v>59328</v>
      </c>
      <c r="X109" s="384">
        <v>4.7333388117347358E-2</v>
      </c>
      <c r="Y109" s="383">
        <v>7504.2521517223868</v>
      </c>
      <c r="Z109" s="384">
        <v>5.6856596169647562E-2</v>
      </c>
      <c r="AA109" s="383">
        <v>4788.6137189999999</v>
      </c>
      <c r="AB109" s="383"/>
      <c r="AC109" s="384"/>
      <c r="AD109" s="383"/>
      <c r="AE109" s="384"/>
      <c r="AF109" s="383"/>
      <c r="AG109" s="383">
        <v>1253407</v>
      </c>
      <c r="AH109" s="384">
        <v>1</v>
      </c>
      <c r="AI109" s="383">
        <v>131985.60338243519</v>
      </c>
      <c r="AJ109" s="384">
        <v>0.99999999999999989</v>
      </c>
      <c r="AK109" s="383">
        <v>84222.659138999996</v>
      </c>
    </row>
    <row r="110" spans="2:37" hidden="1" outlineLevel="1" x14ac:dyDescent="0.25">
      <c r="B110" s="288">
        <v>41821</v>
      </c>
      <c r="C110" s="383"/>
      <c r="D110" s="384"/>
      <c r="E110" s="383"/>
      <c r="F110" s="384"/>
      <c r="G110" s="383"/>
      <c r="H110" s="383">
        <v>400926</v>
      </c>
      <c r="I110" s="384">
        <v>0.31831119431602467</v>
      </c>
      <c r="J110" s="383">
        <v>54502.014828337968</v>
      </c>
      <c r="K110" s="384">
        <v>0.39815688110510794</v>
      </c>
      <c r="L110" s="383">
        <v>34859.602413000001</v>
      </c>
      <c r="M110" s="383">
        <v>615089</v>
      </c>
      <c r="N110" s="384">
        <v>0.48834376967482601</v>
      </c>
      <c r="O110" s="383">
        <v>49368.423945303897</v>
      </c>
      <c r="P110" s="384">
        <v>0.36065414765027592</v>
      </c>
      <c r="Q110" s="383">
        <v>31576.146971999999</v>
      </c>
      <c r="R110" s="383">
        <v>181885</v>
      </c>
      <c r="S110" s="384">
        <v>0.1444057795657307</v>
      </c>
      <c r="T110" s="383">
        <v>24923.116904608691</v>
      </c>
      <c r="U110" s="384">
        <v>0.18207236054321846</v>
      </c>
      <c r="V110" s="383">
        <v>15940.877579</v>
      </c>
      <c r="W110" s="383">
        <v>61641</v>
      </c>
      <c r="X110" s="384">
        <v>4.8939256443418677E-2</v>
      </c>
      <c r="Y110" s="383">
        <v>8092.2233068178066</v>
      </c>
      <c r="Z110" s="384">
        <v>5.9116610701397343E-2</v>
      </c>
      <c r="AA110" s="383">
        <v>5175.8029130000004</v>
      </c>
      <c r="AB110" s="383"/>
      <c r="AC110" s="384"/>
      <c r="AD110" s="383"/>
      <c r="AE110" s="384"/>
      <c r="AF110" s="383"/>
      <c r="AG110" s="383">
        <v>1259541</v>
      </c>
      <c r="AH110" s="384">
        <v>1</v>
      </c>
      <c r="AI110" s="383">
        <v>136885.77898506841</v>
      </c>
      <c r="AJ110" s="384">
        <v>0.99999999999999978</v>
      </c>
      <c r="AK110" s="383">
        <v>87552.429877000002</v>
      </c>
    </row>
    <row r="111" spans="2:37" hidden="1" outlineLevel="1" x14ac:dyDescent="0.25">
      <c r="B111" s="288">
        <v>41852</v>
      </c>
      <c r="C111" s="383"/>
      <c r="D111" s="384"/>
      <c r="E111" s="383"/>
      <c r="F111" s="384"/>
      <c r="G111" s="383"/>
      <c r="H111" s="383">
        <v>400933</v>
      </c>
      <c r="I111" s="384">
        <v>0.31729574531059818</v>
      </c>
      <c r="J111" s="383">
        <v>54157.97435357119</v>
      </c>
      <c r="K111" s="384">
        <v>0.39154771441023178</v>
      </c>
      <c r="L111" s="383">
        <v>34752.019268999997</v>
      </c>
      <c r="M111" s="383">
        <v>618705</v>
      </c>
      <c r="N111" s="384">
        <v>0.48963907710862825</v>
      </c>
      <c r="O111" s="383">
        <v>51362.64137722992</v>
      </c>
      <c r="P111" s="384">
        <v>0.3713382023122262</v>
      </c>
      <c r="Q111" s="383">
        <v>32958.313603000002</v>
      </c>
      <c r="R111" s="383">
        <v>181876</v>
      </c>
      <c r="S111" s="384">
        <v>0.14393547294463252</v>
      </c>
      <c r="T111" s="383">
        <v>24737.231351612689</v>
      </c>
      <c r="U111" s="384">
        <v>0.17884358697256914</v>
      </c>
      <c r="V111" s="383">
        <v>15873.354771</v>
      </c>
      <c r="W111" s="383">
        <v>62080</v>
      </c>
      <c r="X111" s="384">
        <v>4.9129704636141039E-2</v>
      </c>
      <c r="Y111" s="383">
        <v>8059.8402910052464</v>
      </c>
      <c r="Z111" s="384">
        <v>5.827049630497317E-2</v>
      </c>
      <c r="AA111" s="383">
        <v>5171.8279430000002</v>
      </c>
      <c r="AB111" s="383"/>
      <c r="AC111" s="384"/>
      <c r="AD111" s="383"/>
      <c r="AE111" s="384"/>
      <c r="AF111" s="383"/>
      <c r="AG111" s="383">
        <v>1263594</v>
      </c>
      <c r="AH111" s="384">
        <v>1</v>
      </c>
      <c r="AI111" s="383">
        <v>138317.687373419</v>
      </c>
      <c r="AJ111" s="384">
        <v>1.0000000000000002</v>
      </c>
      <c r="AK111" s="383">
        <v>88755.515585999994</v>
      </c>
    </row>
    <row r="112" spans="2:37" hidden="1" outlineLevel="1" x14ac:dyDescent="0.25">
      <c r="B112" s="288">
        <v>41883</v>
      </c>
      <c r="C112" s="383"/>
      <c r="D112" s="384"/>
      <c r="E112" s="383"/>
      <c r="F112" s="384"/>
      <c r="G112" s="383"/>
      <c r="H112" s="383">
        <v>400274</v>
      </c>
      <c r="I112" s="384">
        <v>0.31579578527647534</v>
      </c>
      <c r="J112" s="383">
        <v>53735.490050191467</v>
      </c>
      <c r="K112" s="384">
        <v>0.38969173880847263</v>
      </c>
      <c r="L112" s="383">
        <v>34769.477424999997</v>
      </c>
      <c r="M112" s="383">
        <v>622608</v>
      </c>
      <c r="N112" s="384">
        <v>0.49120597960251172</v>
      </c>
      <c r="O112" s="383">
        <v>51569.064025804168</v>
      </c>
      <c r="P112" s="384">
        <v>0.37398073805915677</v>
      </c>
      <c r="Q112" s="383">
        <v>33367.694345000004</v>
      </c>
      <c r="R112" s="383">
        <v>182362</v>
      </c>
      <c r="S112" s="384">
        <v>0.14387432357482274</v>
      </c>
      <c r="T112" s="383">
        <v>24664.208774577881</v>
      </c>
      <c r="U112" s="384">
        <v>0.17886574393799903</v>
      </c>
      <c r="V112" s="383">
        <v>15958.943509999999</v>
      </c>
      <c r="W112" s="383">
        <v>62265</v>
      </c>
      <c r="X112" s="384">
        <v>4.9123911546190203E-2</v>
      </c>
      <c r="Y112" s="383">
        <v>7923.5368797053816</v>
      </c>
      <c r="Z112" s="384">
        <v>5.7461779194371516E-2</v>
      </c>
      <c r="AA112" s="383">
        <v>5126.9140079999997</v>
      </c>
      <c r="AB112" s="383"/>
      <c r="AC112" s="384"/>
      <c r="AD112" s="383"/>
      <c r="AE112" s="384"/>
      <c r="AF112" s="383"/>
      <c r="AG112" s="383">
        <v>1267509</v>
      </c>
      <c r="AH112" s="384">
        <v>1</v>
      </c>
      <c r="AI112" s="383">
        <v>137892.2997302789</v>
      </c>
      <c r="AJ112" s="384">
        <v>1</v>
      </c>
      <c r="AK112" s="383">
        <v>89223.029288000005</v>
      </c>
    </row>
    <row r="113" spans="2:37" hidden="1" outlineLevel="1" x14ac:dyDescent="0.25">
      <c r="B113" s="288">
        <v>41913</v>
      </c>
      <c r="C113" s="383"/>
      <c r="D113" s="384"/>
      <c r="E113" s="383"/>
      <c r="F113" s="384"/>
      <c r="G113" s="383"/>
      <c r="H113" s="383">
        <v>400436</v>
      </c>
      <c r="I113" s="384">
        <v>0.31502388821276206</v>
      </c>
      <c r="J113" s="383">
        <v>53137.723331862537</v>
      </c>
      <c r="K113" s="384">
        <v>0.38861087863556637</v>
      </c>
      <c r="L113" s="383">
        <v>34740.593515</v>
      </c>
      <c r="M113" s="383">
        <v>627020</v>
      </c>
      <c r="N113" s="384">
        <v>0.49327802292292916</v>
      </c>
      <c r="O113" s="383">
        <v>51365.49898377576</v>
      </c>
      <c r="P113" s="384">
        <v>0.37565011144672483</v>
      </c>
      <c r="Q113" s="383">
        <v>33581.941585</v>
      </c>
      <c r="R113" s="383">
        <v>181608</v>
      </c>
      <c r="S113" s="384">
        <v>0.14287141588304569</v>
      </c>
      <c r="T113" s="383">
        <v>24347.010842170352</v>
      </c>
      <c r="U113" s="384">
        <v>0.17805642926090798</v>
      </c>
      <c r="V113" s="383">
        <v>15917.686229999999</v>
      </c>
      <c r="W113" s="383">
        <v>62065</v>
      </c>
      <c r="X113" s="384">
        <v>4.8826672981263114E-2</v>
      </c>
      <c r="Y113" s="383">
        <v>7887.3783018394424</v>
      </c>
      <c r="Z113" s="384">
        <v>5.7682580656800812E-2</v>
      </c>
      <c r="AA113" s="383">
        <v>5156.6417659999997</v>
      </c>
      <c r="AB113" s="383"/>
      <c r="AC113" s="384"/>
      <c r="AD113" s="383"/>
      <c r="AE113" s="384"/>
      <c r="AF113" s="383"/>
      <c r="AG113" s="383">
        <v>1271129</v>
      </c>
      <c r="AH113" s="384">
        <v>1.0000000000000002</v>
      </c>
      <c r="AI113" s="383">
        <v>136737.61145964809</v>
      </c>
      <c r="AJ113" s="384">
        <v>0.99999999999999989</v>
      </c>
      <c r="AK113" s="383">
        <v>89396.863096000001</v>
      </c>
    </row>
    <row r="114" spans="2:37" hidden="1" outlineLevel="1" x14ac:dyDescent="0.25">
      <c r="B114" s="288">
        <v>41944</v>
      </c>
      <c r="C114" s="383"/>
      <c r="D114" s="384"/>
      <c r="E114" s="383"/>
      <c r="F114" s="384"/>
      <c r="G114" s="383"/>
      <c r="H114" s="383">
        <v>400577</v>
      </c>
      <c r="I114" s="384">
        <v>0.31431855810048415</v>
      </c>
      <c r="J114" s="383">
        <v>53242.49540856736</v>
      </c>
      <c r="K114" s="384">
        <v>0.38847796971910781</v>
      </c>
      <c r="L114" s="383">
        <v>34817.718363</v>
      </c>
      <c r="M114" s="383">
        <v>630203</v>
      </c>
      <c r="N114" s="384">
        <v>0.49449793240899853</v>
      </c>
      <c r="O114" s="383">
        <v>51529.524675494962</v>
      </c>
      <c r="P114" s="384">
        <v>0.37597946852254038</v>
      </c>
      <c r="Q114" s="383">
        <v>33697.527956999998</v>
      </c>
      <c r="R114" s="383">
        <v>181221</v>
      </c>
      <c r="S114" s="384">
        <v>0.14219768837833385</v>
      </c>
      <c r="T114" s="383">
        <v>24337.764320549479</v>
      </c>
      <c r="U114" s="384">
        <v>0.17757780130695811</v>
      </c>
      <c r="V114" s="383">
        <v>15915.584294</v>
      </c>
      <c r="W114" s="383">
        <v>62429</v>
      </c>
      <c r="X114" s="384">
        <v>4.8985821112183484E-2</v>
      </c>
      <c r="Y114" s="383">
        <v>7944.3076126646883</v>
      </c>
      <c r="Z114" s="384">
        <v>5.79647604513936E-2</v>
      </c>
      <c r="AA114" s="383">
        <v>5195.1484039999996</v>
      </c>
      <c r="AB114" s="383"/>
      <c r="AC114" s="384"/>
      <c r="AD114" s="383"/>
      <c r="AE114" s="384"/>
      <c r="AF114" s="383"/>
      <c r="AG114" s="383">
        <v>1274430</v>
      </c>
      <c r="AH114" s="384">
        <v>1</v>
      </c>
      <c r="AI114" s="383">
        <v>137054.0920172765</v>
      </c>
      <c r="AJ114" s="384">
        <v>1</v>
      </c>
      <c r="AK114" s="383">
        <v>89625.979017999998</v>
      </c>
    </row>
    <row r="115" spans="2:37" collapsed="1" x14ac:dyDescent="0.25">
      <c r="B115" s="288">
        <v>41974</v>
      </c>
      <c r="C115" s="383"/>
      <c r="D115" s="384"/>
      <c r="E115" s="383"/>
      <c r="F115" s="384"/>
      <c r="G115" s="383"/>
      <c r="H115" s="383">
        <v>401656</v>
      </c>
      <c r="I115" s="384">
        <v>0.31339515054290323</v>
      </c>
      <c r="J115" s="383">
        <v>53655.056812716823</v>
      </c>
      <c r="K115" s="384">
        <v>0.38721997630686911</v>
      </c>
      <c r="L115" s="383">
        <v>34942.479743000004</v>
      </c>
      <c r="M115" s="383">
        <v>635745</v>
      </c>
      <c r="N115" s="384">
        <v>0.49604487417565785</v>
      </c>
      <c r="O115" s="383">
        <v>52643.685472167337</v>
      </c>
      <c r="P115" s="384">
        <v>0.37992107085808763</v>
      </c>
      <c r="Q115" s="383">
        <v>34283.831245000001</v>
      </c>
      <c r="R115" s="383">
        <v>181546</v>
      </c>
      <c r="S115" s="384">
        <v>0.14165264803827632</v>
      </c>
      <c r="T115" s="383">
        <v>24321.51994383708</v>
      </c>
      <c r="U115" s="384">
        <v>0.17552452528887313</v>
      </c>
      <c r="V115" s="383">
        <v>15839.219422</v>
      </c>
      <c r="W115" s="383">
        <v>62681</v>
      </c>
      <c r="X115" s="384">
        <v>4.8907327243162602E-2</v>
      </c>
      <c r="Y115" s="383">
        <v>7944.533225415048</v>
      </c>
      <c r="Z115" s="384">
        <v>5.7334427546170033E-2</v>
      </c>
      <c r="AA115" s="383">
        <v>5173.8215890000001</v>
      </c>
      <c r="AB115" s="383"/>
      <c r="AC115" s="384"/>
      <c r="AD115" s="383"/>
      <c r="AE115" s="384"/>
      <c r="AF115" s="383"/>
      <c r="AG115" s="383">
        <v>1281628</v>
      </c>
      <c r="AH115" s="384">
        <v>1</v>
      </c>
      <c r="AI115" s="383">
        <v>138564.7954541363</v>
      </c>
      <c r="AJ115" s="384">
        <v>0.99999999999999978</v>
      </c>
      <c r="AK115" s="383">
        <v>90239.351999000006</v>
      </c>
    </row>
    <row r="116" spans="2:37" hidden="1" outlineLevel="1" x14ac:dyDescent="0.25">
      <c r="B116" s="288">
        <v>42005</v>
      </c>
      <c r="C116" s="383"/>
      <c r="D116" s="384"/>
      <c r="E116" s="383"/>
      <c r="F116" s="384"/>
      <c r="G116" s="383"/>
      <c r="H116" s="383">
        <v>398501</v>
      </c>
      <c r="I116" s="384">
        <v>0.30985395301894963</v>
      </c>
      <c r="J116" s="383">
        <v>53153.58074657213</v>
      </c>
      <c r="K116" s="384">
        <v>0.38335243987502332</v>
      </c>
      <c r="L116" s="383">
        <v>34642.699800000002</v>
      </c>
      <c r="M116" s="383">
        <v>643828</v>
      </c>
      <c r="N116" s="384">
        <v>0.50060765434537002</v>
      </c>
      <c r="O116" s="383">
        <v>53197.645314902082</v>
      </c>
      <c r="P116" s="384">
        <v>0.38367024084993534</v>
      </c>
      <c r="Q116" s="383">
        <v>34671.418761000001</v>
      </c>
      <c r="R116" s="383">
        <v>180092</v>
      </c>
      <c r="S116" s="384">
        <v>0.14003030885013759</v>
      </c>
      <c r="T116" s="383">
        <v>24208.546592524312</v>
      </c>
      <c r="U116" s="384">
        <v>0.17459605301700901</v>
      </c>
      <c r="V116" s="383">
        <v>15777.853541</v>
      </c>
      <c r="W116" s="383">
        <v>63672</v>
      </c>
      <c r="X116" s="384">
        <v>4.9508083785542722E-2</v>
      </c>
      <c r="Y116" s="383">
        <v>8094.8313545235824</v>
      </c>
      <c r="Z116" s="384">
        <v>5.8381266258032458E-2</v>
      </c>
      <c r="AA116" s="383">
        <v>5275.7840319999996</v>
      </c>
      <c r="AB116" s="383"/>
      <c r="AC116" s="384"/>
      <c r="AD116" s="383"/>
      <c r="AE116" s="384"/>
      <c r="AF116" s="383"/>
      <c r="AG116" s="383">
        <v>1286093</v>
      </c>
      <c r="AH116" s="384">
        <v>0.99999999999999989</v>
      </c>
      <c r="AI116" s="383">
        <v>138654.60400852209</v>
      </c>
      <c r="AJ116" s="384">
        <v>1.0000000000000002</v>
      </c>
      <c r="AK116" s="383">
        <v>90367.756133999996</v>
      </c>
    </row>
    <row r="117" spans="2:37" hidden="1" outlineLevel="1" x14ac:dyDescent="0.25">
      <c r="B117" s="288">
        <v>42036</v>
      </c>
      <c r="C117" s="383"/>
      <c r="D117" s="384"/>
      <c r="E117" s="383"/>
      <c r="F117" s="384"/>
      <c r="G117" s="383"/>
      <c r="H117" s="383">
        <v>398712</v>
      </c>
      <c r="I117" s="384">
        <v>0.30927614340300563</v>
      </c>
      <c r="J117" s="383">
        <v>52851.877095565069</v>
      </c>
      <c r="K117" s="384">
        <v>0.38633940608582151</v>
      </c>
      <c r="L117" s="383">
        <v>34567.232513000003</v>
      </c>
      <c r="M117" s="383">
        <v>646800</v>
      </c>
      <c r="N117" s="384">
        <v>0.50171504633184871</v>
      </c>
      <c r="O117" s="383">
        <v>51906.307973974741</v>
      </c>
      <c r="P117" s="384">
        <v>0.37942743563323467</v>
      </c>
      <c r="Q117" s="383">
        <v>33948.792649000003</v>
      </c>
      <c r="R117" s="383">
        <v>179970</v>
      </c>
      <c r="S117" s="384">
        <v>0.13960058269688128</v>
      </c>
      <c r="T117" s="383">
        <v>24006.54394370615</v>
      </c>
      <c r="U117" s="384">
        <v>0.17548428625561288</v>
      </c>
      <c r="V117" s="383">
        <v>15701.23583</v>
      </c>
      <c r="W117" s="383">
        <v>63696</v>
      </c>
      <c r="X117" s="384">
        <v>4.9408227568264428E-2</v>
      </c>
      <c r="Y117" s="383">
        <v>8036.9439795021517</v>
      </c>
      <c r="Z117" s="384">
        <v>5.8748872025331099E-2</v>
      </c>
      <c r="AA117" s="383">
        <v>5256.481444</v>
      </c>
      <c r="AB117" s="383"/>
      <c r="AC117" s="384"/>
      <c r="AD117" s="383"/>
      <c r="AE117" s="384"/>
      <c r="AF117" s="383"/>
      <c r="AG117" s="383">
        <v>1289178</v>
      </c>
      <c r="AH117" s="384">
        <v>1</v>
      </c>
      <c r="AI117" s="383">
        <v>136801.67299274809</v>
      </c>
      <c r="AJ117" s="384">
        <v>1.0000000000000002</v>
      </c>
      <c r="AK117" s="383">
        <v>89473.742436</v>
      </c>
    </row>
    <row r="118" spans="2:37" hidden="1" outlineLevel="1" x14ac:dyDescent="0.25">
      <c r="B118" s="288">
        <v>42064</v>
      </c>
      <c r="C118" s="383"/>
      <c r="D118" s="384"/>
      <c r="E118" s="383"/>
      <c r="F118" s="384"/>
      <c r="G118" s="383"/>
      <c r="H118" s="383">
        <v>398938</v>
      </c>
      <c r="I118" s="384">
        <v>0.30834667262329407</v>
      </c>
      <c r="J118" s="383">
        <v>52578.325496914309</v>
      </c>
      <c r="K118" s="384">
        <v>0.38499836368599522</v>
      </c>
      <c r="L118" s="383">
        <v>34604.552239999997</v>
      </c>
      <c r="M118" s="383">
        <v>650698</v>
      </c>
      <c r="N118" s="384">
        <v>0.5029367049081116</v>
      </c>
      <c r="O118" s="383">
        <v>52030.82144424734</v>
      </c>
      <c r="P118" s="384">
        <v>0.38098933216214792</v>
      </c>
      <c r="Q118" s="383">
        <v>34244.211122000001</v>
      </c>
      <c r="R118" s="383">
        <v>180298</v>
      </c>
      <c r="S118" s="384">
        <v>0.13935571036259939</v>
      </c>
      <c r="T118" s="383">
        <v>23922.554776948738</v>
      </c>
      <c r="U118" s="384">
        <v>0.17516998415733823</v>
      </c>
      <c r="V118" s="383">
        <v>15744.687352999999</v>
      </c>
      <c r="W118" s="383">
        <v>63863</v>
      </c>
      <c r="X118" s="384">
        <v>4.936091210599499E-2</v>
      </c>
      <c r="Y118" s="383">
        <v>8035.9579299114484</v>
      </c>
      <c r="Z118" s="384">
        <v>5.8842319994518923E-2</v>
      </c>
      <c r="AA118" s="383">
        <v>5288.8851699999996</v>
      </c>
      <c r="AB118" s="383"/>
      <c r="AC118" s="384"/>
      <c r="AD118" s="383"/>
      <c r="AE118" s="384"/>
      <c r="AF118" s="383"/>
      <c r="AG118" s="383">
        <v>1293797</v>
      </c>
      <c r="AH118" s="384">
        <v>1</v>
      </c>
      <c r="AI118" s="383">
        <v>136567.6596480218</v>
      </c>
      <c r="AJ118" s="384">
        <v>1.0000000000000002</v>
      </c>
      <c r="AK118" s="383">
        <v>89882.335884999993</v>
      </c>
    </row>
    <row r="119" spans="2:37" hidden="1" outlineLevel="1" x14ac:dyDescent="0.25">
      <c r="B119" s="288">
        <v>42095</v>
      </c>
      <c r="C119" s="383"/>
      <c r="D119" s="384"/>
      <c r="E119" s="383"/>
      <c r="F119" s="384"/>
      <c r="G119" s="383"/>
      <c r="H119" s="383">
        <v>399217</v>
      </c>
      <c r="I119" s="384">
        <v>0.30746865947986712</v>
      </c>
      <c r="J119" s="383">
        <v>52220.116163894869</v>
      </c>
      <c r="K119" s="384">
        <v>0.38342163555207431</v>
      </c>
      <c r="L119" s="383">
        <v>34566.362949000002</v>
      </c>
      <c r="M119" s="383">
        <v>654785</v>
      </c>
      <c r="N119" s="384">
        <v>0.5043018363384445</v>
      </c>
      <c r="O119" s="383">
        <v>52125.099474083218</v>
      </c>
      <c r="P119" s="384">
        <v>0.38272398381767397</v>
      </c>
      <c r="Q119" s="383">
        <v>34503.468003000002</v>
      </c>
      <c r="R119" s="383">
        <v>180102</v>
      </c>
      <c r="S119" s="384">
        <v>0.13871082771936824</v>
      </c>
      <c r="T119" s="383">
        <v>23885.216911548559</v>
      </c>
      <c r="U119" s="384">
        <v>0.17537511607593773</v>
      </c>
      <c r="V119" s="383">
        <v>15810.479515000001</v>
      </c>
      <c r="W119" s="383">
        <v>64295</v>
      </c>
      <c r="X119" s="384">
        <v>4.9518676462320131E-2</v>
      </c>
      <c r="Y119" s="383">
        <v>7964.5844288582839</v>
      </c>
      <c r="Z119" s="384">
        <v>5.8479264554314195E-2</v>
      </c>
      <c r="AA119" s="383">
        <v>5272.0433489999996</v>
      </c>
      <c r="AB119" s="383"/>
      <c r="AC119" s="384"/>
      <c r="AD119" s="383"/>
      <c r="AE119" s="384"/>
      <c r="AF119" s="383"/>
      <c r="AG119" s="383">
        <v>1298399</v>
      </c>
      <c r="AH119" s="384">
        <v>1</v>
      </c>
      <c r="AI119" s="383">
        <v>136195.0169783849</v>
      </c>
      <c r="AJ119" s="384">
        <v>1.0000000000000002</v>
      </c>
      <c r="AK119" s="383">
        <v>90152.353816000003</v>
      </c>
    </row>
    <row r="120" spans="2:37" hidden="1" outlineLevel="1" x14ac:dyDescent="0.25">
      <c r="B120" s="288">
        <v>42125</v>
      </c>
      <c r="C120" s="383"/>
      <c r="D120" s="384"/>
      <c r="E120" s="383"/>
      <c r="F120" s="384"/>
      <c r="G120" s="383"/>
      <c r="H120" s="383">
        <v>399583</v>
      </c>
      <c r="I120" s="384">
        <v>0.30704795715284661</v>
      </c>
      <c r="J120" s="383">
        <v>52228.839895109108</v>
      </c>
      <c r="K120" s="384">
        <v>0.38335771605815655</v>
      </c>
      <c r="L120" s="383">
        <v>34633.217473999997</v>
      </c>
      <c r="M120" s="383">
        <v>657398</v>
      </c>
      <c r="N120" s="384">
        <v>0.50515840998332528</v>
      </c>
      <c r="O120" s="383">
        <v>52176.372819235468</v>
      </c>
      <c r="P120" s="384">
        <v>0.38297260969899632</v>
      </c>
      <c r="Q120" s="383">
        <v>34598.426281</v>
      </c>
      <c r="R120" s="383">
        <v>179949</v>
      </c>
      <c r="S120" s="384">
        <v>0.13827658544456994</v>
      </c>
      <c r="T120" s="383">
        <v>23875.3155417302</v>
      </c>
      <c r="U120" s="384">
        <v>0.17524391609361781</v>
      </c>
      <c r="V120" s="383">
        <v>15831.846869999999</v>
      </c>
      <c r="W120" s="383">
        <v>64440</v>
      </c>
      <c r="X120" s="384">
        <v>4.9517047419258164E-2</v>
      </c>
      <c r="Y120" s="383">
        <v>7959.9534333190113</v>
      </c>
      <c r="Z120" s="384">
        <v>5.8425758149229193E-2</v>
      </c>
      <c r="AA120" s="383">
        <v>5278.2868410000001</v>
      </c>
      <c r="AB120" s="383"/>
      <c r="AC120" s="384"/>
      <c r="AD120" s="383"/>
      <c r="AE120" s="384"/>
      <c r="AF120" s="383"/>
      <c r="AG120" s="383">
        <v>1301370</v>
      </c>
      <c r="AH120" s="384">
        <v>1</v>
      </c>
      <c r="AI120" s="383">
        <v>136240.48168939381</v>
      </c>
      <c r="AJ120" s="384">
        <v>0.99999999999999989</v>
      </c>
      <c r="AK120" s="383">
        <v>90341.777466</v>
      </c>
    </row>
    <row r="121" spans="2:37" hidden="1" outlineLevel="1" x14ac:dyDescent="0.25">
      <c r="B121" s="288">
        <v>42156</v>
      </c>
      <c r="C121" s="383"/>
      <c r="D121" s="384"/>
      <c r="E121" s="383"/>
      <c r="F121" s="384"/>
      <c r="G121" s="383"/>
      <c r="H121" s="383">
        <v>399338</v>
      </c>
      <c r="I121" s="384">
        <v>0.3059121296827565</v>
      </c>
      <c r="J121" s="383">
        <v>51906.115625800543</v>
      </c>
      <c r="K121" s="384">
        <v>0.3815005204536413</v>
      </c>
      <c r="L121" s="383">
        <v>34585.973231000004</v>
      </c>
      <c r="M121" s="383">
        <v>661536</v>
      </c>
      <c r="N121" s="384">
        <v>0.50676841828679464</v>
      </c>
      <c r="O121" s="383">
        <v>52423.518253399277</v>
      </c>
      <c r="P121" s="384">
        <v>0.38530333577382458</v>
      </c>
      <c r="Q121" s="383">
        <v>34930.727855999998</v>
      </c>
      <c r="R121" s="383">
        <v>179401</v>
      </c>
      <c r="S121" s="384">
        <v>0.13742980126413262</v>
      </c>
      <c r="T121" s="383">
        <v>23714.03351235732</v>
      </c>
      <c r="U121" s="384">
        <v>0.17429383836463644</v>
      </c>
      <c r="V121" s="383">
        <v>15801.084677000001</v>
      </c>
      <c r="W121" s="383">
        <v>65126</v>
      </c>
      <c r="X121" s="384">
        <v>4.9889650766316254E-2</v>
      </c>
      <c r="Y121" s="383">
        <v>8014.1171799529893</v>
      </c>
      <c r="Z121" s="384">
        <v>5.8902305407897294E-2</v>
      </c>
      <c r="AA121" s="383">
        <v>5339.9496170000002</v>
      </c>
      <c r="AB121" s="383"/>
      <c r="AC121" s="384"/>
      <c r="AD121" s="383"/>
      <c r="AE121" s="384"/>
      <c r="AF121" s="383"/>
      <c r="AG121" s="383">
        <v>1305401</v>
      </c>
      <c r="AH121" s="384">
        <v>1</v>
      </c>
      <c r="AI121" s="383">
        <v>136057.78457151019</v>
      </c>
      <c r="AJ121" s="384">
        <v>0.99999999999999967</v>
      </c>
      <c r="AK121" s="383">
        <v>90657.735381000006</v>
      </c>
    </row>
    <row r="122" spans="2:37" hidden="1" outlineLevel="1" x14ac:dyDescent="0.25">
      <c r="B122" s="288">
        <v>42186</v>
      </c>
      <c r="C122" s="383"/>
      <c r="D122" s="384"/>
      <c r="E122" s="383"/>
      <c r="F122" s="384"/>
      <c r="G122" s="383"/>
      <c r="H122" s="383">
        <v>399884</v>
      </c>
      <c r="I122" s="384">
        <v>0.30448445346318287</v>
      </c>
      <c r="J122" s="383">
        <v>53987.950475175501</v>
      </c>
      <c r="K122" s="384">
        <v>0.37475226226590308</v>
      </c>
      <c r="L122" s="383">
        <v>36125.219816999997</v>
      </c>
      <c r="M122" s="383">
        <v>668244</v>
      </c>
      <c r="N122" s="384">
        <v>0.50882233127619803</v>
      </c>
      <c r="O122" s="383">
        <v>56711.227333349299</v>
      </c>
      <c r="P122" s="384">
        <v>0.39365563152505434</v>
      </c>
      <c r="Q122" s="383">
        <v>37947.459303000003</v>
      </c>
      <c r="R122" s="383">
        <v>179707</v>
      </c>
      <c r="S122" s="384">
        <v>0.13683465124513158</v>
      </c>
      <c r="T122" s="383">
        <v>24927.39727097785</v>
      </c>
      <c r="U122" s="384">
        <v>0.17303117524335843</v>
      </c>
      <c r="V122" s="383">
        <v>16679.790545</v>
      </c>
      <c r="W122" s="383">
        <v>65480</v>
      </c>
      <c r="X122" s="384">
        <v>4.9858564015487529E-2</v>
      </c>
      <c r="Y122" s="383">
        <v>8436.4657911317772</v>
      </c>
      <c r="Z122" s="384">
        <v>5.8560930965684301E-2</v>
      </c>
      <c r="AA122" s="383">
        <v>5645.1333770000001</v>
      </c>
      <c r="AB122" s="383"/>
      <c r="AC122" s="384"/>
      <c r="AD122" s="383"/>
      <c r="AE122" s="384"/>
      <c r="AF122" s="383"/>
      <c r="AG122" s="383">
        <v>1313315</v>
      </c>
      <c r="AH122" s="384">
        <v>1</v>
      </c>
      <c r="AI122" s="383">
        <v>144063.0408706344</v>
      </c>
      <c r="AJ122" s="384">
        <v>1.0000000000000002</v>
      </c>
      <c r="AK122" s="383">
        <v>96397.603042000002</v>
      </c>
    </row>
    <row r="123" spans="2:37" hidden="1" outlineLevel="1" x14ac:dyDescent="0.25">
      <c r="B123" s="288">
        <v>42217</v>
      </c>
      <c r="C123" s="383"/>
      <c r="D123" s="384"/>
      <c r="E123" s="383"/>
      <c r="F123" s="384"/>
      <c r="G123" s="383"/>
      <c r="H123" s="383">
        <v>399355</v>
      </c>
      <c r="I123" s="384">
        <v>0.30360058872005086</v>
      </c>
      <c r="J123" s="383">
        <v>53418.691637606084</v>
      </c>
      <c r="K123" s="384">
        <v>0.37509368627352196</v>
      </c>
      <c r="L123" s="383">
        <v>35985.813306999997</v>
      </c>
      <c r="M123" s="383">
        <v>670971</v>
      </c>
      <c r="N123" s="384">
        <v>0.51009049746236113</v>
      </c>
      <c r="O123" s="383">
        <v>56140.955643007583</v>
      </c>
      <c r="P123" s="384">
        <v>0.39420879391642288</v>
      </c>
      <c r="Q123" s="383">
        <v>37819.682337999999</v>
      </c>
      <c r="R123" s="383">
        <v>179457</v>
      </c>
      <c r="S123" s="384">
        <v>0.13642811746424652</v>
      </c>
      <c r="T123" s="383">
        <v>24566.479439547202</v>
      </c>
      <c r="U123" s="384">
        <v>0.17250013149433618</v>
      </c>
      <c r="V123" s="383">
        <v>16549.352213999999</v>
      </c>
      <c r="W123" s="383">
        <v>65613</v>
      </c>
      <c r="X123" s="384">
        <v>4.98807963533415E-2</v>
      </c>
      <c r="Y123" s="383">
        <v>8288.1382820301951</v>
      </c>
      <c r="Z123" s="384">
        <v>5.8197388315718787E-2</v>
      </c>
      <c r="AA123" s="383">
        <v>5583.3527130000002</v>
      </c>
      <c r="AB123" s="383"/>
      <c r="AC123" s="384"/>
      <c r="AD123" s="383"/>
      <c r="AE123" s="384"/>
      <c r="AF123" s="383"/>
      <c r="AG123" s="383">
        <v>1315396</v>
      </c>
      <c r="AH123" s="384">
        <v>1</v>
      </c>
      <c r="AI123" s="383">
        <v>142414.2650021911</v>
      </c>
      <c r="AJ123" s="384">
        <v>0.99999999999999978</v>
      </c>
      <c r="AK123" s="383">
        <v>95938.200572000002</v>
      </c>
    </row>
    <row r="124" spans="2:37" hidden="1" outlineLevel="1" x14ac:dyDescent="0.25">
      <c r="B124" s="288">
        <v>42248</v>
      </c>
      <c r="C124" s="383"/>
      <c r="D124" s="384"/>
      <c r="E124" s="383"/>
      <c r="F124" s="384"/>
      <c r="G124" s="383"/>
      <c r="H124" s="383">
        <v>399289</v>
      </c>
      <c r="I124" s="384">
        <v>0.30274441238063898</v>
      </c>
      <c r="J124" s="383">
        <v>53378.794575430373</v>
      </c>
      <c r="K124" s="384">
        <v>0.37349786872812069</v>
      </c>
      <c r="L124" s="383">
        <v>36142.935525000001</v>
      </c>
      <c r="M124" s="383">
        <v>674715</v>
      </c>
      <c r="N124" s="384">
        <v>0.51157481473169264</v>
      </c>
      <c r="O124" s="383">
        <v>56642.556653642103</v>
      </c>
      <c r="P124" s="384">
        <v>0.39633480594155185</v>
      </c>
      <c r="Q124" s="383">
        <v>38352.838227</v>
      </c>
      <c r="R124" s="383">
        <v>179362</v>
      </c>
      <c r="S124" s="384">
        <v>0.13599383727930439</v>
      </c>
      <c r="T124" s="383">
        <v>24604.926164204691</v>
      </c>
      <c r="U124" s="384">
        <v>0.17216363830690964</v>
      </c>
      <c r="V124" s="383">
        <v>16660.066362000001</v>
      </c>
      <c r="W124" s="383">
        <v>65532</v>
      </c>
      <c r="X124" s="384">
        <v>4.9686935608363951E-2</v>
      </c>
      <c r="Y124" s="383">
        <v>8289.6507677112095</v>
      </c>
      <c r="Z124" s="384">
        <v>5.8003687023417627E-2</v>
      </c>
      <c r="AA124" s="383">
        <v>5612.9464070000004</v>
      </c>
      <c r="AB124" s="383"/>
      <c r="AC124" s="384"/>
      <c r="AD124" s="383"/>
      <c r="AE124" s="384"/>
      <c r="AF124" s="383"/>
      <c r="AG124" s="383">
        <v>1318898</v>
      </c>
      <c r="AH124" s="384">
        <v>0.99999999999999989</v>
      </c>
      <c r="AI124" s="383">
        <v>142915.92816098841</v>
      </c>
      <c r="AJ124" s="384">
        <v>0.99999999999999978</v>
      </c>
      <c r="AK124" s="383">
        <v>96768.786521000002</v>
      </c>
    </row>
    <row r="125" spans="2:37" hidden="1" outlineLevel="1" x14ac:dyDescent="0.25">
      <c r="B125" s="288">
        <v>42278</v>
      </c>
      <c r="C125" s="383"/>
      <c r="D125" s="384"/>
      <c r="E125" s="383"/>
      <c r="F125" s="384"/>
      <c r="G125" s="383"/>
      <c r="H125" s="383">
        <v>399179</v>
      </c>
      <c r="I125" s="384">
        <v>0.30167767913621329</v>
      </c>
      <c r="J125" s="383">
        <v>53141.160495949509</v>
      </c>
      <c r="K125" s="384">
        <v>0.37219717869381974</v>
      </c>
      <c r="L125" s="383">
        <v>36128.802528</v>
      </c>
      <c r="M125" s="383">
        <v>679171</v>
      </c>
      <c r="N125" s="384">
        <v>0.51328033543002294</v>
      </c>
      <c r="O125" s="383">
        <v>56917.943628073423</v>
      </c>
      <c r="P125" s="384">
        <v>0.3986495183340516</v>
      </c>
      <c r="Q125" s="383">
        <v>38696.504300000001</v>
      </c>
      <c r="R125" s="383">
        <v>179490</v>
      </c>
      <c r="S125" s="384">
        <v>0.13564873560021676</v>
      </c>
      <c r="T125" s="383">
        <v>24499.127454696729</v>
      </c>
      <c r="U125" s="384">
        <v>0.17159027078065878</v>
      </c>
      <c r="V125" s="383">
        <v>16656.093499999999</v>
      </c>
      <c r="W125" s="383">
        <v>65357</v>
      </c>
      <c r="X125" s="384">
        <v>4.9393249833547086E-2</v>
      </c>
      <c r="Y125" s="383">
        <v>8218.6714661714541</v>
      </c>
      <c r="Z125" s="384">
        <v>5.7563032191469972E-2</v>
      </c>
      <c r="AA125" s="383">
        <v>5587.5851350000003</v>
      </c>
      <c r="AB125" s="383"/>
      <c r="AC125" s="384"/>
      <c r="AD125" s="383"/>
      <c r="AE125" s="384"/>
      <c r="AF125" s="383"/>
      <c r="AG125" s="383">
        <v>1323197</v>
      </c>
      <c r="AH125" s="384">
        <v>1</v>
      </c>
      <c r="AI125" s="383">
        <v>142776.90304489111</v>
      </c>
      <c r="AJ125" s="384">
        <v>1.0000000000000002</v>
      </c>
      <c r="AK125" s="383">
        <v>97068.985463000005</v>
      </c>
    </row>
    <row r="126" spans="2:37" hidden="1" outlineLevel="1" x14ac:dyDescent="0.25">
      <c r="B126" s="288">
        <v>42309</v>
      </c>
      <c r="C126" s="383"/>
      <c r="D126" s="384"/>
      <c r="E126" s="383"/>
      <c r="F126" s="384"/>
      <c r="G126" s="383"/>
      <c r="H126" s="383">
        <v>399281</v>
      </c>
      <c r="I126" s="384">
        <v>0.30120207449316361</v>
      </c>
      <c r="J126" s="383">
        <v>53142.536947319488</v>
      </c>
      <c r="K126" s="384">
        <v>0.37198648411545793</v>
      </c>
      <c r="L126" s="383">
        <v>36120.436371000003</v>
      </c>
      <c r="M126" s="383">
        <v>681546</v>
      </c>
      <c r="N126" s="384">
        <v>0.51413182461103257</v>
      </c>
      <c r="O126" s="383">
        <v>57057.875341617393</v>
      </c>
      <c r="P126" s="384">
        <v>0.39939302221244288</v>
      </c>
      <c r="Q126" s="383">
        <v>38781.651651</v>
      </c>
      <c r="R126" s="383">
        <v>179523</v>
      </c>
      <c r="S126" s="384">
        <v>0.13542517680339464</v>
      </c>
      <c r="T126" s="383">
        <v>24445.072479449889</v>
      </c>
      <c r="U126" s="384">
        <v>0.17111032118380581</v>
      </c>
      <c r="V126" s="383">
        <v>16615.064612999999</v>
      </c>
      <c r="W126" s="383">
        <v>65275</v>
      </c>
      <c r="X126" s="384">
        <v>4.9240924092409238E-2</v>
      </c>
      <c r="Y126" s="383">
        <v>8215.9879372317591</v>
      </c>
      <c r="Z126" s="384">
        <v>5.7510172488293536E-2</v>
      </c>
      <c r="AA126" s="383">
        <v>5584.3225890000003</v>
      </c>
      <c r="AB126" s="383"/>
      <c r="AC126" s="384"/>
      <c r="AD126" s="383"/>
      <c r="AE126" s="384"/>
      <c r="AF126" s="383"/>
      <c r="AG126" s="383">
        <v>1325625</v>
      </c>
      <c r="AH126" s="384">
        <v>1</v>
      </c>
      <c r="AI126" s="383">
        <v>142861.47270561851</v>
      </c>
      <c r="AJ126" s="384">
        <v>1.0000000000000002</v>
      </c>
      <c r="AK126" s="383">
        <v>97101.475223999994</v>
      </c>
    </row>
    <row r="127" spans="2:37" collapsed="1" x14ac:dyDescent="0.25">
      <c r="B127" s="288">
        <v>42339</v>
      </c>
      <c r="C127" s="383"/>
      <c r="D127" s="384"/>
      <c r="E127" s="383"/>
      <c r="F127" s="384"/>
      <c r="G127" s="383"/>
      <c r="H127" s="383">
        <v>399514</v>
      </c>
      <c r="I127" s="384">
        <v>0.30018153020344007</v>
      </c>
      <c r="J127" s="383">
        <v>53157.445385903397</v>
      </c>
      <c r="K127" s="384">
        <v>0.37071823113938573</v>
      </c>
      <c r="L127" s="383">
        <v>36134.185235999998</v>
      </c>
      <c r="M127" s="383">
        <v>686489</v>
      </c>
      <c r="N127" s="384">
        <v>0.51580499929371526</v>
      </c>
      <c r="O127" s="383">
        <v>57568.325618636482</v>
      </c>
      <c r="P127" s="384">
        <v>0.40147956110503003</v>
      </c>
      <c r="Q127" s="383">
        <v>39132.515239</v>
      </c>
      <c r="R127" s="383">
        <v>179778</v>
      </c>
      <c r="S127" s="384">
        <v>0.13507920908131893</v>
      </c>
      <c r="T127" s="383">
        <v>24487.716215637411</v>
      </c>
      <c r="U127" s="384">
        <v>0.17077650692581481</v>
      </c>
      <c r="V127" s="383">
        <v>16645.714768999998</v>
      </c>
      <c r="W127" s="383">
        <v>65127</v>
      </c>
      <c r="X127" s="384">
        <v>4.8934261421525758E-2</v>
      </c>
      <c r="Y127" s="383">
        <v>8176.9395805937083</v>
      </c>
      <c r="Z127" s="384">
        <v>5.7025700829769349E-2</v>
      </c>
      <c r="AA127" s="383">
        <v>5558.3380150000003</v>
      </c>
      <c r="AB127" s="383"/>
      <c r="AC127" s="384"/>
      <c r="AD127" s="383"/>
      <c r="AE127" s="384"/>
      <c r="AF127" s="383"/>
      <c r="AG127" s="383">
        <v>1330908</v>
      </c>
      <c r="AH127" s="384">
        <v>1</v>
      </c>
      <c r="AI127" s="383">
        <v>143390.42680077101</v>
      </c>
      <c r="AJ127" s="384">
        <v>0.99999999999999989</v>
      </c>
      <c r="AK127" s="383">
        <v>97470.753259000005</v>
      </c>
    </row>
    <row r="128" spans="2:37" hidden="1" outlineLevel="1" x14ac:dyDescent="0.25">
      <c r="B128" s="288">
        <v>42370</v>
      </c>
      <c r="C128" s="383"/>
      <c r="D128" s="384"/>
      <c r="E128" s="383"/>
      <c r="F128" s="384"/>
      <c r="G128" s="383"/>
      <c r="H128" s="383">
        <v>399298</v>
      </c>
      <c r="I128" s="384">
        <v>0.29925676328918782</v>
      </c>
      <c r="J128" s="383">
        <v>52863.272046577898</v>
      </c>
      <c r="K128" s="384">
        <v>0.36951208001121288</v>
      </c>
      <c r="L128" s="383">
        <v>36103.351443</v>
      </c>
      <c r="M128" s="383">
        <v>689781</v>
      </c>
      <c r="N128" s="384">
        <v>0.51696134074896261</v>
      </c>
      <c r="O128" s="383">
        <v>57599.353369353739</v>
      </c>
      <c r="P128" s="384">
        <v>0.40261709210995694</v>
      </c>
      <c r="Q128" s="383">
        <v>39337.892208999998</v>
      </c>
      <c r="R128" s="383">
        <v>179950</v>
      </c>
      <c r="S128" s="384">
        <v>0.13486482415110856</v>
      </c>
      <c r="T128" s="383">
        <v>24408.490174971059</v>
      </c>
      <c r="U128" s="384">
        <v>0.17061433440101764</v>
      </c>
      <c r="V128" s="383">
        <v>16669.953729000001</v>
      </c>
      <c r="W128" s="383">
        <v>65270</v>
      </c>
      <c r="X128" s="384">
        <v>4.8917071810741071E-2</v>
      </c>
      <c r="Y128" s="383">
        <v>8191.2493660798846</v>
      </c>
      <c r="Z128" s="384">
        <v>5.7256493477812351E-2</v>
      </c>
      <c r="AA128" s="383">
        <v>5594.2726050000001</v>
      </c>
      <c r="AB128" s="383"/>
      <c r="AC128" s="384"/>
      <c r="AD128" s="383"/>
      <c r="AE128" s="384"/>
      <c r="AF128" s="383"/>
      <c r="AG128" s="383">
        <v>1334299</v>
      </c>
      <c r="AH128" s="384">
        <v>1</v>
      </c>
      <c r="AI128" s="383">
        <v>143062.36495698261</v>
      </c>
      <c r="AJ128" s="384">
        <v>0.99999999999999978</v>
      </c>
      <c r="AK128" s="383">
        <v>97705.469985999996</v>
      </c>
    </row>
    <row r="129" spans="2:37" hidden="1" outlineLevel="1" x14ac:dyDescent="0.25">
      <c r="B129" s="288">
        <v>42401</v>
      </c>
      <c r="C129" s="383"/>
      <c r="D129" s="384"/>
      <c r="E129" s="383"/>
      <c r="F129" s="384"/>
      <c r="G129" s="383"/>
      <c r="H129" s="383">
        <v>399535</v>
      </c>
      <c r="I129" s="384">
        <v>0.29858269717249392</v>
      </c>
      <c r="J129" s="383">
        <v>52836.102140460367</v>
      </c>
      <c r="K129" s="384">
        <v>0.37102686461921608</v>
      </c>
      <c r="L129" s="383">
        <v>36185.100532999997</v>
      </c>
      <c r="M129" s="383">
        <v>693110</v>
      </c>
      <c r="N129" s="384">
        <v>0.51797878342880421</v>
      </c>
      <c r="O129" s="383">
        <v>57009.049502075482</v>
      </c>
      <c r="P129" s="384">
        <v>0.40033022942241681</v>
      </c>
      <c r="Q129" s="383">
        <v>39042.966910000003</v>
      </c>
      <c r="R129" s="383">
        <v>180257</v>
      </c>
      <c r="S129" s="384">
        <v>0.13471065424611672</v>
      </c>
      <c r="T129" s="383">
        <v>24428.946202375089</v>
      </c>
      <c r="U129" s="384">
        <v>0.17154549537593428</v>
      </c>
      <c r="V129" s="383">
        <v>16730.300654999999</v>
      </c>
      <c r="W129" s="383">
        <v>65203</v>
      </c>
      <c r="X129" s="384">
        <v>4.8727865152585183E-2</v>
      </c>
      <c r="Y129" s="383">
        <v>8130.9600602246301</v>
      </c>
      <c r="Z129" s="384">
        <v>5.7097410582432701E-2</v>
      </c>
      <c r="AA129" s="383">
        <v>5568.5335459999997</v>
      </c>
      <c r="AB129" s="383"/>
      <c r="AC129" s="384"/>
      <c r="AD129" s="383"/>
      <c r="AE129" s="384"/>
      <c r="AF129" s="383"/>
      <c r="AG129" s="383">
        <v>1338105</v>
      </c>
      <c r="AH129" s="384">
        <v>1</v>
      </c>
      <c r="AI129" s="383">
        <v>142405.05790513559</v>
      </c>
      <c r="AJ129" s="384">
        <v>0.99999999999999978</v>
      </c>
      <c r="AK129" s="383">
        <v>97526.901643999998</v>
      </c>
    </row>
    <row r="130" spans="2:37" hidden="1" outlineLevel="1" x14ac:dyDescent="0.25">
      <c r="B130" s="288">
        <v>42430</v>
      </c>
      <c r="C130" s="383"/>
      <c r="D130" s="384"/>
      <c r="E130" s="383"/>
      <c r="F130" s="384"/>
      <c r="G130" s="383"/>
      <c r="H130" s="383">
        <v>398717</v>
      </c>
      <c r="I130" s="384">
        <v>0.29784072811371098</v>
      </c>
      <c r="J130" s="383">
        <v>52283.392207185389</v>
      </c>
      <c r="K130" s="384">
        <v>0.37056776129568908</v>
      </c>
      <c r="L130" s="383">
        <v>35942.409026000001</v>
      </c>
      <c r="M130" s="383">
        <v>694882</v>
      </c>
      <c r="N130" s="384">
        <v>0.51907533622371693</v>
      </c>
      <c r="O130" s="383">
        <v>56692.781286068232</v>
      </c>
      <c r="P130" s="384">
        <v>0.40182008389113683</v>
      </c>
      <c r="Q130" s="383">
        <v>38973.659660999998</v>
      </c>
      <c r="R130" s="383">
        <v>180056</v>
      </c>
      <c r="S130" s="384">
        <v>0.13450143871779319</v>
      </c>
      <c r="T130" s="383">
        <v>24064.849736846249</v>
      </c>
      <c r="U130" s="384">
        <v>0.17056386581731206</v>
      </c>
      <c r="V130" s="383">
        <v>16543.468889</v>
      </c>
      <c r="W130" s="383">
        <v>65037</v>
      </c>
      <c r="X130" s="384">
        <v>4.8582496944778931E-2</v>
      </c>
      <c r="Y130" s="383">
        <v>8048.9410570702776</v>
      </c>
      <c r="Z130" s="384">
        <v>5.7048288995861597E-2</v>
      </c>
      <c r="AA130" s="383">
        <v>5533.2739419999998</v>
      </c>
      <c r="AB130" s="383"/>
      <c r="AC130" s="384"/>
      <c r="AD130" s="383"/>
      <c r="AE130" s="384"/>
      <c r="AF130" s="383"/>
      <c r="AG130" s="383">
        <v>1338692</v>
      </c>
      <c r="AH130" s="384">
        <v>1</v>
      </c>
      <c r="AI130" s="383">
        <v>141089.96428717021</v>
      </c>
      <c r="AJ130" s="384">
        <v>0.99999999999999956</v>
      </c>
      <c r="AK130" s="383">
        <v>96992.811518000002</v>
      </c>
    </row>
    <row r="131" spans="2:37" hidden="1" outlineLevel="1" x14ac:dyDescent="0.25">
      <c r="B131" s="288">
        <v>42461</v>
      </c>
      <c r="C131" s="383"/>
      <c r="D131" s="384"/>
      <c r="E131" s="383"/>
      <c r="F131" s="384"/>
      <c r="G131" s="383"/>
      <c r="H131" s="383">
        <v>399208</v>
      </c>
      <c r="I131" s="384">
        <v>0.29716928111337987</v>
      </c>
      <c r="J131" s="383">
        <v>52444.060791193297</v>
      </c>
      <c r="K131" s="384">
        <v>0.36991823816218194</v>
      </c>
      <c r="L131" s="383">
        <v>36170.375527999997</v>
      </c>
      <c r="M131" s="383">
        <v>698498</v>
      </c>
      <c r="N131" s="384">
        <v>0.5199598918837639</v>
      </c>
      <c r="O131" s="383">
        <v>56894.705100711151</v>
      </c>
      <c r="P131" s="384">
        <v>0.4013112019568516</v>
      </c>
      <c r="Q131" s="383">
        <v>39239.960026000001</v>
      </c>
      <c r="R131" s="383">
        <v>180600</v>
      </c>
      <c r="S131" s="384">
        <v>0.13443811789612534</v>
      </c>
      <c r="T131" s="383">
        <v>24343.594417930701</v>
      </c>
      <c r="U131" s="384">
        <v>0.17170942565774477</v>
      </c>
      <c r="V131" s="383">
        <v>16789.640972000001</v>
      </c>
      <c r="W131" s="383">
        <v>65063</v>
      </c>
      <c r="X131" s="384">
        <v>4.8432709106730913E-2</v>
      </c>
      <c r="Y131" s="383">
        <v>8089.6730231102611</v>
      </c>
      <c r="Z131" s="384">
        <v>5.7061134223221718E-2</v>
      </c>
      <c r="AA131" s="383">
        <v>5579.4022569999997</v>
      </c>
      <c r="AB131" s="383"/>
      <c r="AC131" s="384"/>
      <c r="AD131" s="383"/>
      <c r="AE131" s="384"/>
      <c r="AF131" s="383"/>
      <c r="AG131" s="383">
        <v>1343369</v>
      </c>
      <c r="AH131" s="384">
        <v>1</v>
      </c>
      <c r="AI131" s="383">
        <v>141772.0333329454</v>
      </c>
      <c r="AJ131" s="384">
        <v>1</v>
      </c>
      <c r="AK131" s="383">
        <v>97779.378782999993</v>
      </c>
    </row>
    <row r="132" spans="2:37" hidden="1" outlineLevel="1" x14ac:dyDescent="0.25">
      <c r="B132" s="288">
        <v>42491</v>
      </c>
      <c r="C132" s="383"/>
      <c r="D132" s="384"/>
      <c r="E132" s="383"/>
      <c r="F132" s="384"/>
      <c r="G132" s="383"/>
      <c r="H132" s="383">
        <v>399462</v>
      </c>
      <c r="I132" s="384">
        <v>0.29632272651743535</v>
      </c>
      <c r="J132" s="383">
        <v>52331.490653559304</v>
      </c>
      <c r="K132" s="384">
        <v>0.36804661406566541</v>
      </c>
      <c r="L132" s="383">
        <v>36173.747001000003</v>
      </c>
      <c r="M132" s="383">
        <v>702762</v>
      </c>
      <c r="N132" s="384">
        <v>0.5213120445320103</v>
      </c>
      <c r="O132" s="383">
        <v>57741.601010341699</v>
      </c>
      <c r="P132" s="384">
        <v>0.40609584166587176</v>
      </c>
      <c r="Q132" s="383">
        <v>39913.444855000002</v>
      </c>
      <c r="R132" s="383">
        <v>180821</v>
      </c>
      <c r="S132" s="384">
        <v>0.13413383934293921</v>
      </c>
      <c r="T132" s="383">
        <v>24076.13723505411</v>
      </c>
      <c r="U132" s="384">
        <v>0.16932712365875</v>
      </c>
      <c r="V132" s="383">
        <v>16642.447715999999</v>
      </c>
      <c r="W132" s="383">
        <v>65019</v>
      </c>
      <c r="X132" s="384">
        <v>4.8231389607615069E-2</v>
      </c>
      <c r="Y132" s="383">
        <v>8037.8980942102726</v>
      </c>
      <c r="Z132" s="384">
        <v>5.6530420609712681E-2</v>
      </c>
      <c r="AA132" s="383">
        <v>5556.1362470000004</v>
      </c>
      <c r="AB132" s="383"/>
      <c r="AC132" s="384"/>
      <c r="AD132" s="383"/>
      <c r="AE132" s="384"/>
      <c r="AF132" s="383"/>
      <c r="AG132" s="383">
        <v>1348064</v>
      </c>
      <c r="AH132" s="384">
        <v>0.99999999999999989</v>
      </c>
      <c r="AI132" s="383">
        <v>142187.12699316541</v>
      </c>
      <c r="AJ132" s="384">
        <v>0.99999999999999989</v>
      </c>
      <c r="AK132" s="383">
        <v>98285.775819000002</v>
      </c>
    </row>
    <row r="133" spans="2:37" hidden="1" outlineLevel="1" x14ac:dyDescent="0.25">
      <c r="B133" s="288">
        <v>42522</v>
      </c>
      <c r="C133" s="383"/>
      <c r="D133" s="384"/>
      <c r="E133" s="383"/>
      <c r="F133" s="384"/>
      <c r="G133" s="383"/>
      <c r="H133" s="383">
        <v>399721</v>
      </c>
      <c r="I133" s="384">
        <v>0.29575925558709232</v>
      </c>
      <c r="J133" s="383">
        <v>51980.421743906008</v>
      </c>
      <c r="K133" s="384">
        <v>0.36841563381648229</v>
      </c>
      <c r="L133" s="383">
        <v>36092.681343999997</v>
      </c>
      <c r="M133" s="383">
        <v>705597</v>
      </c>
      <c r="N133" s="384">
        <v>0.52208126034030133</v>
      </c>
      <c r="O133" s="383">
        <v>56912.485109277441</v>
      </c>
      <c r="P133" s="384">
        <v>0.40337204990191722</v>
      </c>
      <c r="Q133" s="383">
        <v>39517.266706000002</v>
      </c>
      <c r="R133" s="383">
        <v>181197</v>
      </c>
      <c r="S133" s="384">
        <v>0.13407023857794403</v>
      </c>
      <c r="T133" s="383">
        <v>24215.254481486729</v>
      </c>
      <c r="U133" s="384">
        <v>0.17162766342637925</v>
      </c>
      <c r="V133" s="383">
        <v>16813.897123999999</v>
      </c>
      <c r="W133" s="383">
        <v>64993</v>
      </c>
      <c r="X133" s="384">
        <v>4.8089245494662258E-2</v>
      </c>
      <c r="Y133" s="383">
        <v>7983.630035396528</v>
      </c>
      <c r="Z133" s="384">
        <v>5.6584652855221268E-2</v>
      </c>
      <c r="AA133" s="383">
        <v>5543.4451120000003</v>
      </c>
      <c r="AB133" s="383"/>
      <c r="AC133" s="384"/>
      <c r="AD133" s="383"/>
      <c r="AE133" s="384"/>
      <c r="AF133" s="383"/>
      <c r="AG133" s="383">
        <v>1351508</v>
      </c>
      <c r="AH133" s="384">
        <v>0.99999999999999978</v>
      </c>
      <c r="AI133" s="383">
        <v>141091.7913700667</v>
      </c>
      <c r="AJ133" s="384">
        <v>1</v>
      </c>
      <c r="AK133" s="383">
        <v>97967.290286000003</v>
      </c>
    </row>
    <row r="134" spans="2:37" hidden="1" outlineLevel="1" x14ac:dyDescent="0.25">
      <c r="B134" s="288">
        <v>42552</v>
      </c>
      <c r="C134" s="383"/>
      <c r="D134" s="384"/>
      <c r="E134" s="383"/>
      <c r="F134" s="384"/>
      <c r="G134" s="383"/>
      <c r="H134" s="383">
        <v>399646</v>
      </c>
      <c r="I134" s="384">
        <v>0.29512269148090081</v>
      </c>
      <c r="J134" s="383">
        <v>54015.886923551407</v>
      </c>
      <c r="K134" s="384">
        <v>0.36413976180336727</v>
      </c>
      <c r="L134" s="383">
        <v>37596.74583</v>
      </c>
      <c r="M134" s="383">
        <v>708121</v>
      </c>
      <c r="N134" s="384">
        <v>0.52291922204687891</v>
      </c>
      <c r="O134" s="383">
        <v>60964.368475510491</v>
      </c>
      <c r="P134" s="384">
        <v>0.41098187736108249</v>
      </c>
      <c r="Q134" s="383">
        <v>42433.106199000002</v>
      </c>
      <c r="R134" s="383">
        <v>181484</v>
      </c>
      <c r="S134" s="384">
        <v>0.13401872292158512</v>
      </c>
      <c r="T134" s="383">
        <v>25038.254495223351</v>
      </c>
      <c r="U134" s="384">
        <v>0.16879152684776974</v>
      </c>
      <c r="V134" s="383">
        <v>17427.407822000001</v>
      </c>
      <c r="W134" s="383">
        <v>64918</v>
      </c>
      <c r="X134" s="384">
        <v>4.7939363550635113E-2</v>
      </c>
      <c r="Y134" s="383">
        <v>8319.8277155459346</v>
      </c>
      <c r="Z134" s="384">
        <v>5.6086833987780478E-2</v>
      </c>
      <c r="AA134" s="383">
        <v>5790.8601669999998</v>
      </c>
      <c r="AB134" s="383"/>
      <c r="AC134" s="384"/>
      <c r="AD134" s="383"/>
      <c r="AE134" s="384"/>
      <c r="AF134" s="383"/>
      <c r="AG134" s="383">
        <v>1354169</v>
      </c>
      <c r="AH134" s="384">
        <v>0.99999999999999989</v>
      </c>
      <c r="AI134" s="383">
        <v>148338.33760983119</v>
      </c>
      <c r="AJ134" s="384">
        <v>1</v>
      </c>
      <c r="AK134" s="383">
        <v>103248.120018</v>
      </c>
    </row>
    <row r="135" spans="2:37" hidden="1" outlineLevel="1" x14ac:dyDescent="0.25">
      <c r="B135" s="288">
        <v>42583</v>
      </c>
      <c r="C135" s="383"/>
      <c r="D135" s="384"/>
      <c r="E135" s="383"/>
      <c r="F135" s="384"/>
      <c r="G135" s="383"/>
      <c r="H135" s="383">
        <v>399449</v>
      </c>
      <c r="I135" s="384">
        <v>0.29425860936031284</v>
      </c>
      <c r="J135" s="383">
        <v>53997.044549763697</v>
      </c>
      <c r="K135" s="384">
        <v>0.36295523378433653</v>
      </c>
      <c r="L135" s="383">
        <v>37601.987856</v>
      </c>
      <c r="M135" s="383">
        <v>711670</v>
      </c>
      <c r="N135" s="384">
        <v>0.52425972908544971</v>
      </c>
      <c r="O135" s="383">
        <v>61523.425440020423</v>
      </c>
      <c r="P135" s="384">
        <v>0.41354576810618299</v>
      </c>
      <c r="Q135" s="383">
        <v>42843.142908000002</v>
      </c>
      <c r="R135" s="383">
        <v>181484</v>
      </c>
      <c r="S135" s="384">
        <v>0.13369223470617528</v>
      </c>
      <c r="T135" s="383">
        <v>24951.43003508565</v>
      </c>
      <c r="U135" s="384">
        <v>0.16771755189845222</v>
      </c>
      <c r="V135" s="383">
        <v>17375.457804999998</v>
      </c>
      <c r="W135" s="383">
        <v>64873</v>
      </c>
      <c r="X135" s="384">
        <v>4.7789426848062137E-2</v>
      </c>
      <c r="Y135" s="383">
        <v>8298.6356325608467</v>
      </c>
      <c r="Z135" s="384">
        <v>5.5781446211028395E-2</v>
      </c>
      <c r="AA135" s="383">
        <v>5778.9310299999997</v>
      </c>
      <c r="AB135" s="383"/>
      <c r="AC135" s="384"/>
      <c r="AD135" s="383"/>
      <c r="AE135" s="384"/>
      <c r="AF135" s="383"/>
      <c r="AG135" s="383">
        <v>1357476</v>
      </c>
      <c r="AH135" s="384">
        <v>1</v>
      </c>
      <c r="AI135" s="383">
        <v>148770.53565743059</v>
      </c>
      <c r="AJ135" s="384">
        <v>1.0000000000000002</v>
      </c>
      <c r="AK135" s="383">
        <v>103599.51959900001</v>
      </c>
    </row>
    <row r="136" spans="2:37" hidden="1" outlineLevel="1" x14ac:dyDescent="0.25">
      <c r="B136" s="288">
        <v>42614</v>
      </c>
      <c r="C136" s="383"/>
      <c r="D136" s="384"/>
      <c r="E136" s="383"/>
      <c r="F136" s="384"/>
      <c r="G136" s="383"/>
      <c r="H136" s="383">
        <v>399070</v>
      </c>
      <c r="I136" s="384">
        <v>0.29345540113243623</v>
      </c>
      <c r="J136" s="383">
        <v>53837.195193597872</v>
      </c>
      <c r="K136" s="384">
        <v>0.36204289080456314</v>
      </c>
      <c r="L136" s="383">
        <v>37581.915933999997</v>
      </c>
      <c r="M136" s="383">
        <v>714716</v>
      </c>
      <c r="N136" s="384">
        <v>0.52556511508199133</v>
      </c>
      <c r="O136" s="383">
        <v>61689.265967283791</v>
      </c>
      <c r="P136" s="384">
        <v>0.41484628057040535</v>
      </c>
      <c r="Q136" s="383">
        <v>43063.179634</v>
      </c>
      <c r="R136" s="383">
        <v>181431</v>
      </c>
      <c r="S136" s="384">
        <v>0.13341495698213104</v>
      </c>
      <c r="T136" s="383">
        <v>24942.610026753398</v>
      </c>
      <c r="U136" s="384">
        <v>0.16773337849090869</v>
      </c>
      <c r="V136" s="383">
        <v>17411.588211999999</v>
      </c>
      <c r="W136" s="383">
        <v>64683</v>
      </c>
      <c r="X136" s="384">
        <v>4.7564526803441427E-2</v>
      </c>
      <c r="Y136" s="383">
        <v>8234.8436274195719</v>
      </c>
      <c r="Z136" s="384">
        <v>5.5377450134123075E-2</v>
      </c>
      <c r="AA136" s="383">
        <v>5748.4644179999996</v>
      </c>
      <c r="AB136" s="383"/>
      <c r="AC136" s="384"/>
      <c r="AD136" s="383"/>
      <c r="AE136" s="384"/>
      <c r="AF136" s="383"/>
      <c r="AG136" s="383">
        <v>1359900</v>
      </c>
      <c r="AH136" s="384">
        <v>1</v>
      </c>
      <c r="AI136" s="383">
        <v>148703.9148150546</v>
      </c>
      <c r="AJ136" s="384">
        <v>1.0000000000000002</v>
      </c>
      <c r="AK136" s="383">
        <v>103805.148198</v>
      </c>
    </row>
    <row r="137" spans="2:37" hidden="1" outlineLevel="1" x14ac:dyDescent="0.25">
      <c r="B137" s="288">
        <v>42644</v>
      </c>
      <c r="C137" s="383"/>
      <c r="D137" s="384"/>
      <c r="E137" s="383"/>
      <c r="F137" s="384"/>
      <c r="G137" s="383"/>
      <c r="H137" s="383">
        <v>398626</v>
      </c>
      <c r="I137" s="384">
        <v>0.29252982163889674</v>
      </c>
      <c r="J137" s="383">
        <v>53628.883790525142</v>
      </c>
      <c r="K137" s="384">
        <v>0.36109326551902954</v>
      </c>
      <c r="L137" s="383">
        <v>37498.569123000001</v>
      </c>
      <c r="M137" s="383">
        <v>717878</v>
      </c>
      <c r="N137" s="384">
        <v>0.52681140542385074</v>
      </c>
      <c r="O137" s="383">
        <v>61733.006519220216</v>
      </c>
      <c r="P137" s="384">
        <v>0.41565983363373837</v>
      </c>
      <c r="Q137" s="383">
        <v>43165.161168999999</v>
      </c>
      <c r="R137" s="383">
        <v>181586</v>
      </c>
      <c r="S137" s="384">
        <v>0.13325603496039071</v>
      </c>
      <c r="T137" s="383">
        <v>24944.38993304452</v>
      </c>
      <c r="U137" s="384">
        <v>0.16795522451083356</v>
      </c>
      <c r="V137" s="383">
        <v>17441.700517000001</v>
      </c>
      <c r="W137" s="383">
        <v>64595</v>
      </c>
      <c r="X137" s="384">
        <v>4.7402737976861856E-2</v>
      </c>
      <c r="Y137" s="383">
        <v>8211.8144202049352</v>
      </c>
      <c r="Z137" s="384">
        <v>5.5291676336398726E-2</v>
      </c>
      <c r="AA137" s="383">
        <v>5741.8925939999999</v>
      </c>
      <c r="AB137" s="383"/>
      <c r="AC137" s="384"/>
      <c r="AD137" s="383"/>
      <c r="AE137" s="384"/>
      <c r="AF137" s="383"/>
      <c r="AG137" s="383">
        <v>1362685</v>
      </c>
      <c r="AH137" s="384">
        <v>1</v>
      </c>
      <c r="AI137" s="383">
        <v>148518.09466299479</v>
      </c>
      <c r="AJ137" s="384">
        <v>1.0000000000000002</v>
      </c>
      <c r="AK137" s="383">
        <v>103847.323403</v>
      </c>
    </row>
    <row r="138" spans="2:37" hidden="1" outlineLevel="1" x14ac:dyDescent="0.25">
      <c r="B138" s="288">
        <v>42675</v>
      </c>
      <c r="C138" s="383"/>
      <c r="D138" s="384"/>
      <c r="E138" s="383"/>
      <c r="F138" s="384"/>
      <c r="G138" s="383"/>
      <c r="H138" s="383">
        <v>399214</v>
      </c>
      <c r="I138" s="384">
        <v>0.29169793370826991</v>
      </c>
      <c r="J138" s="383">
        <v>53979.436729883753</v>
      </c>
      <c r="K138" s="384">
        <v>0.3601125847902451</v>
      </c>
      <c r="L138" s="383">
        <v>37763.975308000001</v>
      </c>
      <c r="M138" s="383">
        <v>723119</v>
      </c>
      <c r="N138" s="384">
        <v>0.52836904047751443</v>
      </c>
      <c r="O138" s="383">
        <v>62729.988729573342</v>
      </c>
      <c r="P138" s="384">
        <v>0.41849007240128439</v>
      </c>
      <c r="Q138" s="383">
        <v>43885.855224999999</v>
      </c>
      <c r="R138" s="383">
        <v>181722</v>
      </c>
      <c r="S138" s="384">
        <v>0.13278074393516817</v>
      </c>
      <c r="T138" s="383">
        <v>24983.461101222849</v>
      </c>
      <c r="U138" s="384">
        <v>0.16667196434799253</v>
      </c>
      <c r="V138" s="383">
        <v>17478.411508000001</v>
      </c>
      <c r="W138" s="383">
        <v>64532</v>
      </c>
      <c r="X138" s="384">
        <v>4.7152281879047513E-2</v>
      </c>
      <c r="Y138" s="383">
        <v>8203.1154391534255</v>
      </c>
      <c r="Z138" s="384">
        <v>5.4725378460477841E-2</v>
      </c>
      <c r="AA138" s="383">
        <v>5738.8936910000002</v>
      </c>
      <c r="AB138" s="383"/>
      <c r="AC138" s="384"/>
      <c r="AD138" s="383"/>
      <c r="AE138" s="384"/>
      <c r="AF138" s="383"/>
      <c r="AG138" s="383">
        <v>1368587</v>
      </c>
      <c r="AH138" s="384">
        <v>1</v>
      </c>
      <c r="AI138" s="383">
        <v>149896.00199983339</v>
      </c>
      <c r="AJ138" s="384">
        <v>0.99999999999999989</v>
      </c>
      <c r="AK138" s="383">
        <v>104867.135732</v>
      </c>
    </row>
    <row r="139" spans="2:37" collapsed="1" x14ac:dyDescent="0.25">
      <c r="B139" s="288">
        <v>42705</v>
      </c>
      <c r="C139" s="383"/>
      <c r="D139" s="384"/>
      <c r="E139" s="383"/>
      <c r="F139" s="384"/>
      <c r="G139" s="383"/>
      <c r="H139" s="383">
        <v>398651</v>
      </c>
      <c r="I139" s="384">
        <v>0.29085683809168039</v>
      </c>
      <c r="J139" s="383">
        <v>53643.618543213022</v>
      </c>
      <c r="K139" s="384">
        <v>0.35938110050103428</v>
      </c>
      <c r="L139" s="383">
        <v>37452.392572999997</v>
      </c>
      <c r="M139" s="383">
        <v>725754</v>
      </c>
      <c r="N139" s="384">
        <v>0.52951206361551695</v>
      </c>
      <c r="O139" s="383">
        <v>62553.781439702943</v>
      </c>
      <c r="P139" s="384">
        <v>0.41907401895702023</v>
      </c>
      <c r="Q139" s="383">
        <v>43673.205556000001</v>
      </c>
      <c r="R139" s="383">
        <v>181321</v>
      </c>
      <c r="S139" s="384">
        <v>0.13229228758894768</v>
      </c>
      <c r="T139" s="383">
        <v>24818.913666072109</v>
      </c>
      <c r="U139" s="384">
        <v>0.16627231250941851</v>
      </c>
      <c r="V139" s="383">
        <v>17327.833638</v>
      </c>
      <c r="W139" s="383">
        <v>64883</v>
      </c>
      <c r="X139" s="384">
        <v>4.7338810703855004E-2</v>
      </c>
      <c r="Y139" s="383">
        <v>8250.351928097969</v>
      </c>
      <c r="Z139" s="384">
        <v>5.5272568032527176E-2</v>
      </c>
      <c r="AA139" s="383">
        <v>5760.1524220000001</v>
      </c>
      <c r="AB139" s="383"/>
      <c r="AC139" s="384"/>
      <c r="AD139" s="383"/>
      <c r="AE139" s="384"/>
      <c r="AF139" s="383"/>
      <c r="AG139" s="383">
        <v>1370609</v>
      </c>
      <c r="AH139" s="384">
        <v>1</v>
      </c>
      <c r="AI139" s="383">
        <v>149266.66557708601</v>
      </c>
      <c r="AJ139" s="384">
        <v>1.0000000000000002</v>
      </c>
      <c r="AK139" s="383">
        <v>104213.584189</v>
      </c>
    </row>
    <row r="140" spans="2:37" hidden="1" outlineLevel="1" x14ac:dyDescent="0.25">
      <c r="B140" s="288">
        <v>42736</v>
      </c>
      <c r="C140" s="383"/>
      <c r="D140" s="384"/>
      <c r="E140" s="383"/>
      <c r="F140" s="384"/>
      <c r="G140" s="383"/>
      <c r="H140" s="383">
        <v>399136</v>
      </c>
      <c r="I140" s="384">
        <v>0.29047106503970965</v>
      </c>
      <c r="J140" s="383">
        <v>58961.375690986402</v>
      </c>
      <c r="K140" s="384">
        <v>0.35963613566129055</v>
      </c>
      <c r="L140" s="383">
        <v>41387.425367999997</v>
      </c>
      <c r="M140" s="383">
        <v>728656</v>
      </c>
      <c r="N140" s="384">
        <v>0.53027911380475501</v>
      </c>
      <c r="O140" s="383">
        <v>68603.304004851889</v>
      </c>
      <c r="P140" s="384">
        <v>0.41844727767560191</v>
      </c>
      <c r="Q140" s="383">
        <v>48155.493172000002</v>
      </c>
      <c r="R140" s="383">
        <v>181456</v>
      </c>
      <c r="S140" s="384">
        <v>0.13205453173315751</v>
      </c>
      <c r="T140" s="383">
        <v>27302.007505125071</v>
      </c>
      <c r="U140" s="384">
        <v>0.16652916184314473</v>
      </c>
      <c r="V140" s="383">
        <v>19164.406949</v>
      </c>
      <c r="W140" s="383">
        <v>64851</v>
      </c>
      <c r="X140" s="384">
        <v>4.7195289422377863E-2</v>
      </c>
      <c r="Y140" s="383">
        <v>9080.6191023078172</v>
      </c>
      <c r="Z140" s="384">
        <v>5.5387424819962616E-2</v>
      </c>
      <c r="AA140" s="383">
        <v>6374.0616799999998</v>
      </c>
      <c r="AB140" s="383"/>
      <c r="AC140" s="384"/>
      <c r="AD140" s="383"/>
      <c r="AE140" s="384"/>
      <c r="AF140" s="383"/>
      <c r="AG140" s="383">
        <v>1374099</v>
      </c>
      <c r="AH140" s="384">
        <v>1</v>
      </c>
      <c r="AI140" s="383">
        <v>163947.30630327121</v>
      </c>
      <c r="AJ140" s="384">
        <v>0.99999999999999978</v>
      </c>
      <c r="AK140" s="383">
        <v>115081.38716899999</v>
      </c>
    </row>
    <row r="141" spans="2:37" hidden="1" outlineLevel="1" x14ac:dyDescent="0.25">
      <c r="B141" s="288">
        <v>42767</v>
      </c>
      <c r="C141" s="383"/>
      <c r="D141" s="384"/>
      <c r="E141" s="383"/>
      <c r="F141" s="384"/>
      <c r="G141" s="383"/>
      <c r="H141" s="383">
        <v>399559</v>
      </c>
      <c r="I141" s="384">
        <v>0.29025631041724631</v>
      </c>
      <c r="J141" s="383">
        <v>58864.070737005801</v>
      </c>
      <c r="K141" s="384">
        <v>0.36057309167696383</v>
      </c>
      <c r="L141" s="383">
        <v>41418.038375999997</v>
      </c>
      <c r="M141" s="383">
        <v>730826</v>
      </c>
      <c r="N141" s="384">
        <v>0.53090246576098765</v>
      </c>
      <c r="O141" s="383">
        <v>68222.309790824846</v>
      </c>
      <c r="P141" s="384">
        <v>0.417897179971223</v>
      </c>
      <c r="Q141" s="383">
        <v>48002.698583999998</v>
      </c>
      <c r="R141" s="383">
        <v>181490</v>
      </c>
      <c r="S141" s="384">
        <v>0.13184190013896829</v>
      </c>
      <c r="T141" s="383">
        <v>27130.765243420261</v>
      </c>
      <c r="U141" s="384">
        <v>0.16619006774249409</v>
      </c>
      <c r="V141" s="383">
        <v>19089.795557000001</v>
      </c>
      <c r="W141" s="383">
        <v>64698</v>
      </c>
      <c r="X141" s="384">
        <v>4.6999323682797786E-2</v>
      </c>
      <c r="Y141" s="383">
        <v>9034.2784080716519</v>
      </c>
      <c r="Z141" s="384">
        <v>5.5339660609318789E-2</v>
      </c>
      <c r="AA141" s="383">
        <v>6356.7144630000003</v>
      </c>
      <c r="AB141" s="383"/>
      <c r="AC141" s="384"/>
      <c r="AD141" s="383"/>
      <c r="AE141" s="384"/>
      <c r="AF141" s="383"/>
      <c r="AG141" s="383">
        <v>1376573</v>
      </c>
      <c r="AH141" s="384">
        <v>1</v>
      </c>
      <c r="AI141" s="383">
        <v>163251.42417932261</v>
      </c>
      <c r="AJ141" s="384">
        <v>0.99999999999999978</v>
      </c>
      <c r="AK141" s="383">
        <v>114867.24698</v>
      </c>
    </row>
    <row r="142" spans="2:37" hidden="1" outlineLevel="1" x14ac:dyDescent="0.25">
      <c r="B142" s="288">
        <v>42795</v>
      </c>
      <c r="C142" s="383"/>
      <c r="D142" s="384"/>
      <c r="E142" s="383"/>
      <c r="F142" s="384"/>
      <c r="G142" s="383"/>
      <c r="H142" s="383">
        <v>399302</v>
      </c>
      <c r="I142" s="384">
        <v>0.28970931266029887</v>
      </c>
      <c r="J142" s="383">
        <v>58533.729449717051</v>
      </c>
      <c r="K142" s="384">
        <v>0.36023205079881737</v>
      </c>
      <c r="L142" s="383">
        <v>41343.034451</v>
      </c>
      <c r="M142" s="383">
        <v>732688</v>
      </c>
      <c r="N142" s="384">
        <v>0.53159397367017702</v>
      </c>
      <c r="O142" s="383">
        <v>67866.084369460514</v>
      </c>
      <c r="P142" s="384">
        <v>0.41766583099916427</v>
      </c>
      <c r="Q142" s="383">
        <v>47934.582172000002</v>
      </c>
      <c r="R142" s="383">
        <v>181740</v>
      </c>
      <c r="S142" s="384">
        <v>0.1318595210714765</v>
      </c>
      <c r="T142" s="383">
        <v>27121.386193202081</v>
      </c>
      <c r="U142" s="384">
        <v>0.16691218312471875</v>
      </c>
      <c r="V142" s="383">
        <v>19156.141498000001</v>
      </c>
      <c r="W142" s="383">
        <v>64555</v>
      </c>
      <c r="X142" s="384">
        <v>4.6837192598047576E-2</v>
      </c>
      <c r="Y142" s="383">
        <v>8967.7548707798087</v>
      </c>
      <c r="Z142" s="384">
        <v>5.5189935077299433E-2</v>
      </c>
      <c r="AA142" s="383">
        <v>6334.0265870000003</v>
      </c>
      <c r="AB142" s="383"/>
      <c r="AC142" s="384"/>
      <c r="AD142" s="383"/>
      <c r="AE142" s="384"/>
      <c r="AF142" s="383"/>
      <c r="AG142" s="383">
        <v>1378285</v>
      </c>
      <c r="AH142" s="384">
        <v>0.99999999999999989</v>
      </c>
      <c r="AI142" s="383">
        <v>162488.95488315949</v>
      </c>
      <c r="AJ142" s="384">
        <v>0.99999999999999978</v>
      </c>
      <c r="AK142" s="383">
        <v>114767.78470800001</v>
      </c>
    </row>
    <row r="143" spans="2:37" hidden="1" outlineLevel="1" x14ac:dyDescent="0.25">
      <c r="B143" s="288">
        <v>42826</v>
      </c>
      <c r="C143" s="383"/>
      <c r="D143" s="384"/>
      <c r="E143" s="383"/>
      <c r="F143" s="384"/>
      <c r="G143" s="383"/>
      <c r="H143" s="383">
        <v>399802</v>
      </c>
      <c r="I143" s="384">
        <v>0.28894902004998402</v>
      </c>
      <c r="J143" s="383">
        <v>58597.660520360267</v>
      </c>
      <c r="K143" s="384">
        <v>0.35956410699698177</v>
      </c>
      <c r="L143" s="383">
        <v>41487.280736000001</v>
      </c>
      <c r="M143" s="383">
        <v>737384</v>
      </c>
      <c r="N143" s="384">
        <v>0.53292976073290632</v>
      </c>
      <c r="O143" s="383">
        <v>68433.011804924186</v>
      </c>
      <c r="P143" s="384">
        <v>0.4199153099329262</v>
      </c>
      <c r="Q143" s="383">
        <v>48450.732454999998</v>
      </c>
      <c r="R143" s="383">
        <v>181857</v>
      </c>
      <c r="S143" s="384">
        <v>0.1314335644624838</v>
      </c>
      <c r="T143" s="383">
        <v>26987.636090651889</v>
      </c>
      <c r="U143" s="384">
        <v>0.16560021653975585</v>
      </c>
      <c r="V143" s="383">
        <v>19107.309488999999</v>
      </c>
      <c r="W143" s="383">
        <v>64599</v>
      </c>
      <c r="X143" s="384">
        <v>4.6687654754625836E-2</v>
      </c>
      <c r="Y143" s="383">
        <v>8950.2954576759275</v>
      </c>
      <c r="Z143" s="384">
        <v>5.492036653033603E-2</v>
      </c>
      <c r="AA143" s="383">
        <v>6336.8301229999997</v>
      </c>
      <c r="AB143" s="383"/>
      <c r="AC143" s="384"/>
      <c r="AD143" s="383"/>
      <c r="AE143" s="384"/>
      <c r="AF143" s="383"/>
      <c r="AG143" s="383">
        <v>1383642</v>
      </c>
      <c r="AH143" s="384">
        <v>1</v>
      </c>
      <c r="AI143" s="383">
        <v>162968.6038736123</v>
      </c>
      <c r="AJ143" s="384">
        <v>0.99999999999999989</v>
      </c>
      <c r="AK143" s="383">
        <v>115382.152803</v>
      </c>
    </row>
    <row r="144" spans="2:37" hidden="1" outlineLevel="1" x14ac:dyDescent="0.25">
      <c r="B144" s="288">
        <v>42856</v>
      </c>
      <c r="C144" s="383"/>
      <c r="D144" s="384"/>
      <c r="E144" s="383"/>
      <c r="F144" s="384"/>
      <c r="G144" s="383"/>
      <c r="H144" s="383">
        <v>400546</v>
      </c>
      <c r="I144" s="384">
        <v>0.28826524553707977</v>
      </c>
      <c r="J144" s="383">
        <v>58684.561359705978</v>
      </c>
      <c r="K144" s="384">
        <v>0.35874386662098345</v>
      </c>
      <c r="L144" s="383">
        <v>41601.521114000003</v>
      </c>
      <c r="M144" s="383">
        <v>742094</v>
      </c>
      <c r="N144" s="384">
        <v>0.53407076620811011</v>
      </c>
      <c r="O144" s="383">
        <v>68868.313185182953</v>
      </c>
      <c r="P144" s="384">
        <v>0.42099803401923513</v>
      </c>
      <c r="Q144" s="383">
        <v>48820.788955000004</v>
      </c>
      <c r="R144" s="383">
        <v>182262</v>
      </c>
      <c r="S144" s="384">
        <v>0.13117045278714362</v>
      </c>
      <c r="T144" s="383">
        <v>27095.839623946769</v>
      </c>
      <c r="U144" s="384">
        <v>0.16563924226092946</v>
      </c>
      <c r="V144" s="383">
        <v>19208.257130999998</v>
      </c>
      <c r="W144" s="383">
        <v>64603</v>
      </c>
      <c r="X144" s="384">
        <v>4.649353546766654E-2</v>
      </c>
      <c r="Y144" s="383">
        <v>8934.7413824944961</v>
      </c>
      <c r="Z144" s="384">
        <v>5.4618857098851899E-2</v>
      </c>
      <c r="AA144" s="383">
        <v>6333.8435810000001</v>
      </c>
      <c r="AB144" s="383"/>
      <c r="AC144" s="384"/>
      <c r="AD144" s="383"/>
      <c r="AE144" s="384"/>
      <c r="AF144" s="383"/>
      <c r="AG144" s="383">
        <v>1389505</v>
      </c>
      <c r="AH144" s="384">
        <v>1</v>
      </c>
      <c r="AI144" s="383">
        <v>163583.4555513302</v>
      </c>
      <c r="AJ144" s="384">
        <v>1</v>
      </c>
      <c r="AK144" s="383">
        <v>115964.410781</v>
      </c>
    </row>
    <row r="145" spans="2:37" hidden="1" outlineLevel="1" x14ac:dyDescent="0.25">
      <c r="B145" s="288">
        <v>42887</v>
      </c>
      <c r="C145" s="383"/>
      <c r="D145" s="384"/>
      <c r="E145" s="383"/>
      <c r="F145" s="384"/>
      <c r="G145" s="383"/>
      <c r="H145" s="383">
        <v>399677</v>
      </c>
      <c r="I145" s="384">
        <v>0.28701129153178201</v>
      </c>
      <c r="J145" s="383">
        <v>58407.238071313754</v>
      </c>
      <c r="K145" s="384">
        <v>0.35686450931130353</v>
      </c>
      <c r="L145" s="383">
        <v>41243.517208999998</v>
      </c>
      <c r="M145" s="383">
        <v>746120</v>
      </c>
      <c r="N145" s="384">
        <v>0.53579481640848292</v>
      </c>
      <c r="O145" s="383">
        <v>69274.91094439679</v>
      </c>
      <c r="P145" s="384">
        <v>0.42326529926944628</v>
      </c>
      <c r="Q145" s="383">
        <v>48917.584122</v>
      </c>
      <c r="R145" s="383">
        <v>181925</v>
      </c>
      <c r="S145" s="384">
        <v>0.13064181629645799</v>
      </c>
      <c r="T145" s="383">
        <v>27001.21296547943</v>
      </c>
      <c r="U145" s="384">
        <v>0.1649756936626722</v>
      </c>
      <c r="V145" s="383">
        <v>19066.557988</v>
      </c>
      <c r="W145" s="383">
        <v>64826</v>
      </c>
      <c r="X145" s="384">
        <v>4.65520757632771E-2</v>
      </c>
      <c r="Y145" s="383">
        <v>8984.4630542309078</v>
      </c>
      <c r="Z145" s="384">
        <v>5.4894497756577974E-2</v>
      </c>
      <c r="AA145" s="383">
        <v>6344.2626090000003</v>
      </c>
      <c r="AB145" s="383"/>
      <c r="AC145" s="384"/>
      <c r="AD145" s="383"/>
      <c r="AE145" s="384"/>
      <c r="AF145" s="383"/>
      <c r="AG145" s="383">
        <v>1392548</v>
      </c>
      <c r="AH145" s="384">
        <v>1</v>
      </c>
      <c r="AI145" s="383">
        <v>163667.82503542089</v>
      </c>
      <c r="AJ145" s="384">
        <v>0.99999999999999989</v>
      </c>
      <c r="AK145" s="383">
        <v>115571.921928</v>
      </c>
    </row>
    <row r="146" spans="2:37" hidden="1" outlineLevel="1" x14ac:dyDescent="0.25">
      <c r="B146" s="288">
        <v>42917</v>
      </c>
      <c r="C146" s="383"/>
      <c r="D146" s="384"/>
      <c r="E146" s="383"/>
      <c r="F146" s="384"/>
      <c r="G146" s="383"/>
      <c r="H146" s="383">
        <v>399610</v>
      </c>
      <c r="I146" s="384">
        <v>0.28596863726759369</v>
      </c>
      <c r="J146" s="383">
        <v>59828.108699136137</v>
      </c>
      <c r="K146" s="384">
        <v>0.35354722808794925</v>
      </c>
      <c r="L146" s="383">
        <v>42348.706179000001</v>
      </c>
      <c r="M146" s="383">
        <v>750847</v>
      </c>
      <c r="N146" s="384">
        <v>0.5373206210716972</v>
      </c>
      <c r="O146" s="383">
        <v>72468.816816720486</v>
      </c>
      <c r="P146" s="384">
        <v>0.42824601789116623</v>
      </c>
      <c r="Q146" s="383">
        <v>51296.300304999997</v>
      </c>
      <c r="R146" s="383">
        <v>182161</v>
      </c>
      <c r="S146" s="384">
        <v>0.1303579313162887</v>
      </c>
      <c r="T146" s="383">
        <v>27763.266204581501</v>
      </c>
      <c r="U146" s="384">
        <v>0.16406378243809266</v>
      </c>
      <c r="V146" s="383">
        <v>19651.940009999998</v>
      </c>
      <c r="W146" s="383">
        <v>64773</v>
      </c>
      <c r="X146" s="384">
        <v>4.6352810344420424E-2</v>
      </c>
      <c r="Y146" s="383">
        <v>9162.2033261811193</v>
      </c>
      <c r="Z146" s="384">
        <v>5.4142971582792083E-2</v>
      </c>
      <c r="AA146" s="383">
        <v>6485.3705900000004</v>
      </c>
      <c r="AB146" s="383"/>
      <c r="AC146" s="384"/>
      <c r="AD146" s="383"/>
      <c r="AE146" s="384"/>
      <c r="AF146" s="383"/>
      <c r="AG146" s="383">
        <v>1397391</v>
      </c>
      <c r="AH146" s="384">
        <v>1</v>
      </c>
      <c r="AI146" s="383">
        <v>169222.3950466192</v>
      </c>
      <c r="AJ146" s="384">
        <v>1.0000000000000002</v>
      </c>
      <c r="AK146" s="383">
        <v>119782.31708399999</v>
      </c>
    </row>
    <row r="147" spans="2:37" hidden="1" outlineLevel="1" x14ac:dyDescent="0.25">
      <c r="B147" s="288">
        <v>42948</v>
      </c>
      <c r="C147" s="383"/>
      <c r="D147" s="384"/>
      <c r="E147" s="383"/>
      <c r="F147" s="384"/>
      <c r="G147" s="383"/>
      <c r="H147" s="383">
        <v>399317</v>
      </c>
      <c r="I147" s="384">
        <v>0.28499395493104912</v>
      </c>
      <c r="J147" s="383">
        <v>59336.35589111055</v>
      </c>
      <c r="K147" s="384">
        <v>0.35299224172439869</v>
      </c>
      <c r="L147" s="383">
        <v>42085.519921999999</v>
      </c>
      <c r="M147" s="383">
        <v>754760</v>
      </c>
      <c r="N147" s="384">
        <v>0.53867488091856497</v>
      </c>
      <c r="O147" s="383">
        <v>72113.092588046202</v>
      </c>
      <c r="P147" s="384">
        <v>0.4290011044332962</v>
      </c>
      <c r="Q147" s="383">
        <v>51147.680864000002</v>
      </c>
      <c r="R147" s="383">
        <v>182240</v>
      </c>
      <c r="S147" s="384">
        <v>0.13006533242169602</v>
      </c>
      <c r="T147" s="383">
        <v>27528.648966973109</v>
      </c>
      <c r="U147" s="384">
        <v>0.16376805357458254</v>
      </c>
      <c r="V147" s="383">
        <v>19525.255421000002</v>
      </c>
      <c r="W147" s="383">
        <v>64825</v>
      </c>
      <c r="X147" s="384">
        <v>4.626583172868988E-2</v>
      </c>
      <c r="Y147" s="383">
        <v>9117.256721562755</v>
      </c>
      <c r="Z147" s="384">
        <v>5.423860026772271E-2</v>
      </c>
      <c r="AA147" s="383">
        <v>6466.6001749999996</v>
      </c>
      <c r="AB147" s="383"/>
      <c r="AC147" s="384"/>
      <c r="AD147" s="383"/>
      <c r="AE147" s="384"/>
      <c r="AF147" s="383"/>
      <c r="AG147" s="383">
        <v>1401142</v>
      </c>
      <c r="AH147" s="384">
        <v>1</v>
      </c>
      <c r="AI147" s="383">
        <v>168095.3541676926</v>
      </c>
      <c r="AJ147" s="384">
        <v>1.0000000000000002</v>
      </c>
      <c r="AK147" s="383">
        <v>119225.056382</v>
      </c>
    </row>
    <row r="148" spans="2:37" hidden="1" outlineLevel="1" x14ac:dyDescent="0.25">
      <c r="B148" s="288">
        <v>42979</v>
      </c>
      <c r="C148" s="383"/>
      <c r="D148" s="384"/>
      <c r="E148" s="383"/>
      <c r="F148" s="384"/>
      <c r="G148" s="383"/>
      <c r="H148" s="383">
        <v>399078</v>
      </c>
      <c r="I148" s="384">
        <v>0.28408778661275513</v>
      </c>
      <c r="J148" s="383">
        <v>59368.336911799961</v>
      </c>
      <c r="K148" s="384">
        <v>0.35202085895742752</v>
      </c>
      <c r="L148" s="383">
        <v>42044.545754999999</v>
      </c>
      <c r="M148" s="383">
        <v>758672</v>
      </c>
      <c r="N148" s="384">
        <v>0.54006848096129612</v>
      </c>
      <c r="O148" s="383">
        <v>72656.414438609456</v>
      </c>
      <c r="P148" s="384">
        <v>0.43081168767526279</v>
      </c>
      <c r="Q148" s="383">
        <v>51455.137539000003</v>
      </c>
      <c r="R148" s="383">
        <v>182297</v>
      </c>
      <c r="S148" s="384">
        <v>0.12976999793560512</v>
      </c>
      <c r="T148" s="383">
        <v>27535.245380143278</v>
      </c>
      <c r="U148" s="384">
        <v>0.16326852383825177</v>
      </c>
      <c r="V148" s="383">
        <v>19500.409553000001</v>
      </c>
      <c r="W148" s="383">
        <v>64723</v>
      </c>
      <c r="X148" s="384">
        <v>4.6073734490343618E-2</v>
      </c>
      <c r="Y148" s="383">
        <v>9090.0573816663145</v>
      </c>
      <c r="Z148" s="384">
        <v>5.3898929529058032E-2</v>
      </c>
      <c r="AA148" s="383">
        <v>6437.5617270000002</v>
      </c>
      <c r="AB148" s="383"/>
      <c r="AC148" s="384"/>
      <c r="AD148" s="383"/>
      <c r="AE148" s="384"/>
      <c r="AF148" s="383"/>
      <c r="AG148" s="383">
        <v>1404770</v>
      </c>
      <c r="AH148" s="384">
        <v>0.99999999999999989</v>
      </c>
      <c r="AI148" s="383">
        <v>168650.05411221899</v>
      </c>
      <c r="AJ148" s="384">
        <v>1</v>
      </c>
      <c r="AK148" s="383">
        <v>119437.654574</v>
      </c>
    </row>
    <row r="149" spans="2:37" hidden="1" outlineLevel="1" x14ac:dyDescent="0.25">
      <c r="B149" s="288">
        <v>43009</v>
      </c>
      <c r="C149" s="383"/>
      <c r="D149" s="384"/>
      <c r="E149" s="383"/>
      <c r="F149" s="384"/>
      <c r="G149" s="383"/>
      <c r="H149" s="383">
        <v>398759</v>
      </c>
      <c r="I149" s="384">
        <v>0.28281161235506008</v>
      </c>
      <c r="J149" s="383">
        <v>59042.726885182034</v>
      </c>
      <c r="K149" s="384">
        <v>0.35027750543288594</v>
      </c>
      <c r="L149" s="383">
        <v>42059.289792000003</v>
      </c>
      <c r="M149" s="383">
        <v>764318</v>
      </c>
      <c r="N149" s="384">
        <v>0.54207680812720171</v>
      </c>
      <c r="O149" s="383">
        <v>73084.418582780505</v>
      </c>
      <c r="P149" s="384">
        <v>0.43358139397884082</v>
      </c>
      <c r="Q149" s="383">
        <v>52061.937221</v>
      </c>
      <c r="R149" s="383">
        <v>182240</v>
      </c>
      <c r="S149" s="384">
        <v>0.12924996861659838</v>
      </c>
      <c r="T149" s="383">
        <v>27379.75453680996</v>
      </c>
      <c r="U149" s="384">
        <v>0.16243342109128545</v>
      </c>
      <c r="V149" s="383">
        <v>19504.062418000001</v>
      </c>
      <c r="W149" s="383">
        <v>64664</v>
      </c>
      <c r="X149" s="384">
        <v>4.5861610901139806E-2</v>
      </c>
      <c r="Y149" s="383">
        <v>9052.9588768728972</v>
      </c>
      <c r="Z149" s="384">
        <v>5.3707679496987765E-2</v>
      </c>
      <c r="AA149" s="383">
        <v>6448.9064269999999</v>
      </c>
      <c r="AB149" s="383"/>
      <c r="AC149" s="384"/>
      <c r="AD149" s="383"/>
      <c r="AE149" s="384"/>
      <c r="AF149" s="383"/>
      <c r="AG149" s="383">
        <v>1409981</v>
      </c>
      <c r="AH149" s="384">
        <v>1</v>
      </c>
      <c r="AI149" s="383">
        <v>168559.8588816454</v>
      </c>
      <c r="AJ149" s="384">
        <v>1</v>
      </c>
      <c r="AK149" s="383">
        <v>120074.19585800001</v>
      </c>
    </row>
    <row r="150" spans="2:37" hidden="1" outlineLevel="1" x14ac:dyDescent="0.25">
      <c r="B150" s="288">
        <v>43040</v>
      </c>
      <c r="C150" s="383"/>
      <c r="D150" s="384"/>
      <c r="E150" s="383"/>
      <c r="F150" s="384"/>
      <c r="G150" s="383"/>
      <c r="H150" s="383">
        <v>399090</v>
      </c>
      <c r="I150" s="384">
        <v>0.28204638934825932</v>
      </c>
      <c r="J150" s="383">
        <v>59020.342049833693</v>
      </c>
      <c r="K150" s="384">
        <v>0.34950038715995851</v>
      </c>
      <c r="L150" s="383">
        <v>42079.328888999997</v>
      </c>
      <c r="M150" s="383">
        <v>769106</v>
      </c>
      <c r="N150" s="384">
        <v>0.54354549180907152</v>
      </c>
      <c r="O150" s="383">
        <v>73401.970099815968</v>
      </c>
      <c r="P150" s="384">
        <v>0.43466398325052857</v>
      </c>
      <c r="Q150" s="383">
        <v>52332.899703000003</v>
      </c>
      <c r="R150" s="383">
        <v>182220</v>
      </c>
      <c r="S150" s="384">
        <v>0.12877920535979306</v>
      </c>
      <c r="T150" s="383">
        <v>27418.344564049188</v>
      </c>
      <c r="U150" s="384">
        <v>0.16236303802389329</v>
      </c>
      <c r="V150" s="383">
        <v>19548.269264999999</v>
      </c>
      <c r="W150" s="383">
        <v>64564</v>
      </c>
      <c r="X150" s="384">
        <v>4.5628913482876086E-2</v>
      </c>
      <c r="Y150" s="383">
        <v>9029.9489226302321</v>
      </c>
      <c r="Z150" s="384">
        <v>5.3472591565619523E-2</v>
      </c>
      <c r="AA150" s="383">
        <v>6438.0208140000004</v>
      </c>
      <c r="AB150" s="383"/>
      <c r="AC150" s="384"/>
      <c r="AD150" s="383"/>
      <c r="AE150" s="384"/>
      <c r="AF150" s="383"/>
      <c r="AG150" s="383">
        <v>1414980</v>
      </c>
      <c r="AH150" s="384">
        <v>1</v>
      </c>
      <c r="AI150" s="383">
        <v>168870.6056363291</v>
      </c>
      <c r="AJ150" s="384">
        <v>0.99999999999999989</v>
      </c>
      <c r="AK150" s="383">
        <v>120398.518671</v>
      </c>
    </row>
    <row r="151" spans="2:37" collapsed="1" x14ac:dyDescent="0.25">
      <c r="B151" s="288">
        <v>43070</v>
      </c>
      <c r="C151" s="383"/>
      <c r="D151" s="384"/>
      <c r="E151" s="383"/>
      <c r="F151" s="384"/>
      <c r="G151" s="383"/>
      <c r="H151" s="383">
        <v>399510</v>
      </c>
      <c r="I151" s="384">
        <v>0.28127811830705085</v>
      </c>
      <c r="J151" s="383">
        <v>59029.939602461833</v>
      </c>
      <c r="K151" s="384">
        <v>0.34881836328481941</v>
      </c>
      <c r="L151" s="383">
        <v>42148.329884999999</v>
      </c>
      <c r="M151" s="383">
        <v>774083</v>
      </c>
      <c r="N151" s="384">
        <v>0.54499914809010253</v>
      </c>
      <c r="O151" s="383">
        <v>73896.454096245026</v>
      </c>
      <c r="P151" s="384">
        <v>0.43666722927375279</v>
      </c>
      <c r="Q151" s="383">
        <v>52763.261246000002</v>
      </c>
      <c r="R151" s="383">
        <v>182304</v>
      </c>
      <c r="S151" s="384">
        <v>0.12835254706978197</v>
      </c>
      <c r="T151" s="383">
        <v>27313.77690159241</v>
      </c>
      <c r="U151" s="384">
        <v>0.16140194311740116</v>
      </c>
      <c r="V151" s="383">
        <v>19502.477674999998</v>
      </c>
      <c r="W151" s="383">
        <v>64441</v>
      </c>
      <c r="X151" s="384">
        <v>4.5370186533064662E-2</v>
      </c>
      <c r="Y151" s="383">
        <v>8988.1321948213845</v>
      </c>
      <c r="Z151" s="384">
        <v>5.3112464324026401E-2</v>
      </c>
      <c r="AA151" s="383">
        <v>6417.6714959999999</v>
      </c>
      <c r="AB151" s="383"/>
      <c r="AC151" s="384"/>
      <c r="AD151" s="383"/>
      <c r="AE151" s="384"/>
      <c r="AF151" s="383"/>
      <c r="AG151" s="383">
        <v>1420338</v>
      </c>
      <c r="AH151" s="384">
        <v>1</v>
      </c>
      <c r="AI151" s="383">
        <v>169228.30279512069</v>
      </c>
      <c r="AJ151" s="384">
        <v>0.99999999999999978</v>
      </c>
      <c r="AK151" s="383">
        <v>120831.74030200001</v>
      </c>
    </row>
    <row r="152" spans="2:37" hidden="1" outlineLevel="1" x14ac:dyDescent="0.25">
      <c r="B152" s="288">
        <v>43101</v>
      </c>
      <c r="C152" s="383"/>
      <c r="D152" s="384"/>
      <c r="E152" s="383"/>
      <c r="F152" s="384"/>
      <c r="G152" s="383"/>
      <c r="H152" s="383">
        <v>399710</v>
      </c>
      <c r="I152" s="384">
        <v>0.28044117337524294</v>
      </c>
      <c r="J152" s="383">
        <v>58710.05045452201</v>
      </c>
      <c r="K152" s="384">
        <v>0.34759402868734945</v>
      </c>
      <c r="L152" s="383">
        <v>42112.974874</v>
      </c>
      <c r="M152" s="383">
        <v>778728</v>
      </c>
      <c r="N152" s="384">
        <v>0.54636459948501703</v>
      </c>
      <c r="O152" s="383">
        <v>74021.175975036967</v>
      </c>
      <c r="P152" s="384">
        <v>0.4382438537549681</v>
      </c>
      <c r="Q152" s="383">
        <v>53095.711889999999</v>
      </c>
      <c r="R152" s="383">
        <v>182398</v>
      </c>
      <c r="S152" s="384">
        <v>0.12797255295413565</v>
      </c>
      <c r="T152" s="383">
        <v>27216.967250498201</v>
      </c>
      <c r="U152" s="384">
        <v>0.16113859930303726</v>
      </c>
      <c r="V152" s="383">
        <v>19522.849139000002</v>
      </c>
      <c r="W152" s="383">
        <v>64454</v>
      </c>
      <c r="X152" s="384">
        <v>4.5221674185604334E-2</v>
      </c>
      <c r="Y152" s="383">
        <v>8955.8886951034474</v>
      </c>
      <c r="Z152" s="384">
        <v>5.3023518254645338E-2</v>
      </c>
      <c r="AA152" s="383">
        <v>6424.0979639999996</v>
      </c>
      <c r="AB152" s="383"/>
      <c r="AC152" s="384"/>
      <c r="AD152" s="383"/>
      <c r="AE152" s="384"/>
      <c r="AF152" s="383"/>
      <c r="AG152" s="383">
        <v>1425290</v>
      </c>
      <c r="AH152" s="384">
        <v>1</v>
      </c>
      <c r="AI152" s="383">
        <v>168904.08237516059</v>
      </c>
      <c r="AJ152" s="384">
        <v>1</v>
      </c>
      <c r="AK152" s="383">
        <v>121155.633867</v>
      </c>
    </row>
    <row r="153" spans="2:37" hidden="1" outlineLevel="1" x14ac:dyDescent="0.25">
      <c r="B153" s="288">
        <v>43132</v>
      </c>
      <c r="C153" s="383"/>
      <c r="D153" s="384"/>
      <c r="E153" s="383"/>
      <c r="F153" s="384"/>
      <c r="G153" s="383"/>
      <c r="H153" s="383">
        <v>400174</v>
      </c>
      <c r="I153" s="384">
        <v>0.2797472743491014</v>
      </c>
      <c r="J153" s="383">
        <v>58758.281348670353</v>
      </c>
      <c r="K153" s="384">
        <v>0.34786388153891989</v>
      </c>
      <c r="L153" s="383">
        <v>42191.282222000002</v>
      </c>
      <c r="M153" s="383">
        <v>783247</v>
      </c>
      <c r="N153" s="384">
        <v>0.54753985364394153</v>
      </c>
      <c r="O153" s="383">
        <v>73972.689410095627</v>
      </c>
      <c r="P153" s="384">
        <v>0.43793702394685718</v>
      </c>
      <c r="Q153" s="383">
        <v>53115.961597000001</v>
      </c>
      <c r="R153" s="383">
        <v>182540</v>
      </c>
      <c r="S153" s="384">
        <v>0.1276071595348148</v>
      </c>
      <c r="T153" s="383">
        <v>27229.668539575548</v>
      </c>
      <c r="U153" s="384">
        <v>0.16120652227703919</v>
      </c>
      <c r="V153" s="383">
        <v>19552.216365</v>
      </c>
      <c r="W153" s="383">
        <v>64523</v>
      </c>
      <c r="X153" s="384">
        <v>4.5105712472142297E-2</v>
      </c>
      <c r="Y153" s="383">
        <v>8951.0657304437918</v>
      </c>
      <c r="Z153" s="384">
        <v>5.2992572237183823E-2</v>
      </c>
      <c r="AA153" s="383">
        <v>6427.2972550000004</v>
      </c>
      <c r="AB153" s="383"/>
      <c r="AC153" s="384"/>
      <c r="AD153" s="383"/>
      <c r="AE153" s="384"/>
      <c r="AF153" s="383"/>
      <c r="AG153" s="383">
        <v>1430484</v>
      </c>
      <c r="AH153" s="384">
        <v>1</v>
      </c>
      <c r="AI153" s="383">
        <v>168911.70502878531</v>
      </c>
      <c r="AJ153" s="384">
        <v>1</v>
      </c>
      <c r="AK153" s="383">
        <v>121286.75743899999</v>
      </c>
    </row>
    <row r="154" spans="2:37" hidden="1" outlineLevel="1" x14ac:dyDescent="0.25">
      <c r="B154" s="288">
        <v>43160</v>
      </c>
      <c r="C154" s="383"/>
      <c r="D154" s="384"/>
      <c r="E154" s="383"/>
      <c r="F154" s="384"/>
      <c r="G154" s="383"/>
      <c r="H154" s="383">
        <v>400670</v>
      </c>
      <c r="I154" s="384">
        <v>0.27826064008211632</v>
      </c>
      <c r="J154" s="383">
        <v>58829.275766524501</v>
      </c>
      <c r="K154" s="384">
        <v>0.34479091822043401</v>
      </c>
      <c r="L154" s="383">
        <v>42327.151605999999</v>
      </c>
      <c r="M154" s="383">
        <v>791363</v>
      </c>
      <c r="N154" s="384">
        <v>0.54959237007338657</v>
      </c>
      <c r="O154" s="383">
        <v>75450.505414996936</v>
      </c>
      <c r="P154" s="384">
        <v>0.4422058355006247</v>
      </c>
      <c r="Q154" s="383">
        <v>54285.981593999997</v>
      </c>
      <c r="R154" s="383">
        <v>182850</v>
      </c>
      <c r="S154" s="384">
        <v>0.12698719155168833</v>
      </c>
      <c r="T154" s="383">
        <v>27266.089462987071</v>
      </c>
      <c r="U154" s="384">
        <v>0.15980308952865438</v>
      </c>
      <c r="V154" s="383">
        <v>19617.713925</v>
      </c>
      <c r="W154" s="383">
        <v>65026</v>
      </c>
      <c r="X154" s="384">
        <v>4.5159798292808778E-2</v>
      </c>
      <c r="Y154" s="383">
        <v>9077.1726483933708</v>
      </c>
      <c r="Z154" s="384">
        <v>5.3200156750286914E-2</v>
      </c>
      <c r="AA154" s="383">
        <v>6530.9466730000004</v>
      </c>
      <c r="AB154" s="383"/>
      <c r="AC154" s="384"/>
      <c r="AD154" s="383"/>
      <c r="AE154" s="384"/>
      <c r="AF154" s="383"/>
      <c r="AG154" s="383">
        <v>1439909</v>
      </c>
      <c r="AH154" s="384">
        <v>1</v>
      </c>
      <c r="AI154" s="383">
        <v>170623.04329290189</v>
      </c>
      <c r="AJ154" s="384">
        <v>1</v>
      </c>
      <c r="AK154" s="383">
        <v>122761.793798</v>
      </c>
    </row>
    <row r="155" spans="2:37" hidden="1" outlineLevel="1" x14ac:dyDescent="0.25">
      <c r="B155" s="288">
        <v>43191</v>
      </c>
      <c r="C155" s="383"/>
      <c r="D155" s="384"/>
      <c r="E155" s="383"/>
      <c r="F155" s="384"/>
      <c r="G155" s="383"/>
      <c r="H155" s="383">
        <v>401455</v>
      </c>
      <c r="I155" s="384">
        <v>0.27670750771283709</v>
      </c>
      <c r="J155" s="383">
        <v>58763.738593498252</v>
      </c>
      <c r="K155" s="384">
        <v>0.34337694172419098</v>
      </c>
      <c r="L155" s="383">
        <v>42393.135082000001</v>
      </c>
      <c r="M155" s="383">
        <v>800876</v>
      </c>
      <c r="N155" s="384">
        <v>0.55201305737137685</v>
      </c>
      <c r="O155" s="383">
        <v>76219.94852691589</v>
      </c>
      <c r="P155" s="384">
        <v>0.44537964142470982</v>
      </c>
      <c r="Q155" s="383">
        <v>54986.334280000003</v>
      </c>
      <c r="R155" s="383">
        <v>182960</v>
      </c>
      <c r="S155" s="384">
        <v>0.12610729872872595</v>
      </c>
      <c r="T155" s="383">
        <v>27082.299556509221</v>
      </c>
      <c r="U155" s="384">
        <v>0.15825128589761747</v>
      </c>
      <c r="V155" s="383">
        <v>19537.619813000001</v>
      </c>
      <c r="W155" s="383">
        <v>65537</v>
      </c>
      <c r="X155" s="384">
        <v>4.5172136187060077E-2</v>
      </c>
      <c r="Y155" s="383">
        <v>9068.7968598779717</v>
      </c>
      <c r="Z155" s="384">
        <v>5.2992130953482014E-2</v>
      </c>
      <c r="AA155" s="383">
        <v>6542.3803779999998</v>
      </c>
      <c r="AB155" s="383"/>
      <c r="AC155" s="384"/>
      <c r="AD155" s="383"/>
      <c r="AE155" s="384"/>
      <c r="AF155" s="383"/>
      <c r="AG155" s="383">
        <v>1450828</v>
      </c>
      <c r="AH155" s="384">
        <v>1</v>
      </c>
      <c r="AI155" s="383">
        <v>171134.78353680129</v>
      </c>
      <c r="AJ155" s="384">
        <v>1.0000000000000002</v>
      </c>
      <c r="AK155" s="383">
        <v>123459.469553</v>
      </c>
    </row>
    <row r="156" spans="2:37" hidden="1" outlineLevel="1" x14ac:dyDescent="0.25">
      <c r="B156" s="288">
        <v>43221</v>
      </c>
      <c r="C156" s="383"/>
      <c r="D156" s="384"/>
      <c r="E156" s="383"/>
      <c r="F156" s="384"/>
      <c r="G156" s="383"/>
      <c r="H156" s="383">
        <v>402013</v>
      </c>
      <c r="I156" s="384">
        <v>0.27551063765628897</v>
      </c>
      <c r="J156" s="383">
        <v>58677.492272491327</v>
      </c>
      <c r="K156" s="384">
        <v>0.34253059651078194</v>
      </c>
      <c r="L156" s="383">
        <v>42440.351505999999</v>
      </c>
      <c r="M156" s="383">
        <v>807792</v>
      </c>
      <c r="N156" s="384">
        <v>0.55360221936516729</v>
      </c>
      <c r="O156" s="383">
        <v>76416.700198294508</v>
      </c>
      <c r="P156" s="384">
        <v>0.44608344509260101</v>
      </c>
      <c r="Q156" s="383">
        <v>55270.794502999997</v>
      </c>
      <c r="R156" s="383">
        <v>183081</v>
      </c>
      <c r="S156" s="384">
        <v>0.1254704774540899</v>
      </c>
      <c r="T156" s="383">
        <v>27048.819503881939</v>
      </c>
      <c r="U156" s="384">
        <v>0.1578978228406791</v>
      </c>
      <c r="V156" s="383">
        <v>19563.913915000001</v>
      </c>
      <c r="W156" s="383">
        <v>66270</v>
      </c>
      <c r="X156" s="384">
        <v>4.5416665524453864E-2</v>
      </c>
      <c r="Y156" s="383">
        <v>9162.830102550317</v>
      </c>
      <c r="Z156" s="384">
        <v>5.3488135555937809E-2</v>
      </c>
      <c r="AA156" s="383">
        <v>6627.3065749999996</v>
      </c>
      <c r="AB156" s="383"/>
      <c r="AC156" s="384"/>
      <c r="AD156" s="383"/>
      <c r="AE156" s="384"/>
      <c r="AF156" s="383"/>
      <c r="AG156" s="383">
        <v>1459156</v>
      </c>
      <c r="AH156" s="384">
        <v>1</v>
      </c>
      <c r="AI156" s="383">
        <v>171305.84207721811</v>
      </c>
      <c r="AJ156" s="384">
        <v>0.99999999999999978</v>
      </c>
      <c r="AK156" s="383">
        <v>123902.366499</v>
      </c>
    </row>
    <row r="157" spans="2:37" hidden="1" outlineLevel="1" x14ac:dyDescent="0.25">
      <c r="B157" s="288">
        <v>43252</v>
      </c>
      <c r="C157" s="383"/>
      <c r="D157" s="384"/>
      <c r="E157" s="383"/>
      <c r="F157" s="384"/>
      <c r="G157" s="383"/>
      <c r="H157" s="383">
        <v>402451</v>
      </c>
      <c r="I157" s="384">
        <v>0.27433306794199924</v>
      </c>
      <c r="J157" s="383">
        <v>58657.41049966788</v>
      </c>
      <c r="K157" s="384">
        <v>0.34123406467540307</v>
      </c>
      <c r="L157" s="383">
        <v>42464.860904000001</v>
      </c>
      <c r="M157" s="383">
        <v>814687</v>
      </c>
      <c r="N157" s="384">
        <v>0.55533613811982963</v>
      </c>
      <c r="O157" s="383">
        <v>76992.23699297283</v>
      </c>
      <c r="P157" s="384">
        <v>0.44789522336163828</v>
      </c>
      <c r="Q157" s="383">
        <v>55738.304960000001</v>
      </c>
      <c r="R157" s="383">
        <v>183271</v>
      </c>
      <c r="S157" s="384">
        <v>0.12492774448267777</v>
      </c>
      <c r="T157" s="383">
        <v>27110.43021848538</v>
      </c>
      <c r="U157" s="384">
        <v>0.15771242234781266</v>
      </c>
      <c r="V157" s="383">
        <v>19626.516726000002</v>
      </c>
      <c r="W157" s="383">
        <v>66607</v>
      </c>
      <c r="X157" s="384">
        <v>4.5403049455493324E-2</v>
      </c>
      <c r="Y157" s="383">
        <v>9137.7970085781089</v>
      </c>
      <c r="Z157" s="384">
        <v>5.3158289615145932E-2</v>
      </c>
      <c r="AA157" s="383">
        <v>6615.2814390000003</v>
      </c>
      <c r="AB157" s="383"/>
      <c r="AC157" s="384"/>
      <c r="AD157" s="383"/>
      <c r="AE157" s="384"/>
      <c r="AF157" s="383"/>
      <c r="AG157" s="383">
        <v>1467016</v>
      </c>
      <c r="AH157" s="384">
        <v>1</v>
      </c>
      <c r="AI157" s="383">
        <v>171897.87471970421</v>
      </c>
      <c r="AJ157" s="384">
        <v>0.99999999999999989</v>
      </c>
      <c r="AK157" s="383">
        <v>124444.964029</v>
      </c>
    </row>
    <row r="158" spans="2:37" hidden="1" outlineLevel="1" x14ac:dyDescent="0.25">
      <c r="B158" s="288">
        <v>43282</v>
      </c>
      <c r="C158" s="383"/>
      <c r="D158" s="384"/>
      <c r="E158" s="383"/>
      <c r="F158" s="384"/>
      <c r="G158" s="383"/>
      <c r="H158" s="383">
        <v>402868</v>
      </c>
      <c r="I158" s="384">
        <v>0.27314547694418889</v>
      </c>
      <c r="J158" s="383">
        <v>59935.648958215657</v>
      </c>
      <c r="K158" s="384">
        <v>0.33798067304836193</v>
      </c>
      <c r="L158" s="383">
        <v>43531.265906000001</v>
      </c>
      <c r="M158" s="383">
        <v>821872</v>
      </c>
      <c r="N158" s="384">
        <v>0.55723120085753741</v>
      </c>
      <c r="O158" s="383">
        <v>80410.282922761471</v>
      </c>
      <c r="P158" s="384">
        <v>0.45343834620345475</v>
      </c>
      <c r="Q158" s="383">
        <v>58401.993944000002</v>
      </c>
      <c r="R158" s="383">
        <v>183335</v>
      </c>
      <c r="S158" s="384">
        <v>0.12430157276220218</v>
      </c>
      <c r="T158" s="383">
        <v>27633.059958184349</v>
      </c>
      <c r="U158" s="384">
        <v>0.15582446115773116</v>
      </c>
      <c r="V158" s="383">
        <v>20069.893323</v>
      </c>
      <c r="W158" s="383">
        <v>66846</v>
      </c>
      <c r="X158" s="384">
        <v>4.5321749436071493E-2</v>
      </c>
      <c r="Y158" s="383">
        <v>9355.5534105292481</v>
      </c>
      <c r="Z158" s="384">
        <v>5.2756519590452244E-2</v>
      </c>
      <c r="AA158" s="383">
        <v>6794.939077</v>
      </c>
      <c r="AB158" s="383"/>
      <c r="AC158" s="384"/>
      <c r="AD158" s="383"/>
      <c r="AE158" s="384"/>
      <c r="AF158" s="383"/>
      <c r="AG158" s="383">
        <v>1474921</v>
      </c>
      <c r="AH158" s="384">
        <v>1</v>
      </c>
      <c r="AI158" s="383">
        <v>177334.54524969071</v>
      </c>
      <c r="AJ158" s="384">
        <v>1</v>
      </c>
      <c r="AK158" s="383">
        <v>128798.09225</v>
      </c>
    </row>
    <row r="159" spans="2:37" hidden="1" outlineLevel="1" x14ac:dyDescent="0.25">
      <c r="B159" s="288">
        <v>43313</v>
      </c>
      <c r="C159" s="383"/>
      <c r="D159" s="384"/>
      <c r="E159" s="383"/>
      <c r="F159" s="384"/>
      <c r="G159" s="383"/>
      <c r="H159" s="383">
        <v>403017</v>
      </c>
      <c r="I159" s="384">
        <v>0.272088171752633</v>
      </c>
      <c r="J159" s="383">
        <v>59926.753695388368</v>
      </c>
      <c r="K159" s="384">
        <v>0.33715840929354529</v>
      </c>
      <c r="L159" s="383">
        <v>43561.591549999997</v>
      </c>
      <c r="M159" s="383">
        <v>827986</v>
      </c>
      <c r="N159" s="384">
        <v>0.55899675938428306</v>
      </c>
      <c r="O159" s="383">
        <v>80908.680845775802</v>
      </c>
      <c r="P159" s="384">
        <v>0.45520640531709877</v>
      </c>
      <c r="Q159" s="383">
        <v>58813.646502000003</v>
      </c>
      <c r="R159" s="383">
        <v>183284</v>
      </c>
      <c r="S159" s="384">
        <v>0.12374021064002161</v>
      </c>
      <c r="T159" s="383">
        <v>27586.042109491249</v>
      </c>
      <c r="U159" s="384">
        <v>0.15520390314512514</v>
      </c>
      <c r="V159" s="383">
        <v>20052.678057000001</v>
      </c>
      <c r="W159" s="383">
        <v>66913</v>
      </c>
      <c r="X159" s="384">
        <v>4.5174858223062379E-2</v>
      </c>
      <c r="Y159" s="383">
        <v>9319.1700114108626</v>
      </c>
      <c r="Z159" s="384">
        <v>5.2431282244230604E-2</v>
      </c>
      <c r="AA159" s="383">
        <v>6774.2344210000001</v>
      </c>
      <c r="AB159" s="383"/>
      <c r="AC159" s="384"/>
      <c r="AD159" s="383"/>
      <c r="AE159" s="384"/>
      <c r="AF159" s="383"/>
      <c r="AG159" s="383">
        <v>1481200</v>
      </c>
      <c r="AH159" s="384">
        <v>1</v>
      </c>
      <c r="AI159" s="383">
        <v>177740.64666206631</v>
      </c>
      <c r="AJ159" s="384">
        <v>0.99999999999999978</v>
      </c>
      <c r="AK159" s="383">
        <v>129202.15053</v>
      </c>
    </row>
    <row r="160" spans="2:37" hidden="1" outlineLevel="1" x14ac:dyDescent="0.25">
      <c r="B160" s="288">
        <v>43344</v>
      </c>
      <c r="C160" s="383"/>
      <c r="D160" s="384"/>
      <c r="E160" s="383"/>
      <c r="F160" s="384"/>
      <c r="G160" s="383"/>
      <c r="H160" s="383">
        <v>403054</v>
      </c>
      <c r="I160" s="384">
        <v>0.2712004225584298</v>
      </c>
      <c r="J160" s="383">
        <v>59827.577473719553</v>
      </c>
      <c r="K160" s="384">
        <v>0.33632845295438335</v>
      </c>
      <c r="L160" s="383">
        <v>43577.194886999998</v>
      </c>
      <c r="M160" s="383">
        <v>833175</v>
      </c>
      <c r="N160" s="384">
        <v>0.56061324801421086</v>
      </c>
      <c r="O160" s="383">
        <v>81271.222001832182</v>
      </c>
      <c r="P160" s="384">
        <v>0.45687666992024512</v>
      </c>
      <c r="Q160" s="383">
        <v>59196.310956000001</v>
      </c>
      <c r="R160" s="383">
        <v>183113</v>
      </c>
      <c r="S160" s="384">
        <v>0.12321009833903586</v>
      </c>
      <c r="T160" s="383">
        <v>27520.920173514241</v>
      </c>
      <c r="U160" s="384">
        <v>0.15471240683119813</v>
      </c>
      <c r="V160" s="383">
        <v>20045.680478999999</v>
      </c>
      <c r="W160" s="383">
        <v>66843</v>
      </c>
      <c r="X160" s="384">
        <v>4.4976231088323458E-2</v>
      </c>
      <c r="Y160" s="383">
        <v>9264.6578045241076</v>
      </c>
      <c r="Z160" s="384">
        <v>5.2082470294173247E-2</v>
      </c>
      <c r="AA160" s="383">
        <v>6748.188975</v>
      </c>
      <c r="AB160" s="383"/>
      <c r="AC160" s="384"/>
      <c r="AD160" s="383"/>
      <c r="AE160" s="384"/>
      <c r="AF160" s="383"/>
      <c r="AG160" s="383">
        <v>1486185</v>
      </c>
      <c r="AH160" s="384">
        <v>1</v>
      </c>
      <c r="AI160" s="383">
        <v>177884.3774535901</v>
      </c>
      <c r="AJ160" s="384">
        <v>0.99999999999999978</v>
      </c>
      <c r="AK160" s="383">
        <v>129567.37529700001</v>
      </c>
    </row>
    <row r="161" spans="2:37" hidden="1" outlineLevel="1" x14ac:dyDescent="0.25">
      <c r="B161" s="288">
        <v>43374</v>
      </c>
      <c r="C161" s="383"/>
      <c r="D161" s="384"/>
      <c r="E161" s="383"/>
      <c r="F161" s="384"/>
      <c r="G161" s="383"/>
      <c r="H161" s="383">
        <v>403364</v>
      </c>
      <c r="I161" s="384">
        <v>0.27008166782614401</v>
      </c>
      <c r="J161" s="383">
        <v>59712.568002543987</v>
      </c>
      <c r="K161" s="384">
        <v>0.33492968794201711</v>
      </c>
      <c r="L161" s="383">
        <v>43665.677763</v>
      </c>
      <c r="M161" s="383">
        <v>840165</v>
      </c>
      <c r="N161" s="384">
        <v>0.56255185006384378</v>
      </c>
      <c r="O161" s="383">
        <v>81882.696344870579</v>
      </c>
      <c r="P161" s="384">
        <v>0.45928264102575594</v>
      </c>
      <c r="Q161" s="383">
        <v>59877.904309999998</v>
      </c>
      <c r="R161" s="383">
        <v>183057</v>
      </c>
      <c r="S161" s="384">
        <v>0.12257003566815691</v>
      </c>
      <c r="T161" s="383">
        <v>27427.154973852441</v>
      </c>
      <c r="U161" s="384">
        <v>0.15383978220696143</v>
      </c>
      <c r="V161" s="383">
        <v>20056.503196999998</v>
      </c>
      <c r="W161" s="383">
        <v>66903</v>
      </c>
      <c r="X161" s="384">
        <v>4.4796446441855278E-2</v>
      </c>
      <c r="Y161" s="383">
        <v>9261.4717528541933</v>
      </c>
      <c r="Z161" s="384">
        <v>5.1947888825265506E-2</v>
      </c>
      <c r="AA161" s="383">
        <v>6772.5849799999996</v>
      </c>
      <c r="AB161" s="383"/>
      <c r="AC161" s="384"/>
      <c r="AD161" s="383"/>
      <c r="AE161" s="384"/>
      <c r="AF161" s="383"/>
      <c r="AG161" s="383">
        <v>1493489</v>
      </c>
      <c r="AH161" s="384">
        <v>1</v>
      </c>
      <c r="AI161" s="383">
        <v>178283.8910741212</v>
      </c>
      <c r="AJ161" s="384">
        <v>0.99999999999999989</v>
      </c>
      <c r="AK161" s="383">
        <v>130372.67025</v>
      </c>
    </row>
    <row r="162" spans="2:37" hidden="1" outlineLevel="1" x14ac:dyDescent="0.25">
      <c r="B162" s="288">
        <v>43405</v>
      </c>
      <c r="C162" s="383"/>
      <c r="D162" s="384"/>
      <c r="E162" s="383"/>
      <c r="F162" s="384"/>
      <c r="G162" s="383"/>
      <c r="H162" s="383">
        <v>403867</v>
      </c>
      <c r="I162" s="384">
        <v>0.26913808798382505</v>
      </c>
      <c r="J162" s="383">
        <v>59751.221959082293</v>
      </c>
      <c r="K162" s="384">
        <v>0.3337707751954741</v>
      </c>
      <c r="L162" s="383">
        <v>43657.533101000001</v>
      </c>
      <c r="M162" s="383">
        <v>846814</v>
      </c>
      <c r="N162" s="384">
        <v>0.56431919626494575</v>
      </c>
      <c r="O162" s="383">
        <v>82571.312626363258</v>
      </c>
      <c r="P162" s="384">
        <v>0.46124397327107636</v>
      </c>
      <c r="Q162" s="383">
        <v>60331.147983000003</v>
      </c>
      <c r="R162" s="383">
        <v>182917</v>
      </c>
      <c r="S162" s="384">
        <v>0.12189639569397186</v>
      </c>
      <c r="T162" s="383">
        <v>27415.287718970871</v>
      </c>
      <c r="U162" s="384">
        <v>0.15314200336244316</v>
      </c>
      <c r="V162" s="383">
        <v>20031.118892999999</v>
      </c>
      <c r="W162" s="383">
        <v>66996</v>
      </c>
      <c r="X162" s="384">
        <v>4.4646320057257327E-2</v>
      </c>
      <c r="Y162" s="383">
        <v>9280.9127064267741</v>
      </c>
      <c r="Z162" s="384">
        <v>5.1843248171006391E-2</v>
      </c>
      <c r="AA162" s="383">
        <v>6781.1458979999998</v>
      </c>
      <c r="AB162" s="383"/>
      <c r="AC162" s="384"/>
      <c r="AD162" s="383"/>
      <c r="AE162" s="384"/>
      <c r="AF162" s="383"/>
      <c r="AG162" s="383">
        <v>1500594</v>
      </c>
      <c r="AH162" s="384">
        <v>1</v>
      </c>
      <c r="AI162" s="383">
        <v>179018.7350108432</v>
      </c>
      <c r="AJ162" s="384">
        <v>0.99999999999999989</v>
      </c>
      <c r="AK162" s="383">
        <v>130800.945875</v>
      </c>
    </row>
    <row r="163" spans="2:37" collapsed="1" x14ac:dyDescent="0.25">
      <c r="B163" s="288">
        <v>43435</v>
      </c>
      <c r="C163" s="383"/>
      <c r="D163" s="384"/>
      <c r="E163" s="383"/>
      <c r="F163" s="384"/>
      <c r="G163" s="383"/>
      <c r="H163" s="383">
        <v>404348</v>
      </c>
      <c r="I163" s="384">
        <v>0.26820784403207232</v>
      </c>
      <c r="J163" s="383">
        <v>59974.31954816098</v>
      </c>
      <c r="K163" s="384">
        <v>0.33237553991652669</v>
      </c>
      <c r="L163" s="383">
        <v>43739.459228</v>
      </c>
      <c r="M163" s="383">
        <v>853431</v>
      </c>
      <c r="N163" s="384">
        <v>0.56608883570621227</v>
      </c>
      <c r="O163" s="383">
        <v>83603.814844322304</v>
      </c>
      <c r="P163" s="384">
        <v>0.46332936008800496</v>
      </c>
      <c r="Q163" s="383">
        <v>60972.524211000004</v>
      </c>
      <c r="R163" s="383">
        <v>182911</v>
      </c>
      <c r="S163" s="384">
        <v>0.12132659234063327</v>
      </c>
      <c r="T163" s="383">
        <v>27574.62658576887</v>
      </c>
      <c r="U163" s="384">
        <v>0.15281759707305548</v>
      </c>
      <c r="V163" s="383">
        <v>20110.261598000001</v>
      </c>
      <c r="W163" s="383">
        <v>66902</v>
      </c>
      <c r="X163" s="384">
        <v>4.4376727921082097E-2</v>
      </c>
      <c r="Y163" s="383">
        <v>9288.6745233585443</v>
      </c>
      <c r="Z163" s="384">
        <v>5.1477502922412911E-2</v>
      </c>
      <c r="AA163" s="383">
        <v>6774.2594440000003</v>
      </c>
      <c r="AB163" s="383"/>
      <c r="AC163" s="384"/>
      <c r="AD163" s="383"/>
      <c r="AE163" s="384"/>
      <c r="AF163" s="383"/>
      <c r="AG163" s="383">
        <v>1507592</v>
      </c>
      <c r="AH163" s="384">
        <v>0.99999999999999989</v>
      </c>
      <c r="AI163" s="383">
        <v>180441.43550161069</v>
      </c>
      <c r="AJ163" s="384">
        <v>1</v>
      </c>
      <c r="AK163" s="383">
        <v>131596.50448100001</v>
      </c>
    </row>
    <row r="164" spans="2:37" hidden="1" outlineLevel="1" x14ac:dyDescent="0.25">
      <c r="B164" s="288">
        <v>43466</v>
      </c>
      <c r="C164" s="383"/>
      <c r="D164" s="384"/>
      <c r="E164" s="383"/>
      <c r="F164" s="384"/>
      <c r="G164" s="383"/>
      <c r="H164" s="383">
        <v>404952</v>
      </c>
      <c r="I164" s="384">
        <v>0.26742796914902256</v>
      </c>
      <c r="J164" s="383">
        <v>60050.526095168338</v>
      </c>
      <c r="K164" s="384">
        <v>0.33165858890406474</v>
      </c>
      <c r="L164" s="383">
        <v>43843.638550000003</v>
      </c>
      <c r="M164" s="383">
        <v>859411</v>
      </c>
      <c r="N164" s="384">
        <v>0.567550076044397</v>
      </c>
      <c r="O164" s="383">
        <v>84219.548338174282</v>
      </c>
      <c r="P164" s="384">
        <v>0.46514391090778423</v>
      </c>
      <c r="Q164" s="383">
        <v>61489.743326000003</v>
      </c>
      <c r="R164" s="383">
        <v>182878</v>
      </c>
      <c r="S164" s="384">
        <v>0.12077157821676385</v>
      </c>
      <c r="T164" s="383">
        <v>27466.43619358955</v>
      </c>
      <c r="U164" s="384">
        <v>0.15169691362491478</v>
      </c>
      <c r="V164" s="383">
        <v>20053.587854000001</v>
      </c>
      <c r="W164" s="383">
        <v>67006</v>
      </c>
      <c r="X164" s="384">
        <v>4.4250376589816585E-2</v>
      </c>
      <c r="Y164" s="383">
        <v>9324.7617302823801</v>
      </c>
      <c r="Z164" s="384">
        <v>5.1500586563236E-2</v>
      </c>
      <c r="AA164" s="383">
        <v>6808.1249150000003</v>
      </c>
      <c r="AB164" s="383"/>
      <c r="AC164" s="384"/>
      <c r="AD164" s="383"/>
      <c r="AE164" s="384"/>
      <c r="AF164" s="383"/>
      <c r="AG164" s="383">
        <v>1514247</v>
      </c>
      <c r="AH164" s="384">
        <v>1</v>
      </c>
      <c r="AI164" s="383">
        <v>181061.27235721459</v>
      </c>
      <c r="AJ164" s="384">
        <v>0.99999999999999978</v>
      </c>
      <c r="AK164" s="383">
        <v>132195.094645</v>
      </c>
    </row>
    <row r="165" spans="2:37" hidden="1" outlineLevel="1" x14ac:dyDescent="0.25">
      <c r="B165" s="288">
        <v>43497</v>
      </c>
      <c r="C165" s="383"/>
      <c r="D165" s="384"/>
      <c r="E165" s="383"/>
      <c r="F165" s="384"/>
      <c r="G165" s="383"/>
      <c r="H165" s="383">
        <v>405530</v>
      </c>
      <c r="I165" s="384">
        <v>0.26675288078376791</v>
      </c>
      <c r="J165" s="383">
        <v>60030.483962506361</v>
      </c>
      <c r="K165" s="384">
        <v>0.3320545645416037</v>
      </c>
      <c r="L165" s="383">
        <v>43849.256023000002</v>
      </c>
      <c r="M165" s="383">
        <v>864545</v>
      </c>
      <c r="N165" s="384">
        <v>0.5686875676699692</v>
      </c>
      <c r="O165" s="383">
        <v>83944.951254009153</v>
      </c>
      <c r="P165" s="384">
        <v>0.4643358239711311</v>
      </c>
      <c r="Q165" s="383">
        <v>61317.574279</v>
      </c>
      <c r="R165" s="383">
        <v>182940</v>
      </c>
      <c r="S165" s="384">
        <v>0.12033578776066504</v>
      </c>
      <c r="T165" s="383">
        <v>27465.611432741589</v>
      </c>
      <c r="U165" s="384">
        <v>0.15192417322279278</v>
      </c>
      <c r="V165" s="383">
        <v>20062.250843999998</v>
      </c>
      <c r="W165" s="383">
        <v>67231</v>
      </c>
      <c r="X165" s="384">
        <v>4.4223763785597857E-2</v>
      </c>
      <c r="Y165" s="383">
        <v>9343.9518806608176</v>
      </c>
      <c r="Z165" s="384">
        <v>5.1685438264472465E-2</v>
      </c>
      <c r="AA165" s="383">
        <v>6825.2879409999996</v>
      </c>
      <c r="AB165" s="383"/>
      <c r="AC165" s="384"/>
      <c r="AD165" s="383"/>
      <c r="AE165" s="384"/>
      <c r="AF165" s="383"/>
      <c r="AG165" s="383">
        <v>1520246</v>
      </c>
      <c r="AH165" s="384">
        <v>1</v>
      </c>
      <c r="AI165" s="383">
        <v>180784.99852991791</v>
      </c>
      <c r="AJ165" s="384">
        <v>1</v>
      </c>
      <c r="AK165" s="383">
        <v>132054.369087</v>
      </c>
    </row>
    <row r="166" spans="2:37" hidden="1" outlineLevel="1" x14ac:dyDescent="0.25">
      <c r="B166" s="288">
        <v>43525</v>
      </c>
      <c r="C166" s="383"/>
      <c r="D166" s="384"/>
      <c r="E166" s="383"/>
      <c r="F166" s="384"/>
      <c r="G166" s="383"/>
      <c r="H166" s="383">
        <v>406038</v>
      </c>
      <c r="I166" s="384">
        <v>0.26571237298861144</v>
      </c>
      <c r="J166" s="383">
        <v>59864.23554390941</v>
      </c>
      <c r="K166" s="384">
        <v>0.33060033547456991</v>
      </c>
      <c r="L166" s="383">
        <v>43935.210077000003</v>
      </c>
      <c r="M166" s="383">
        <v>871259</v>
      </c>
      <c r="N166" s="384">
        <v>0.57015426235397826</v>
      </c>
      <c r="O166" s="383">
        <v>84507.578119929793</v>
      </c>
      <c r="P166" s="384">
        <v>0.46669323382739913</v>
      </c>
      <c r="Q166" s="383">
        <v>62021.308116</v>
      </c>
      <c r="R166" s="383">
        <v>183105</v>
      </c>
      <c r="S166" s="384">
        <v>0.11982441066126741</v>
      </c>
      <c r="T166" s="383">
        <v>27338.914976453609</v>
      </c>
      <c r="U166" s="384">
        <v>0.15097920119763159</v>
      </c>
      <c r="V166" s="383">
        <v>20064.416789999999</v>
      </c>
      <c r="W166" s="383">
        <v>67709</v>
      </c>
      <c r="X166" s="384">
        <v>4.4308953996142951E-2</v>
      </c>
      <c r="Y166" s="383">
        <v>9366.6300924972475</v>
      </c>
      <c r="Z166" s="384">
        <v>5.1727229500399777E-2</v>
      </c>
      <c r="AA166" s="383">
        <v>6874.3024459999997</v>
      </c>
      <c r="AB166" s="383"/>
      <c r="AC166" s="384"/>
      <c r="AD166" s="383"/>
      <c r="AE166" s="384"/>
      <c r="AF166" s="383"/>
      <c r="AG166" s="383">
        <v>1528111</v>
      </c>
      <c r="AH166" s="384">
        <v>1</v>
      </c>
      <c r="AI166" s="383">
        <v>181077.35873278999</v>
      </c>
      <c r="AJ166" s="384">
        <v>1.0000000000000004</v>
      </c>
      <c r="AK166" s="383">
        <v>132895.237429</v>
      </c>
    </row>
    <row r="167" spans="2:37" hidden="1" outlineLevel="1" x14ac:dyDescent="0.25">
      <c r="B167" s="288">
        <v>43556</v>
      </c>
      <c r="C167" s="383"/>
      <c r="D167" s="384"/>
      <c r="E167" s="383"/>
      <c r="F167" s="384"/>
      <c r="G167" s="383"/>
      <c r="H167" s="383">
        <v>406470</v>
      </c>
      <c r="I167" s="384">
        <v>0.26479561025723874</v>
      </c>
      <c r="J167" s="383">
        <v>59688.878625827158</v>
      </c>
      <c r="K167" s="384">
        <v>0.32959812906610336</v>
      </c>
      <c r="L167" s="383">
        <v>43920.676697000003</v>
      </c>
      <c r="M167" s="383">
        <v>877406</v>
      </c>
      <c r="N167" s="384">
        <v>0.57158771179512102</v>
      </c>
      <c r="O167" s="383">
        <v>84839.21334331228</v>
      </c>
      <c r="P167" s="384">
        <v>0.46847665148288276</v>
      </c>
      <c r="Q167" s="383">
        <v>62426.967070999999</v>
      </c>
      <c r="R167" s="383">
        <v>183115</v>
      </c>
      <c r="S167" s="384">
        <v>0.11929059505561118</v>
      </c>
      <c r="T167" s="383">
        <v>27214.040297500149</v>
      </c>
      <c r="U167" s="384">
        <v>0.15027417121729</v>
      </c>
      <c r="V167" s="383">
        <v>20024.820252000001</v>
      </c>
      <c r="W167" s="383">
        <v>68042</v>
      </c>
      <c r="X167" s="384">
        <v>4.432608289202903E-2</v>
      </c>
      <c r="Y167" s="383">
        <v>9353.7944455417801</v>
      </c>
      <c r="Z167" s="384">
        <v>5.165104823372374E-2</v>
      </c>
      <c r="AA167" s="383">
        <v>6882.7726570000004</v>
      </c>
      <c r="AB167" s="383"/>
      <c r="AC167" s="384"/>
      <c r="AD167" s="383"/>
      <c r="AE167" s="384"/>
      <c r="AF167" s="383"/>
      <c r="AG167" s="383">
        <v>1535033</v>
      </c>
      <c r="AH167" s="384">
        <v>0.99999999999999989</v>
      </c>
      <c r="AI167" s="383">
        <v>181095.92671218139</v>
      </c>
      <c r="AJ167" s="384">
        <v>0.99999999999999978</v>
      </c>
      <c r="AK167" s="383">
        <v>133255.23667700001</v>
      </c>
    </row>
    <row r="168" spans="2:37" hidden="1" outlineLevel="1" x14ac:dyDescent="0.25">
      <c r="B168" s="288">
        <v>43586</v>
      </c>
      <c r="C168" s="383"/>
      <c r="D168" s="384"/>
      <c r="E168" s="383"/>
      <c r="F168" s="384"/>
      <c r="G168" s="383"/>
      <c r="H168" s="383">
        <v>406993</v>
      </c>
      <c r="I168" s="384">
        <v>0.26389047384391939</v>
      </c>
      <c r="J168" s="383">
        <v>59423.24103757913</v>
      </c>
      <c r="K168" s="384">
        <v>0.32873382655854311</v>
      </c>
      <c r="L168" s="383">
        <v>43989.505774999998</v>
      </c>
      <c r="M168" s="383">
        <v>883647</v>
      </c>
      <c r="N168" s="384">
        <v>0.57294849184324503</v>
      </c>
      <c r="O168" s="383">
        <v>84902.645266610984</v>
      </c>
      <c r="P168" s="384">
        <v>0.46968780187847964</v>
      </c>
      <c r="Q168" s="383">
        <v>62851.257168999997</v>
      </c>
      <c r="R168" s="383">
        <v>183188</v>
      </c>
      <c r="S168" s="384">
        <v>0.11877739450683404</v>
      </c>
      <c r="T168" s="383">
        <v>27086.945647222899</v>
      </c>
      <c r="U168" s="384">
        <v>0.14984701502167708</v>
      </c>
      <c r="V168" s="383">
        <v>20051.773197999999</v>
      </c>
      <c r="W168" s="383">
        <v>68452</v>
      </c>
      <c r="X168" s="384">
        <v>4.4383639806001504E-2</v>
      </c>
      <c r="Y168" s="383">
        <v>9351.1668730178135</v>
      </c>
      <c r="Z168" s="384">
        <v>5.1731356541300275E-2</v>
      </c>
      <c r="AA168" s="383">
        <v>6922.429709</v>
      </c>
      <c r="AB168" s="383"/>
      <c r="AC168" s="384"/>
      <c r="AD168" s="383"/>
      <c r="AE168" s="384"/>
      <c r="AF168" s="383"/>
      <c r="AG168" s="383">
        <v>1542280</v>
      </c>
      <c r="AH168" s="384">
        <v>0.99999999999999989</v>
      </c>
      <c r="AI168" s="383">
        <v>180763.9988244308</v>
      </c>
      <c r="AJ168" s="384">
        <v>1</v>
      </c>
      <c r="AK168" s="383">
        <v>133814.96585099999</v>
      </c>
    </row>
    <row r="169" spans="2:37" hidden="1" outlineLevel="1" x14ac:dyDescent="0.25">
      <c r="B169" s="288">
        <v>43617</v>
      </c>
      <c r="C169" s="383"/>
      <c r="D169" s="384"/>
      <c r="E169" s="383"/>
      <c r="F169" s="384"/>
      <c r="G169" s="383"/>
      <c r="H169" s="383">
        <v>406862</v>
      </c>
      <c r="I169" s="384">
        <v>0.2630198585934202</v>
      </c>
      <c r="J169" s="383">
        <v>59341.113581213038</v>
      </c>
      <c r="K169" s="384">
        <v>0.32756836601443401</v>
      </c>
      <c r="L169" s="383">
        <v>43950.137347999997</v>
      </c>
      <c r="M169" s="383">
        <v>888301</v>
      </c>
      <c r="N169" s="384">
        <v>0.57425073712559482</v>
      </c>
      <c r="O169" s="383">
        <v>85424.194211323353</v>
      </c>
      <c r="P169" s="384">
        <v>0.47154935300644313</v>
      </c>
      <c r="Q169" s="383">
        <v>63268.193700000003</v>
      </c>
      <c r="R169" s="383">
        <v>183151</v>
      </c>
      <c r="S169" s="384">
        <v>0.11839972796978707</v>
      </c>
      <c r="T169" s="383">
        <v>27056.493829802879</v>
      </c>
      <c r="U169" s="384">
        <v>0.14935431674666211</v>
      </c>
      <c r="V169" s="383">
        <v>20039.000757000002</v>
      </c>
      <c r="W169" s="383">
        <v>68573</v>
      </c>
      <c r="X169" s="384">
        <v>4.4329676311197906E-2</v>
      </c>
      <c r="Y169" s="383">
        <v>9334.6217015119491</v>
      </c>
      <c r="Z169" s="384">
        <v>5.1527964232460893E-2</v>
      </c>
      <c r="AA169" s="383">
        <v>6913.5525289999996</v>
      </c>
      <c r="AB169" s="383"/>
      <c r="AC169" s="384"/>
      <c r="AD169" s="383"/>
      <c r="AE169" s="384"/>
      <c r="AF169" s="383"/>
      <c r="AG169" s="383">
        <v>1546887</v>
      </c>
      <c r="AH169" s="384">
        <v>0.99999999999999989</v>
      </c>
      <c r="AI169" s="383">
        <v>181156.4233238512</v>
      </c>
      <c r="AJ169" s="384">
        <v>1.0000000000000002</v>
      </c>
      <c r="AK169" s="383">
        <v>134170.884334</v>
      </c>
    </row>
    <row r="170" spans="2:37" hidden="1" outlineLevel="1" x14ac:dyDescent="0.25">
      <c r="B170" s="288">
        <v>43647</v>
      </c>
      <c r="C170" s="383"/>
      <c r="D170" s="384"/>
      <c r="E170" s="383"/>
      <c r="F170" s="384"/>
      <c r="G170" s="383"/>
      <c r="H170" s="383">
        <v>407080</v>
      </c>
      <c r="I170" s="384">
        <v>0.26146863827945055</v>
      </c>
      <c r="J170" s="383">
        <v>60857.073681315807</v>
      </c>
      <c r="K170" s="384">
        <v>0.32487821502891195</v>
      </c>
      <c r="L170" s="383">
        <v>45173.691492999998</v>
      </c>
      <c r="M170" s="383">
        <v>897298</v>
      </c>
      <c r="N170" s="384">
        <v>0.57633704969753963</v>
      </c>
      <c r="O170" s="383">
        <v>89184.94905611877</v>
      </c>
      <c r="P170" s="384">
        <v>0.47610319235070148</v>
      </c>
      <c r="Q170" s="383">
        <v>66201.233986000007</v>
      </c>
      <c r="R170" s="383">
        <v>183153</v>
      </c>
      <c r="S170" s="384">
        <v>0.11763969123218092</v>
      </c>
      <c r="T170" s="383">
        <v>27677.50328768466</v>
      </c>
      <c r="U170" s="384">
        <v>0.14775304365843148</v>
      </c>
      <c r="V170" s="383">
        <v>20544.776789</v>
      </c>
      <c r="W170" s="383">
        <v>69367</v>
      </c>
      <c r="X170" s="384">
        <v>4.455462079082894E-2</v>
      </c>
      <c r="Y170" s="383">
        <v>9603.2025114800872</v>
      </c>
      <c r="Z170" s="384">
        <v>5.1265548961955273E-2</v>
      </c>
      <c r="AA170" s="383">
        <v>7128.3760679999996</v>
      </c>
      <c r="AB170" s="383"/>
      <c r="AC170" s="384"/>
      <c r="AD170" s="383"/>
      <c r="AE170" s="384"/>
      <c r="AF170" s="383"/>
      <c r="AG170" s="383">
        <v>1556898</v>
      </c>
      <c r="AH170" s="384">
        <v>1</v>
      </c>
      <c r="AI170" s="383">
        <v>187322.72853659929</v>
      </c>
      <c r="AJ170" s="384">
        <v>1.0000000000000002</v>
      </c>
      <c r="AK170" s="383">
        <v>139048.07833600001</v>
      </c>
    </row>
    <row r="171" spans="2:37" hidden="1" outlineLevel="1" x14ac:dyDescent="0.25">
      <c r="B171" s="288">
        <v>43678</v>
      </c>
      <c r="C171" s="383"/>
      <c r="D171" s="384"/>
      <c r="E171" s="383"/>
      <c r="F171" s="384"/>
      <c r="G171" s="383"/>
      <c r="H171" s="383">
        <v>406828</v>
      </c>
      <c r="I171" s="384">
        <v>0.26131248458439532</v>
      </c>
      <c r="J171" s="383">
        <v>60670.424066647567</v>
      </c>
      <c r="K171" s="384">
        <v>0.32440783689136199</v>
      </c>
      <c r="L171" s="383">
        <v>45119.452408999998</v>
      </c>
      <c r="M171" s="383">
        <v>898613</v>
      </c>
      <c r="N171" s="384">
        <v>0.57719428286606922</v>
      </c>
      <c r="O171" s="383">
        <v>89309.361852787479</v>
      </c>
      <c r="P171" s="384">
        <v>0.47754169084072523</v>
      </c>
      <c r="Q171" s="383">
        <v>66417.691384000005</v>
      </c>
      <c r="R171" s="383">
        <v>182738</v>
      </c>
      <c r="S171" s="384">
        <v>0.11737569884074653</v>
      </c>
      <c r="T171" s="383">
        <v>27516.502707425389</v>
      </c>
      <c r="U171" s="384">
        <v>0.14713213661281119</v>
      </c>
      <c r="V171" s="383">
        <v>20463.505133999999</v>
      </c>
      <c r="W171" s="383">
        <v>68685</v>
      </c>
      <c r="X171" s="384">
        <v>4.4117533708788952E-2</v>
      </c>
      <c r="Y171" s="383">
        <v>9522.6954026928688</v>
      </c>
      <c r="Z171" s="384">
        <v>5.0918335655101538E-2</v>
      </c>
      <c r="AA171" s="383">
        <v>7081.84933</v>
      </c>
      <c r="AB171" s="383"/>
      <c r="AC171" s="384"/>
      <c r="AD171" s="383"/>
      <c r="AE171" s="384"/>
      <c r="AF171" s="383"/>
      <c r="AG171" s="383">
        <v>1556864</v>
      </c>
      <c r="AH171" s="384">
        <v>0.99999999999999989</v>
      </c>
      <c r="AI171" s="383">
        <v>187018.98402955331</v>
      </c>
      <c r="AJ171" s="384">
        <v>0.99999999999999989</v>
      </c>
      <c r="AK171" s="383">
        <v>139082.498257</v>
      </c>
    </row>
    <row r="172" spans="2:37" hidden="1" outlineLevel="1" x14ac:dyDescent="0.25">
      <c r="B172" s="288">
        <v>43709</v>
      </c>
      <c r="C172" s="383"/>
      <c r="D172" s="384"/>
      <c r="E172" s="383"/>
      <c r="F172" s="384"/>
      <c r="G172" s="383"/>
      <c r="H172" s="383">
        <v>406809</v>
      </c>
      <c r="I172" s="384">
        <v>0.26013733003202405</v>
      </c>
      <c r="J172" s="383">
        <v>60707.591041892148</v>
      </c>
      <c r="K172" s="384">
        <v>0.32239022758887476</v>
      </c>
      <c r="L172" s="383">
        <v>45152.557959999998</v>
      </c>
      <c r="M172" s="383">
        <v>905524</v>
      </c>
      <c r="N172" s="384">
        <v>0.57904470068242975</v>
      </c>
      <c r="O172" s="383">
        <v>90389.143595306305</v>
      </c>
      <c r="P172" s="384">
        <v>0.48001536669681727</v>
      </c>
      <c r="Q172" s="383">
        <v>67228.841979999997</v>
      </c>
      <c r="R172" s="383">
        <v>182386</v>
      </c>
      <c r="S172" s="384">
        <v>0.11662821391665558</v>
      </c>
      <c r="T172" s="383">
        <v>27527.98861643449</v>
      </c>
      <c r="U172" s="384">
        <v>0.14618854681603355</v>
      </c>
      <c r="V172" s="383">
        <v>20474.525182000001</v>
      </c>
      <c r="W172" s="383">
        <v>69105</v>
      </c>
      <c r="X172" s="384">
        <v>4.4189755368890617E-2</v>
      </c>
      <c r="Y172" s="383">
        <v>9679.964192752579</v>
      </c>
      <c r="Z172" s="384">
        <v>5.1405858898274523E-2</v>
      </c>
      <c r="AA172" s="383">
        <v>7199.6786030000003</v>
      </c>
      <c r="AB172" s="383"/>
      <c r="AC172" s="384"/>
      <c r="AD172" s="383"/>
      <c r="AE172" s="384"/>
      <c r="AF172" s="383"/>
      <c r="AG172" s="383">
        <v>1563824</v>
      </c>
      <c r="AH172" s="384">
        <v>0.99999999999999989</v>
      </c>
      <c r="AI172" s="383">
        <v>188304.68744638551</v>
      </c>
      <c r="AJ172" s="384">
        <v>1</v>
      </c>
      <c r="AK172" s="383">
        <v>140055.60372499999</v>
      </c>
    </row>
    <row r="173" spans="2:37" hidden="1" outlineLevel="1" x14ac:dyDescent="0.25">
      <c r="B173" s="288">
        <v>43739</v>
      </c>
      <c r="C173" s="383"/>
      <c r="D173" s="384"/>
      <c r="E173" s="383"/>
      <c r="F173" s="384"/>
      <c r="G173" s="383"/>
      <c r="H173" s="383">
        <v>406611</v>
      </c>
      <c r="I173" s="384">
        <v>0.25908856307227651</v>
      </c>
      <c r="J173" s="383">
        <v>60194.763083432947</v>
      </c>
      <c r="K173" s="384">
        <v>0.32148327168663388</v>
      </c>
      <c r="L173" s="383">
        <v>45134.308622999997</v>
      </c>
      <c r="M173" s="383">
        <v>911097</v>
      </c>
      <c r="N173" s="384">
        <v>0.58054212146120465</v>
      </c>
      <c r="O173" s="383">
        <v>90137.458615359574</v>
      </c>
      <c r="P173" s="384">
        <v>0.48139877312948037</v>
      </c>
      <c r="Q173" s="383">
        <v>67585.478657</v>
      </c>
      <c r="R173" s="383">
        <v>182277</v>
      </c>
      <c r="S173" s="384">
        <v>0.1161451264504043</v>
      </c>
      <c r="T173" s="383">
        <v>27377.323188799681</v>
      </c>
      <c r="U173" s="384">
        <v>0.14621457046950342</v>
      </c>
      <c r="V173" s="383">
        <v>20527.64212</v>
      </c>
      <c r="W173" s="383">
        <v>69405</v>
      </c>
      <c r="X173" s="384">
        <v>4.4224189016114544E-2</v>
      </c>
      <c r="Y173" s="383">
        <v>9531.187009984933</v>
      </c>
      <c r="Z173" s="384">
        <v>5.0903384714382584E-2</v>
      </c>
      <c r="AA173" s="383">
        <v>7146.5276050000002</v>
      </c>
      <c r="AB173" s="383"/>
      <c r="AC173" s="384"/>
      <c r="AD173" s="383"/>
      <c r="AE173" s="384"/>
      <c r="AF173" s="383"/>
      <c r="AG173" s="383">
        <v>1569390</v>
      </c>
      <c r="AH173" s="384">
        <v>1</v>
      </c>
      <c r="AI173" s="383">
        <v>187240.73189757709</v>
      </c>
      <c r="AJ173" s="384">
        <v>1.0000000000000002</v>
      </c>
      <c r="AK173" s="383">
        <v>140393.957005</v>
      </c>
    </row>
    <row r="174" spans="2:37" hidden="1" outlineLevel="1" x14ac:dyDescent="0.25">
      <c r="B174" s="288">
        <v>43770</v>
      </c>
      <c r="C174" s="383"/>
      <c r="D174" s="384"/>
      <c r="E174" s="383"/>
      <c r="F174" s="384"/>
      <c r="G174" s="383"/>
      <c r="H174" s="383">
        <v>407082</v>
      </c>
      <c r="I174" s="384">
        <v>0.25870359048925168</v>
      </c>
      <c r="J174" s="383">
        <v>60211.355168728922</v>
      </c>
      <c r="K174" s="384">
        <v>0.3209827704344444</v>
      </c>
      <c r="L174" s="383">
        <v>45185.052595000001</v>
      </c>
      <c r="M174" s="383">
        <v>915536</v>
      </c>
      <c r="N174" s="384">
        <v>0.58182982893413981</v>
      </c>
      <c r="O174" s="383">
        <v>90564.429568173087</v>
      </c>
      <c r="P174" s="384">
        <v>0.48279301178567008</v>
      </c>
      <c r="Q174" s="383">
        <v>67963.235535999993</v>
      </c>
      <c r="R174" s="383">
        <v>182107</v>
      </c>
      <c r="S174" s="384">
        <v>0.11573033136622635</v>
      </c>
      <c r="T174" s="383">
        <v>27354.383219047959</v>
      </c>
      <c r="U174" s="384">
        <v>0.14582441608515026</v>
      </c>
      <c r="V174" s="383">
        <v>20527.842979000001</v>
      </c>
      <c r="W174" s="383">
        <v>68821</v>
      </c>
      <c r="X174" s="384">
        <v>4.3736249210382154E-2</v>
      </c>
      <c r="Y174" s="383">
        <v>9454.2157392681256</v>
      </c>
      <c r="Z174" s="384">
        <v>5.0399801694735277E-2</v>
      </c>
      <c r="AA174" s="383">
        <v>7094.8284460000004</v>
      </c>
      <c r="AB174" s="383"/>
      <c r="AC174" s="384"/>
      <c r="AD174" s="383"/>
      <c r="AE174" s="384"/>
      <c r="AF174" s="383"/>
      <c r="AG174" s="383">
        <v>1573546</v>
      </c>
      <c r="AH174" s="384">
        <v>1</v>
      </c>
      <c r="AI174" s="383">
        <v>187584.3836952181</v>
      </c>
      <c r="AJ174" s="384">
        <v>1</v>
      </c>
      <c r="AK174" s="383">
        <v>140770.95955599999</v>
      </c>
    </row>
    <row r="175" spans="2:37" collapsed="1" x14ac:dyDescent="0.25">
      <c r="B175" s="288">
        <v>43800</v>
      </c>
      <c r="C175" s="383"/>
      <c r="D175" s="384"/>
      <c r="E175" s="383"/>
      <c r="F175" s="384"/>
      <c r="G175" s="383"/>
      <c r="H175" s="383">
        <v>407066</v>
      </c>
      <c r="I175" s="384">
        <v>0.25904934758149506</v>
      </c>
      <c r="J175" s="383">
        <v>77627.086670423756</v>
      </c>
      <c r="K175" s="384">
        <v>0.30351466915028957</v>
      </c>
      <c r="L175" s="383">
        <v>58312.359814000003</v>
      </c>
      <c r="M175" s="383">
        <v>914029</v>
      </c>
      <c r="N175" s="384">
        <v>0.58167131649552239</v>
      </c>
      <c r="O175" s="383">
        <v>132803.21920759801</v>
      </c>
      <c r="P175" s="384">
        <v>0.51924820148177619</v>
      </c>
      <c r="Q175" s="383">
        <v>99759.883245000005</v>
      </c>
      <c r="R175" s="383">
        <v>181957</v>
      </c>
      <c r="S175" s="384">
        <v>0.11579410252363521</v>
      </c>
      <c r="T175" s="383">
        <v>33510.442690744501</v>
      </c>
      <c r="U175" s="384">
        <v>0.13102270563808519</v>
      </c>
      <c r="V175" s="383">
        <v>25172.566374999999</v>
      </c>
      <c r="W175" s="383">
        <v>68332</v>
      </c>
      <c r="X175" s="384">
        <v>4.3485233399347324E-2</v>
      </c>
      <c r="Y175" s="383">
        <v>11819.827642413869</v>
      </c>
      <c r="Z175" s="384">
        <v>4.6214423729849213E-2</v>
      </c>
      <c r="AA175" s="383">
        <v>8878.8858629999995</v>
      </c>
      <c r="AB175" s="383"/>
      <c r="AC175" s="384"/>
      <c r="AD175" s="383"/>
      <c r="AE175" s="384"/>
      <c r="AF175" s="383"/>
      <c r="AG175" s="383">
        <v>1571384</v>
      </c>
      <c r="AH175" s="384">
        <v>1</v>
      </c>
      <c r="AI175" s="383">
        <v>255760.5762111801</v>
      </c>
      <c r="AJ175" s="384">
        <v>1.0000000000000002</v>
      </c>
      <c r="AK175" s="383">
        <v>192123.695297</v>
      </c>
    </row>
    <row r="176" spans="2:37" hidden="1" outlineLevel="1" x14ac:dyDescent="0.25">
      <c r="B176" s="288">
        <v>43831</v>
      </c>
      <c r="C176" s="383"/>
      <c r="D176" s="384"/>
      <c r="E176" s="383"/>
      <c r="F176" s="384"/>
      <c r="G176" s="383"/>
      <c r="H176" s="383">
        <v>407818</v>
      </c>
      <c r="I176" s="384">
        <v>0.25605353404834286</v>
      </c>
      <c r="J176" s="383">
        <v>81212.8637230694</v>
      </c>
      <c r="K176" s="384">
        <v>0.30799613003643961</v>
      </c>
      <c r="L176" s="383">
        <v>61351.356659999998</v>
      </c>
      <c r="M176" s="383">
        <v>933220</v>
      </c>
      <c r="N176" s="384">
        <v>0.58593362491257017</v>
      </c>
      <c r="O176" s="383">
        <v>135890.51903011181</v>
      </c>
      <c r="P176" s="384">
        <v>0.51535867658399759</v>
      </c>
      <c r="Q176" s="383">
        <v>102656.98458999999</v>
      </c>
      <c r="R176" s="383">
        <v>182081</v>
      </c>
      <c r="S176" s="384">
        <v>0.11432178945769024</v>
      </c>
      <c r="T176" s="383">
        <v>34534.564210407792</v>
      </c>
      <c r="U176" s="384">
        <v>0.13097078026419989</v>
      </c>
      <c r="V176" s="383">
        <v>26088.753293999998</v>
      </c>
      <c r="W176" s="383">
        <v>69587</v>
      </c>
      <c r="X176" s="384">
        <v>4.3691051581396689E-2</v>
      </c>
      <c r="Y176" s="383">
        <v>12043.495116416791</v>
      </c>
      <c r="Z176" s="384">
        <v>4.5674413115362786E-2</v>
      </c>
      <c r="AA176" s="383">
        <v>9098.1247359999998</v>
      </c>
      <c r="AB176" s="383"/>
      <c r="AC176" s="384"/>
      <c r="AD176" s="383"/>
      <c r="AE176" s="384"/>
      <c r="AF176" s="383"/>
      <c r="AG176" s="383">
        <v>1592706</v>
      </c>
      <c r="AH176" s="384">
        <v>1</v>
      </c>
      <c r="AI176" s="383">
        <v>263681.44208000583</v>
      </c>
      <c r="AJ176" s="384">
        <v>1</v>
      </c>
      <c r="AK176" s="383">
        <v>199195.21927999999</v>
      </c>
    </row>
    <row r="177" spans="2:37" hidden="1" outlineLevel="1" x14ac:dyDescent="0.25">
      <c r="B177" s="288">
        <v>43862</v>
      </c>
      <c r="C177" s="383"/>
      <c r="D177" s="384"/>
      <c r="E177" s="383"/>
      <c r="F177" s="384"/>
      <c r="G177" s="383"/>
      <c r="H177" s="383">
        <v>409007</v>
      </c>
      <c r="I177" s="384">
        <v>0.25456148955133218</v>
      </c>
      <c r="J177" s="383">
        <v>78717.572182710384</v>
      </c>
      <c r="K177" s="384">
        <v>0.30519500510482656</v>
      </c>
      <c r="L177" s="383">
        <v>59732.945197000001</v>
      </c>
      <c r="M177" s="383">
        <v>945855</v>
      </c>
      <c r="N177" s="384">
        <v>0.58868982120006574</v>
      </c>
      <c r="O177" s="383">
        <v>134300.44500780359</v>
      </c>
      <c r="P177" s="384">
        <v>0.52069473007374723</v>
      </c>
      <c r="Q177" s="383">
        <v>101910.677618</v>
      </c>
      <c r="R177" s="383">
        <v>182190</v>
      </c>
      <c r="S177" s="384">
        <v>0.11339306608776184</v>
      </c>
      <c r="T177" s="383">
        <v>33056.542695930708</v>
      </c>
      <c r="U177" s="384">
        <v>0.12816314625933523</v>
      </c>
      <c r="V177" s="383">
        <v>25084.166069999999</v>
      </c>
      <c r="W177" s="383">
        <v>69659</v>
      </c>
      <c r="X177" s="384">
        <v>4.3355000771762457E-2</v>
      </c>
      <c r="Y177" s="383">
        <v>11850.912574419381</v>
      </c>
      <c r="Z177" s="384">
        <v>4.5947038550068271E-2</v>
      </c>
      <c r="AA177" s="383">
        <v>8992.7813029999998</v>
      </c>
      <c r="AB177" s="383">
        <v>1</v>
      </c>
      <c r="AC177" s="384">
        <v>6.2238907781855119E-7</v>
      </c>
      <c r="AD177" s="383">
        <v>2.063714046437402E-2</v>
      </c>
      <c r="AE177" s="384">
        <v>8.0012022915984052E-8</v>
      </c>
      <c r="AF177" s="383">
        <v>1.566E-2</v>
      </c>
      <c r="AG177" s="383">
        <v>1606712</v>
      </c>
      <c r="AH177" s="384">
        <v>1</v>
      </c>
      <c r="AI177" s="383">
        <v>257925.49309800449</v>
      </c>
      <c r="AJ177" s="384">
        <v>1.0000000000000002</v>
      </c>
      <c r="AK177" s="383">
        <v>195720.58584799999</v>
      </c>
    </row>
    <row r="178" spans="2:37" hidden="1" outlineLevel="1" x14ac:dyDescent="0.25">
      <c r="B178" s="288">
        <v>43891</v>
      </c>
      <c r="C178" s="383"/>
      <c r="D178" s="384"/>
      <c r="E178" s="383"/>
      <c r="F178" s="384"/>
      <c r="G178" s="383"/>
      <c r="H178" s="383">
        <v>409402</v>
      </c>
      <c r="I178" s="384">
        <v>0.25176291600789846</v>
      </c>
      <c r="J178" s="383">
        <v>78537.43595172088</v>
      </c>
      <c r="K178" s="384">
        <v>0.30284486375512754</v>
      </c>
      <c r="L178" s="383">
        <v>59793.272900000004</v>
      </c>
      <c r="M178" s="383">
        <v>963962</v>
      </c>
      <c r="N178" s="384">
        <v>0.59279115402661886</v>
      </c>
      <c r="O178" s="383">
        <v>135927.24406533359</v>
      </c>
      <c r="P178" s="384">
        <v>0.52414325997198452</v>
      </c>
      <c r="Q178" s="383">
        <v>103486.123534</v>
      </c>
      <c r="R178" s="383">
        <v>182484</v>
      </c>
      <c r="S178" s="384">
        <v>0.11221905111549367</v>
      </c>
      <c r="T178" s="383">
        <v>33000.523619705367</v>
      </c>
      <c r="U178" s="384">
        <v>0.12725191443226069</v>
      </c>
      <c r="V178" s="383">
        <v>25124.442767</v>
      </c>
      <c r="W178" s="383">
        <v>70292</v>
      </c>
      <c r="X178" s="384">
        <v>4.3226263897165128E-2</v>
      </c>
      <c r="Y178" s="383">
        <v>11867.013558470509</v>
      </c>
      <c r="Z178" s="384">
        <v>4.5759885852455121E-2</v>
      </c>
      <c r="AA178" s="383">
        <v>9034.7688539999999</v>
      </c>
      <c r="AB178" s="383">
        <v>1</v>
      </c>
      <c r="AC178" s="384">
        <v>6.1495282389411496E-7</v>
      </c>
      <c r="AD178" s="383">
        <v>1.9706182559270279E-2</v>
      </c>
      <c r="AE178" s="384">
        <v>7.5988171754989811E-8</v>
      </c>
      <c r="AF178" s="383">
        <v>1.5003000000000001E-2</v>
      </c>
      <c r="AG178" s="383">
        <v>1626141</v>
      </c>
      <c r="AH178" s="384">
        <v>1</v>
      </c>
      <c r="AI178" s="383">
        <v>259332.23690141301</v>
      </c>
      <c r="AJ178" s="384">
        <v>0.99999999999999967</v>
      </c>
      <c r="AK178" s="383">
        <v>197438.623058</v>
      </c>
    </row>
    <row r="179" spans="2:37" hidden="1" outlineLevel="1" x14ac:dyDescent="0.25">
      <c r="B179" s="288">
        <v>43922</v>
      </c>
      <c r="C179" s="383"/>
      <c r="D179" s="384"/>
      <c r="E179" s="383"/>
      <c r="F179" s="384"/>
      <c r="G179" s="383"/>
      <c r="H179" s="383">
        <v>409488</v>
      </c>
      <c r="I179" s="384">
        <v>0.24914727682260071</v>
      </c>
      <c r="J179" s="383">
        <v>78595.680338650011</v>
      </c>
      <c r="K179" s="384">
        <v>0.30091142109817443</v>
      </c>
      <c r="L179" s="383">
        <v>59813.276496999999</v>
      </c>
      <c r="M179" s="383">
        <v>980826</v>
      </c>
      <c r="N179" s="384">
        <v>0.59676993449577076</v>
      </c>
      <c r="O179" s="383">
        <v>137676.95302677379</v>
      </c>
      <c r="P179" s="384">
        <v>0.52710998122603314</v>
      </c>
      <c r="Q179" s="383">
        <v>104775.60119299999</v>
      </c>
      <c r="R179" s="383">
        <v>182549</v>
      </c>
      <c r="S179" s="384">
        <v>0.11106939943707493</v>
      </c>
      <c r="T179" s="383">
        <v>33030.383866540476</v>
      </c>
      <c r="U179" s="384">
        <v>0.12646012739979073</v>
      </c>
      <c r="V179" s="383">
        <v>25136.947405999999</v>
      </c>
      <c r="W179" s="383">
        <v>70693</v>
      </c>
      <c r="X179" s="384">
        <v>4.3012172372377491E-2</v>
      </c>
      <c r="Y179" s="383">
        <v>11888.86357523384</v>
      </c>
      <c r="Z179" s="384">
        <v>4.5517702986364733E-2</v>
      </c>
      <c r="AA179" s="383">
        <v>9047.7222309999997</v>
      </c>
      <c r="AB179" s="383">
        <v>2</v>
      </c>
      <c r="AC179" s="384">
        <v>1.2168721760960063E-6</v>
      </c>
      <c r="AD179" s="383">
        <v>0.2004099771864381</v>
      </c>
      <c r="AE179" s="384">
        <v>7.6728963700779942E-7</v>
      </c>
      <c r="AF179" s="383">
        <v>0.15251700000000001</v>
      </c>
      <c r="AG179" s="383">
        <v>1643558</v>
      </c>
      <c r="AH179" s="384">
        <v>1</v>
      </c>
      <c r="AI179" s="383">
        <v>261192.08121717529</v>
      </c>
      <c r="AJ179" s="384">
        <v>1</v>
      </c>
      <c r="AK179" s="383">
        <v>198773.69984399999</v>
      </c>
    </row>
    <row r="180" spans="2:37" hidden="1" outlineLevel="1" x14ac:dyDescent="0.25">
      <c r="B180" s="288">
        <v>43952</v>
      </c>
      <c r="C180" s="383"/>
      <c r="D180" s="384"/>
      <c r="E180" s="383"/>
      <c r="F180" s="384"/>
      <c r="G180" s="383"/>
      <c r="H180" s="383">
        <v>409485</v>
      </c>
      <c r="I180" s="384">
        <v>0.24864017079381964</v>
      </c>
      <c r="J180" s="383">
        <v>78654.957293885163</v>
      </c>
      <c r="K180" s="384">
        <v>0.3003703019777812</v>
      </c>
      <c r="L180" s="383">
        <v>59828.618971999997</v>
      </c>
      <c r="M180" s="383">
        <v>983844</v>
      </c>
      <c r="N180" s="384">
        <v>0.59739218822295004</v>
      </c>
      <c r="O180" s="383">
        <v>138228.1662306808</v>
      </c>
      <c r="P180" s="384">
        <v>0.52787055591945975</v>
      </c>
      <c r="Q180" s="383">
        <v>105142.7726</v>
      </c>
      <c r="R180" s="383">
        <v>182513</v>
      </c>
      <c r="S180" s="384">
        <v>0.11082228529028514</v>
      </c>
      <c r="T180" s="383">
        <v>33035.486191702737</v>
      </c>
      <c r="U180" s="384">
        <v>0.12615707012984423</v>
      </c>
      <c r="V180" s="383">
        <v>25128.327367000002</v>
      </c>
      <c r="W180" s="383">
        <v>71054</v>
      </c>
      <c r="X180" s="384">
        <v>4.3144141288652973E-2</v>
      </c>
      <c r="Y180" s="383">
        <v>11941.15706359232</v>
      </c>
      <c r="Z180" s="384">
        <v>4.5601308252622812E-2</v>
      </c>
      <c r="AA180" s="383">
        <v>9082.9994779999997</v>
      </c>
      <c r="AB180" s="383">
        <v>2</v>
      </c>
      <c r="AC180" s="384">
        <v>1.2144042921905304E-6</v>
      </c>
      <c r="AD180" s="383">
        <v>0.19998777021989211</v>
      </c>
      <c r="AE180" s="384">
        <v>7.63720291759438E-7</v>
      </c>
      <c r="AF180" s="383">
        <v>0.15212000000000001</v>
      </c>
      <c r="AG180" s="383">
        <v>1646898</v>
      </c>
      <c r="AH180" s="384">
        <v>1</v>
      </c>
      <c r="AI180" s="383">
        <v>261859.9667676313</v>
      </c>
      <c r="AJ180" s="384">
        <v>0.99999999999999967</v>
      </c>
      <c r="AK180" s="383">
        <v>199182.87053700001</v>
      </c>
    </row>
    <row r="181" spans="2:37" hidden="1" outlineLevel="1" x14ac:dyDescent="0.25">
      <c r="B181" s="288">
        <v>43983</v>
      </c>
      <c r="C181" s="383"/>
      <c r="D181" s="384"/>
      <c r="E181" s="383"/>
      <c r="F181" s="384"/>
      <c r="G181" s="383"/>
      <c r="H181" s="383">
        <v>409330</v>
      </c>
      <c r="I181" s="384">
        <v>0.24734021500646253</v>
      </c>
      <c r="J181" s="383">
        <v>78693.598576909571</v>
      </c>
      <c r="K181" s="384">
        <v>0.29893775853080762</v>
      </c>
      <c r="L181" s="383">
        <v>59814.978177999998</v>
      </c>
      <c r="M181" s="383">
        <v>991698</v>
      </c>
      <c r="N181" s="384">
        <v>0.59923972477335863</v>
      </c>
      <c r="O181" s="383">
        <v>139511.70187587381</v>
      </c>
      <c r="P181" s="384">
        <v>0.52997087694283229</v>
      </c>
      <c r="Q181" s="383">
        <v>106042.798324</v>
      </c>
      <c r="R181" s="383">
        <v>182392</v>
      </c>
      <c r="S181" s="384">
        <v>0.11021150781877388</v>
      </c>
      <c r="T181" s="383">
        <v>33037.020004459599</v>
      </c>
      <c r="U181" s="384">
        <v>0.12549956905349149</v>
      </c>
      <c r="V181" s="383">
        <v>25111.427948</v>
      </c>
      <c r="W181" s="383">
        <v>71502</v>
      </c>
      <c r="X181" s="384">
        <v>4.3205531120103786E-2</v>
      </c>
      <c r="Y181" s="383">
        <v>12001.14005449099</v>
      </c>
      <c r="Z181" s="384">
        <v>4.5589399551954277E-2</v>
      </c>
      <c r="AA181" s="383">
        <v>9122.0625749999999</v>
      </c>
      <c r="AB181" s="383">
        <v>5</v>
      </c>
      <c r="AC181" s="384">
        <v>3.021281301229601E-6</v>
      </c>
      <c r="AD181" s="383">
        <v>0.63071202366567813</v>
      </c>
      <c r="AE181" s="384">
        <v>2.3959209140598425E-6</v>
      </c>
      <c r="AF181" s="383">
        <v>0.479404</v>
      </c>
      <c r="AG181" s="383">
        <v>1654927</v>
      </c>
      <c r="AH181" s="384">
        <v>1</v>
      </c>
      <c r="AI181" s="383">
        <v>263244.09122375771</v>
      </c>
      <c r="AJ181" s="384">
        <v>0.99999999999999978</v>
      </c>
      <c r="AK181" s="383">
        <v>200091.74642899999</v>
      </c>
    </row>
    <row r="182" spans="2:37" hidden="1" outlineLevel="1" x14ac:dyDescent="0.25">
      <c r="B182" s="288">
        <v>44013</v>
      </c>
      <c r="C182" s="383"/>
      <c r="D182" s="384"/>
      <c r="E182" s="383"/>
      <c r="F182" s="384"/>
      <c r="G182" s="383"/>
      <c r="H182" s="383">
        <v>409166</v>
      </c>
      <c r="I182" s="384">
        <v>0.24686371954144209</v>
      </c>
      <c r="J182" s="383">
        <v>80642.437281116334</v>
      </c>
      <c r="K182" s="384">
        <v>0.29716532188930195</v>
      </c>
      <c r="L182" s="383">
        <v>61357.788971000002</v>
      </c>
      <c r="M182" s="383">
        <v>994436</v>
      </c>
      <c r="N182" s="384">
        <v>0.59997695264492534</v>
      </c>
      <c r="O182" s="383">
        <v>144572.24938032671</v>
      </c>
      <c r="P182" s="384">
        <v>0.5327450467996383</v>
      </c>
      <c r="Q182" s="383">
        <v>109999.571784</v>
      </c>
      <c r="R182" s="383">
        <v>182185</v>
      </c>
      <c r="S182" s="384">
        <v>0.10991838702301175</v>
      </c>
      <c r="T182" s="383">
        <v>33825.930713777438</v>
      </c>
      <c r="U182" s="384">
        <v>0.12464769081475545</v>
      </c>
      <c r="V182" s="383">
        <v>25736.874882</v>
      </c>
      <c r="W182" s="383">
        <v>71666</v>
      </c>
      <c r="X182" s="384">
        <v>4.3238527455010896E-2</v>
      </c>
      <c r="Y182" s="383">
        <v>12331.25247543435</v>
      </c>
      <c r="Z182" s="384">
        <v>4.5440350449561379E-2</v>
      </c>
      <c r="AA182" s="383">
        <v>9382.3849160000009</v>
      </c>
      <c r="AB182" s="383">
        <v>4</v>
      </c>
      <c r="AC182" s="384">
        <v>2.4133356099132588E-6</v>
      </c>
      <c r="AD182" s="383">
        <v>0.43149464384060648</v>
      </c>
      <c r="AE182" s="384">
        <v>1.5900467428013789E-6</v>
      </c>
      <c r="AF182" s="383">
        <v>0.32830799999999999</v>
      </c>
      <c r="AG182" s="383">
        <v>1657457</v>
      </c>
      <c r="AH182" s="384">
        <v>1</v>
      </c>
      <c r="AI182" s="383">
        <v>271372.30134529871</v>
      </c>
      <c r="AJ182" s="384">
        <v>0.99999999999999989</v>
      </c>
      <c r="AK182" s="383">
        <v>206476.94886100001</v>
      </c>
    </row>
    <row r="183" spans="2:37" hidden="1" outlineLevel="1" x14ac:dyDescent="0.25">
      <c r="B183" s="288">
        <v>44044</v>
      </c>
      <c r="C183" s="383"/>
      <c r="D183" s="384"/>
      <c r="E183" s="383"/>
      <c r="F183" s="384"/>
      <c r="G183" s="383"/>
      <c r="H183" s="383">
        <v>408248</v>
      </c>
      <c r="I183" s="384">
        <v>0.24574363320724552</v>
      </c>
      <c r="J183" s="383">
        <v>80386.158601327203</v>
      </c>
      <c r="K183" s="384">
        <v>0.29592355196117781</v>
      </c>
      <c r="L183" s="383">
        <v>61243.590041000003</v>
      </c>
      <c r="M183" s="383">
        <v>999278</v>
      </c>
      <c r="N183" s="384">
        <v>0.60151233148495498</v>
      </c>
      <c r="O183" s="383">
        <v>145187.84659189481</v>
      </c>
      <c r="P183" s="384">
        <v>0.53447638265872721</v>
      </c>
      <c r="Q183" s="383">
        <v>110613.88067699999</v>
      </c>
      <c r="R183" s="383">
        <v>181973</v>
      </c>
      <c r="S183" s="384">
        <v>0.10953808999829047</v>
      </c>
      <c r="T183" s="383">
        <v>33751.091837117427</v>
      </c>
      <c r="U183" s="384">
        <v>0.12424704890479493</v>
      </c>
      <c r="V183" s="383">
        <v>25713.855070000001</v>
      </c>
      <c r="W183" s="383">
        <v>71773</v>
      </c>
      <c r="X183" s="384">
        <v>4.3203537521760385E-2</v>
      </c>
      <c r="Y183" s="383">
        <v>12319.516990791561</v>
      </c>
      <c r="Z183" s="384">
        <v>4.5351529290527992E-2</v>
      </c>
      <c r="AA183" s="383">
        <v>9385.8378260000009</v>
      </c>
      <c r="AB183" s="383">
        <v>4</v>
      </c>
      <c r="AC183" s="384">
        <v>2.4077877486943769E-6</v>
      </c>
      <c r="AD183" s="383">
        <v>0.40398633428228897</v>
      </c>
      <c r="AE183" s="384">
        <v>1.487184772412012E-6</v>
      </c>
      <c r="AF183" s="383">
        <v>0.307784</v>
      </c>
      <c r="AG183" s="383">
        <v>1661276</v>
      </c>
      <c r="AH183" s="384">
        <v>1</v>
      </c>
      <c r="AI183" s="383">
        <v>271645.01800746517</v>
      </c>
      <c r="AJ183" s="384">
        <v>1.0000000000000004</v>
      </c>
      <c r="AK183" s="383">
        <v>206957.47139799999</v>
      </c>
    </row>
    <row r="184" spans="2:37" hidden="1" outlineLevel="1" x14ac:dyDescent="0.25">
      <c r="B184" s="288">
        <v>44075</v>
      </c>
      <c r="C184" s="383"/>
      <c r="D184" s="384"/>
      <c r="E184" s="383"/>
      <c r="F184" s="384"/>
      <c r="G184" s="383"/>
      <c r="H184" s="383">
        <v>407886</v>
      </c>
      <c r="I184" s="384">
        <v>0.24452893441915341</v>
      </c>
      <c r="J184" s="383">
        <v>79819.969432587197</v>
      </c>
      <c r="K184" s="384">
        <v>0.29481665048623651</v>
      </c>
      <c r="L184" s="383">
        <v>61198.526460000001</v>
      </c>
      <c r="M184" s="383">
        <v>1006541</v>
      </c>
      <c r="N184" s="384">
        <v>0.60342448178949282</v>
      </c>
      <c r="O184" s="383">
        <v>145189.86631358229</v>
      </c>
      <c r="P184" s="384">
        <v>0.53626166954706367</v>
      </c>
      <c r="Q184" s="383">
        <v>111318.081659</v>
      </c>
      <c r="R184" s="383">
        <v>181745</v>
      </c>
      <c r="S184" s="384">
        <v>0.10895669668978351</v>
      </c>
      <c r="T184" s="383">
        <v>33494.556321140262</v>
      </c>
      <c r="U184" s="384">
        <v>0.12371281239917037</v>
      </c>
      <c r="V184" s="383">
        <v>25680.509600000001</v>
      </c>
      <c r="W184" s="383">
        <v>71871</v>
      </c>
      <c r="X184" s="384">
        <v>4.3086889585911198E-2</v>
      </c>
      <c r="Y184" s="383">
        <v>12239.599138994299</v>
      </c>
      <c r="Z184" s="384">
        <v>4.5207203749934637E-2</v>
      </c>
      <c r="AA184" s="383">
        <v>9384.1859010000007</v>
      </c>
      <c r="AB184" s="383">
        <v>5</v>
      </c>
      <c r="AC184" s="384">
        <v>2.9975156590218029E-6</v>
      </c>
      <c r="AD184" s="383">
        <v>0.45046936580583979</v>
      </c>
      <c r="AE184" s="384">
        <v>1.6638175949904305E-6</v>
      </c>
      <c r="AF184" s="383">
        <v>0.34537800000000002</v>
      </c>
      <c r="AG184" s="383">
        <v>1668048</v>
      </c>
      <c r="AH184" s="384">
        <v>0.99999999999999989</v>
      </c>
      <c r="AI184" s="383">
        <v>270744.4416756698</v>
      </c>
      <c r="AJ184" s="384">
        <v>1</v>
      </c>
      <c r="AK184" s="383">
        <v>207581.64899799999</v>
      </c>
    </row>
    <row r="185" spans="2:37" hidden="1" outlineLevel="1" x14ac:dyDescent="0.25">
      <c r="B185" s="288">
        <v>44105</v>
      </c>
      <c r="C185" s="383"/>
      <c r="D185" s="384"/>
      <c r="E185" s="383"/>
      <c r="F185" s="384"/>
      <c r="G185" s="383"/>
      <c r="H185" s="383">
        <v>406826</v>
      </c>
      <c r="I185" s="384">
        <v>0.24278176221559408</v>
      </c>
      <c r="J185" s="383">
        <v>79094.518624510107</v>
      </c>
      <c r="K185" s="384">
        <v>0.29331428304788115</v>
      </c>
      <c r="L185" s="383">
        <v>61058.773178000003</v>
      </c>
      <c r="M185" s="383">
        <v>1015105</v>
      </c>
      <c r="N185" s="384">
        <v>0.60578473532630817</v>
      </c>
      <c r="O185" s="383">
        <v>145167.53677167461</v>
      </c>
      <c r="P185" s="384">
        <v>0.53833960570835182</v>
      </c>
      <c r="Q185" s="383">
        <v>112065.30938799999</v>
      </c>
      <c r="R185" s="383">
        <v>181526</v>
      </c>
      <c r="S185" s="384">
        <v>0.10832936480939746</v>
      </c>
      <c r="T185" s="383">
        <v>33225.998514146922</v>
      </c>
      <c r="U185" s="384">
        <v>0.1232153643793332</v>
      </c>
      <c r="V185" s="383">
        <v>25649.548694000001</v>
      </c>
      <c r="W185" s="383">
        <v>72224</v>
      </c>
      <c r="X185" s="384">
        <v>4.3101153796116932E-2</v>
      </c>
      <c r="Y185" s="383">
        <v>12169.41629876894</v>
      </c>
      <c r="Z185" s="384">
        <v>4.5129089586221874E-2</v>
      </c>
      <c r="AA185" s="383">
        <v>9394.4516309999999</v>
      </c>
      <c r="AB185" s="383">
        <v>5</v>
      </c>
      <c r="AC185" s="384">
        <v>2.9838525833598895E-6</v>
      </c>
      <c r="AD185" s="383">
        <v>0.44689819076904369</v>
      </c>
      <c r="AE185" s="384">
        <v>1.6572782121996151E-6</v>
      </c>
      <c r="AF185" s="383">
        <v>0.34499299999999999</v>
      </c>
      <c r="AG185" s="383">
        <v>1675686</v>
      </c>
      <c r="AH185" s="384">
        <v>1</v>
      </c>
      <c r="AI185" s="383">
        <v>269657.91710729129</v>
      </c>
      <c r="AJ185" s="384">
        <v>1.0000000000000002</v>
      </c>
      <c r="AK185" s="383">
        <v>208168.427884</v>
      </c>
    </row>
    <row r="186" spans="2:37" hidden="1" outlineLevel="1" x14ac:dyDescent="0.25">
      <c r="B186" s="288">
        <v>44136</v>
      </c>
      <c r="C186" s="383"/>
      <c r="D186" s="384"/>
      <c r="E186" s="383"/>
      <c r="F186" s="384"/>
      <c r="G186" s="383"/>
      <c r="H186" s="383">
        <v>406489</v>
      </c>
      <c r="I186" s="384">
        <v>0.24108509614899878</v>
      </c>
      <c r="J186" s="383">
        <v>79154.744977869705</v>
      </c>
      <c r="K186" s="384">
        <v>0.29162810687250473</v>
      </c>
      <c r="L186" s="383">
        <v>61021.409009000003</v>
      </c>
      <c r="M186" s="383">
        <v>1025590</v>
      </c>
      <c r="N186" s="384">
        <v>0.60826852327972381</v>
      </c>
      <c r="O186" s="383">
        <v>146823.87365049939</v>
      </c>
      <c r="P186" s="384">
        <v>0.54094000717650126</v>
      </c>
      <c r="Q186" s="383">
        <v>113188.408968</v>
      </c>
      <c r="R186" s="383">
        <v>181372</v>
      </c>
      <c r="S186" s="384">
        <v>0.10757015825455597</v>
      </c>
      <c r="T186" s="383">
        <v>33243.412545014289</v>
      </c>
      <c r="U186" s="384">
        <v>0.12247798245316392</v>
      </c>
      <c r="V186" s="383">
        <v>25627.773475000002</v>
      </c>
      <c r="W186" s="383">
        <v>72626</v>
      </c>
      <c r="X186" s="384">
        <v>4.3073849951455474E-2</v>
      </c>
      <c r="Y186" s="383">
        <v>12201.15227579394</v>
      </c>
      <c r="Z186" s="384">
        <v>4.4952440196071003E-2</v>
      </c>
      <c r="AA186" s="383">
        <v>9406.024915</v>
      </c>
      <c r="AB186" s="383">
        <v>4</v>
      </c>
      <c r="AC186" s="384">
        <v>2.3723652659629045E-6</v>
      </c>
      <c r="AD186" s="383">
        <v>0.39717460304734059</v>
      </c>
      <c r="AE186" s="384">
        <v>1.463301759318633E-6</v>
      </c>
      <c r="AF186" s="383">
        <v>0.30618699999999999</v>
      </c>
      <c r="AG186" s="383">
        <v>1686081</v>
      </c>
      <c r="AH186" s="384">
        <v>1</v>
      </c>
      <c r="AI186" s="383">
        <v>271423.58062378032</v>
      </c>
      <c r="AJ186" s="384">
        <v>1.0000000000000002</v>
      </c>
      <c r="AK186" s="383">
        <v>209243.92255399999</v>
      </c>
    </row>
    <row r="187" spans="2:37" collapsed="1" x14ac:dyDescent="0.25">
      <c r="B187" s="288">
        <v>44166</v>
      </c>
      <c r="C187" s="383"/>
      <c r="D187" s="384"/>
      <c r="E187" s="383"/>
      <c r="F187" s="384"/>
      <c r="G187" s="383"/>
      <c r="H187" s="383">
        <v>407108</v>
      </c>
      <c r="I187" s="384">
        <v>0.24004872816769943</v>
      </c>
      <c r="J187" s="383">
        <v>79057.697513727413</v>
      </c>
      <c r="K187" s="384">
        <v>0.29072688085151255</v>
      </c>
      <c r="L187" s="383">
        <v>61152.513533999998</v>
      </c>
      <c r="M187" s="383">
        <v>1034956</v>
      </c>
      <c r="N187" s="384">
        <v>0.61025543961191997</v>
      </c>
      <c r="O187" s="383">
        <v>147618.56035265111</v>
      </c>
      <c r="P187" s="384">
        <v>0.54285268805943976</v>
      </c>
      <c r="Q187" s="383">
        <v>114185.54162</v>
      </c>
      <c r="R187" s="383">
        <v>181176</v>
      </c>
      <c r="S187" s="384">
        <v>0.10682931402603514</v>
      </c>
      <c r="T187" s="383">
        <v>33113.847473679263</v>
      </c>
      <c r="U187" s="384">
        <v>0.12177290626689304</v>
      </c>
      <c r="V187" s="383">
        <v>25614.140931000002</v>
      </c>
      <c r="W187" s="383">
        <v>72694</v>
      </c>
      <c r="X187" s="384">
        <v>4.2863569975099339E-2</v>
      </c>
      <c r="Y187" s="383">
        <v>12140.4767840813</v>
      </c>
      <c r="Z187" s="384">
        <v>4.4645405298747699E-2</v>
      </c>
      <c r="AA187" s="383">
        <v>9390.8714039999995</v>
      </c>
      <c r="AB187" s="383">
        <v>5</v>
      </c>
      <c r="AC187" s="384">
        <v>2.9482192460931674E-6</v>
      </c>
      <c r="AD187" s="383">
        <v>0.57636445552730509</v>
      </c>
      <c r="AE187" s="384">
        <v>2.1195234070665688E-6</v>
      </c>
      <c r="AF187" s="383">
        <v>0.445828</v>
      </c>
      <c r="AG187" s="383">
        <v>1695939</v>
      </c>
      <c r="AH187" s="384">
        <v>0.99999999999999989</v>
      </c>
      <c r="AI187" s="383">
        <v>271931.15848859458</v>
      </c>
      <c r="AJ187" s="384">
        <v>1.0000000000000002</v>
      </c>
      <c r="AK187" s="383">
        <v>210343.513317</v>
      </c>
    </row>
    <row r="188" spans="2:37" hidden="1" outlineLevel="1" x14ac:dyDescent="0.25">
      <c r="B188" s="288">
        <v>44197</v>
      </c>
      <c r="C188" s="383"/>
      <c r="D188" s="384"/>
      <c r="E188" s="383"/>
      <c r="F188" s="384"/>
      <c r="G188" s="383"/>
      <c r="H188" s="383">
        <v>408308</v>
      </c>
      <c r="I188" s="384">
        <v>0.23923310972926701</v>
      </c>
      <c r="J188" s="383">
        <v>85915.87750052732</v>
      </c>
      <c r="K188" s="384">
        <v>0.28375939391942179</v>
      </c>
      <c r="L188" s="383">
        <v>66924.148736000003</v>
      </c>
      <c r="M188" s="383">
        <v>1044504</v>
      </c>
      <c r="N188" s="384">
        <v>0.61198884186608715</v>
      </c>
      <c r="O188" s="383">
        <v>166425.51561225791</v>
      </c>
      <c r="P188" s="384">
        <v>0.54966328479356708</v>
      </c>
      <c r="Q188" s="383">
        <v>129637.108813</v>
      </c>
      <c r="R188" s="383">
        <v>181008</v>
      </c>
      <c r="S188" s="384">
        <v>0.10605500437384319</v>
      </c>
      <c r="T188" s="383">
        <v>36791.4366055071</v>
      </c>
      <c r="U188" s="384">
        <v>0.12151322964186041</v>
      </c>
      <c r="V188" s="383">
        <v>28658.679248</v>
      </c>
      <c r="W188" s="383">
        <v>72911</v>
      </c>
      <c r="X188" s="384">
        <v>4.271952855067887E-2</v>
      </c>
      <c r="Y188" s="383">
        <v>13643.652929062569</v>
      </c>
      <c r="Z188" s="384">
        <v>4.5061690558581294E-2</v>
      </c>
      <c r="AA188" s="383">
        <v>10627.719631</v>
      </c>
      <c r="AB188" s="383">
        <v>6</v>
      </c>
      <c r="AC188" s="384">
        <v>3.5154801237683369E-6</v>
      </c>
      <c r="AD188" s="383">
        <v>0.72699429160399343</v>
      </c>
      <c r="AE188" s="384">
        <v>2.4010865694430279E-6</v>
      </c>
      <c r="AF188" s="383">
        <v>0.56629200000000002</v>
      </c>
      <c r="AG188" s="383">
        <v>1706737</v>
      </c>
      <c r="AH188" s="384">
        <v>1</v>
      </c>
      <c r="AI188" s="383">
        <v>302777.20964164648</v>
      </c>
      <c r="AJ188" s="384">
        <v>1</v>
      </c>
      <c r="AK188" s="383">
        <v>235848.22271999999</v>
      </c>
    </row>
    <row r="189" spans="2:37" hidden="1" outlineLevel="1" x14ac:dyDescent="0.25">
      <c r="B189" s="288">
        <v>44228</v>
      </c>
      <c r="C189" s="383"/>
      <c r="D189" s="384"/>
      <c r="E189" s="383"/>
      <c r="F189" s="384"/>
      <c r="G189" s="383"/>
      <c r="H189" s="383">
        <v>408052</v>
      </c>
      <c r="I189" s="384">
        <v>0.23801210557291488</v>
      </c>
      <c r="J189" s="383">
        <v>85711.752083305473</v>
      </c>
      <c r="K189" s="384">
        <v>0.28327527171594585</v>
      </c>
      <c r="L189" s="383">
        <v>66888.862206999998</v>
      </c>
      <c r="M189" s="383">
        <v>1052693</v>
      </c>
      <c r="N189" s="384">
        <v>0.61402389267021962</v>
      </c>
      <c r="O189" s="383">
        <v>166593.46003394859</v>
      </c>
      <c r="P189" s="384">
        <v>0.55058736416156107</v>
      </c>
      <c r="Q189" s="383">
        <v>130008.391171</v>
      </c>
      <c r="R189" s="383">
        <v>180639</v>
      </c>
      <c r="S189" s="384">
        <v>0.10536468082152708</v>
      </c>
      <c r="T189" s="383">
        <v>36651.893555671639</v>
      </c>
      <c r="U189" s="384">
        <v>0.12113362349419383</v>
      </c>
      <c r="V189" s="383">
        <v>28602.885813000001</v>
      </c>
      <c r="W189" s="383">
        <v>73029</v>
      </c>
      <c r="X189" s="384">
        <v>4.2596987780685797E-2</v>
      </c>
      <c r="Y189" s="383">
        <v>13616.46768255737</v>
      </c>
      <c r="Z189" s="384">
        <v>4.5002097015108426E-2</v>
      </c>
      <c r="AA189" s="383">
        <v>10626.19779</v>
      </c>
      <c r="AB189" s="383">
        <v>4</v>
      </c>
      <c r="AC189" s="384">
        <v>2.3331546525728571E-6</v>
      </c>
      <c r="AD189" s="383">
        <v>0.49731473368972529</v>
      </c>
      <c r="AE189" s="384">
        <v>1.6436131906086601E-6</v>
      </c>
      <c r="AF189" s="383">
        <v>0.38810099999999997</v>
      </c>
      <c r="AG189" s="383">
        <v>1714417</v>
      </c>
      <c r="AH189" s="384">
        <v>0.99999999999999989</v>
      </c>
      <c r="AI189" s="383">
        <v>302574.07067021681</v>
      </c>
      <c r="AJ189" s="384">
        <v>0.99999999999999989</v>
      </c>
      <c r="AK189" s="383">
        <v>236126.72508199999</v>
      </c>
    </row>
    <row r="190" spans="2:37" hidden="1" outlineLevel="1" x14ac:dyDescent="0.25">
      <c r="B190" s="288">
        <v>44256</v>
      </c>
      <c r="C190" s="383"/>
      <c r="D190" s="384"/>
      <c r="E190" s="383"/>
      <c r="F190" s="384"/>
      <c r="G190" s="383"/>
      <c r="H190" s="383">
        <v>408360</v>
      </c>
      <c r="I190" s="384">
        <v>0.23711256401621164</v>
      </c>
      <c r="J190" s="383">
        <v>85449.317266182028</v>
      </c>
      <c r="K190" s="384">
        <v>0.28212473428605123</v>
      </c>
      <c r="L190" s="383">
        <v>66934.359488000002</v>
      </c>
      <c r="M190" s="383">
        <v>1060194</v>
      </c>
      <c r="N190" s="384">
        <v>0.61559731044814248</v>
      </c>
      <c r="O190" s="383">
        <v>167353.85447914121</v>
      </c>
      <c r="P190" s="384">
        <v>0.55254580419403976</v>
      </c>
      <c r="Q190" s="383">
        <v>131092.01355599999</v>
      </c>
      <c r="R190" s="383">
        <v>180566</v>
      </c>
      <c r="S190" s="384">
        <v>0.10484490947730254</v>
      </c>
      <c r="T190" s="383">
        <v>36495.487415363074</v>
      </c>
      <c r="U190" s="384">
        <v>0.12049575138939296</v>
      </c>
      <c r="V190" s="383">
        <v>28587.730745000001</v>
      </c>
      <c r="W190" s="383">
        <v>73094</v>
      </c>
      <c r="X190" s="384">
        <v>4.2441732182880235E-2</v>
      </c>
      <c r="Y190" s="383">
        <v>13578.62786175873</v>
      </c>
      <c r="Z190" s="384">
        <v>4.4832034942238003E-2</v>
      </c>
      <c r="AA190" s="383">
        <v>10636.442604</v>
      </c>
      <c r="AB190" s="383">
        <v>6</v>
      </c>
      <c r="AC190" s="384">
        <v>3.4838754630651138E-6</v>
      </c>
      <c r="AD190" s="383">
        <v>0.50737733077672786</v>
      </c>
      <c r="AE190" s="384">
        <v>1.675188277774593E-6</v>
      </c>
      <c r="AF190" s="383">
        <v>0.39744000000000002</v>
      </c>
      <c r="AG190" s="383">
        <v>1722220</v>
      </c>
      <c r="AH190" s="384">
        <v>1</v>
      </c>
      <c r="AI190" s="383">
        <v>302877.79439977591</v>
      </c>
      <c r="AJ190" s="384">
        <v>0.99999999999999967</v>
      </c>
      <c r="AK190" s="383">
        <v>237250.943833</v>
      </c>
    </row>
    <row r="191" spans="2:37" hidden="1" outlineLevel="1" x14ac:dyDescent="0.25">
      <c r="B191" s="288">
        <v>44287</v>
      </c>
      <c r="C191" s="383"/>
      <c r="D191" s="384"/>
      <c r="E191" s="383"/>
      <c r="F191" s="384"/>
      <c r="G191" s="383"/>
      <c r="H191" s="383">
        <v>408797</v>
      </c>
      <c r="I191" s="384">
        <v>0.23586909861339339</v>
      </c>
      <c r="J191" s="383">
        <v>85206.941518992608</v>
      </c>
      <c r="K191" s="384">
        <v>0.28078174105248893</v>
      </c>
      <c r="L191" s="383">
        <v>66996.108122000005</v>
      </c>
      <c r="M191" s="383">
        <v>1068719</v>
      </c>
      <c r="N191" s="384">
        <v>0.61663316316168459</v>
      </c>
      <c r="O191" s="383">
        <v>168116.4653826947</v>
      </c>
      <c r="P191" s="384">
        <v>0.55399282039975273</v>
      </c>
      <c r="Q191" s="383">
        <v>132185.81363300001</v>
      </c>
      <c r="R191" s="383">
        <v>180965</v>
      </c>
      <c r="S191" s="384">
        <v>0.10441380790605786</v>
      </c>
      <c r="T191" s="383">
        <v>36438.341388803121</v>
      </c>
      <c r="U191" s="384">
        <v>0.12007496987710294</v>
      </c>
      <c r="V191" s="383">
        <v>28650.565504999999</v>
      </c>
      <c r="W191" s="383">
        <v>74665</v>
      </c>
      <c r="X191" s="384">
        <v>4.308046841823452E-2</v>
      </c>
      <c r="Y191" s="383">
        <v>13700.781635317349</v>
      </c>
      <c r="Z191" s="384">
        <v>4.514807423860992E-2</v>
      </c>
      <c r="AA191" s="383">
        <v>10772.585325</v>
      </c>
      <c r="AB191" s="383">
        <v>6</v>
      </c>
      <c r="AC191" s="384">
        <v>3.4619006296043278E-6</v>
      </c>
      <c r="AD191" s="383">
        <v>0.7266221460907929</v>
      </c>
      <c r="AE191" s="384">
        <v>2.3944320454360199E-6</v>
      </c>
      <c r="AF191" s="383">
        <v>0.57132499999999997</v>
      </c>
      <c r="AG191" s="383">
        <v>1733152</v>
      </c>
      <c r="AH191" s="384">
        <v>1</v>
      </c>
      <c r="AI191" s="383">
        <v>303463.25654795388</v>
      </c>
      <c r="AJ191" s="384">
        <v>1</v>
      </c>
      <c r="AK191" s="383">
        <v>238605.64391000001</v>
      </c>
    </row>
    <row r="192" spans="2:37" hidden="1" outlineLevel="1" x14ac:dyDescent="0.25">
      <c r="B192" s="288">
        <v>44317</v>
      </c>
      <c r="C192" s="383"/>
      <c r="D192" s="384"/>
      <c r="E192" s="383"/>
      <c r="F192" s="384"/>
      <c r="G192" s="383"/>
      <c r="H192" s="383">
        <v>408904</v>
      </c>
      <c r="I192" s="384">
        <v>0.23449355564794769</v>
      </c>
      <c r="J192" s="383">
        <v>84993.290654218712</v>
      </c>
      <c r="K192" s="384">
        <v>0.27940555047642213</v>
      </c>
      <c r="L192" s="383">
        <v>67007.658257000003</v>
      </c>
      <c r="M192" s="383">
        <v>1076768</v>
      </c>
      <c r="N192" s="384">
        <v>0.61749250906797037</v>
      </c>
      <c r="O192" s="383">
        <v>169009.60496576491</v>
      </c>
      <c r="P192" s="384">
        <v>0.55559940493865656</v>
      </c>
      <c r="Q192" s="383">
        <v>133245.08045899999</v>
      </c>
      <c r="R192" s="383">
        <v>180572</v>
      </c>
      <c r="S192" s="384">
        <v>0.10355235050393542</v>
      </c>
      <c r="T192" s="383">
        <v>36261.292209136038</v>
      </c>
      <c r="U192" s="384">
        <v>0.11920477760884485</v>
      </c>
      <c r="V192" s="383">
        <v>28587.953914999998</v>
      </c>
      <c r="W192" s="383">
        <v>77523</v>
      </c>
      <c r="X192" s="384">
        <v>4.4456997032300612E-2</v>
      </c>
      <c r="Y192" s="383">
        <v>13928.30217448399</v>
      </c>
      <c r="Z192" s="384">
        <v>4.5787672253991989E-2</v>
      </c>
      <c r="AA192" s="383">
        <v>10980.901022</v>
      </c>
      <c r="AB192" s="383">
        <v>8</v>
      </c>
      <c r="AC192" s="384">
        <v>4.5877478459090196E-6</v>
      </c>
      <c r="AD192" s="383">
        <v>0.78929701973963418</v>
      </c>
      <c r="AE192" s="384">
        <v>2.5947220844402678E-6</v>
      </c>
      <c r="AF192" s="383">
        <v>0.62227200000000005</v>
      </c>
      <c r="AG192" s="383">
        <v>1743775</v>
      </c>
      <c r="AH192" s="384">
        <v>1</v>
      </c>
      <c r="AI192" s="383">
        <v>304193.2793006234</v>
      </c>
      <c r="AJ192" s="384">
        <v>0.99999999999999989</v>
      </c>
      <c r="AK192" s="383">
        <v>239822.215925</v>
      </c>
    </row>
    <row r="193" spans="2:37" hidden="1" outlineLevel="1" x14ac:dyDescent="0.25">
      <c r="B193" s="288">
        <v>44348</v>
      </c>
      <c r="C193" s="383"/>
      <c r="D193" s="384"/>
      <c r="E193" s="383"/>
      <c r="F193" s="384"/>
      <c r="G193" s="383"/>
      <c r="H193" s="383">
        <v>408641</v>
      </c>
      <c r="I193" s="384">
        <v>0.23314477088664287</v>
      </c>
      <c r="J193" s="383">
        <v>84862.394278132138</v>
      </c>
      <c r="K193" s="384">
        <v>0.27771686886511865</v>
      </c>
      <c r="L193" s="383">
        <v>66957.803270000004</v>
      </c>
      <c r="M193" s="383">
        <v>1083928</v>
      </c>
      <c r="N193" s="384">
        <v>0.61842092501148205</v>
      </c>
      <c r="O193" s="383">
        <v>170310.34300374589</v>
      </c>
      <c r="P193" s="384">
        <v>0.55734999697660814</v>
      </c>
      <c r="Q193" s="383">
        <v>134377.61848100001</v>
      </c>
      <c r="R193" s="383">
        <v>180850</v>
      </c>
      <c r="S193" s="384">
        <v>0.10318159904378015</v>
      </c>
      <c r="T193" s="383">
        <v>36287.273710824011</v>
      </c>
      <c r="U193" s="384">
        <v>0.11875210592801332</v>
      </c>
      <c r="V193" s="383">
        <v>28631.246561</v>
      </c>
      <c r="W193" s="383">
        <v>79307</v>
      </c>
      <c r="X193" s="384">
        <v>4.524757022596114E-2</v>
      </c>
      <c r="Y193" s="383">
        <v>14110.61020860761</v>
      </c>
      <c r="Z193" s="384">
        <v>4.617775067796423E-2</v>
      </c>
      <c r="AA193" s="383">
        <v>11133.499948999999</v>
      </c>
      <c r="AB193" s="383">
        <v>9</v>
      </c>
      <c r="AC193" s="384">
        <v>5.134832133779493E-6</v>
      </c>
      <c r="AD193" s="383">
        <v>1.001526973614226</v>
      </c>
      <c r="AE193" s="384">
        <v>3.2775522958321036E-6</v>
      </c>
      <c r="AF193" s="383">
        <v>0.79022099999999995</v>
      </c>
      <c r="AG193" s="383">
        <v>1752735</v>
      </c>
      <c r="AH193" s="384">
        <v>1</v>
      </c>
      <c r="AI193" s="383">
        <v>305571.62272828323</v>
      </c>
      <c r="AJ193" s="384">
        <v>1.0000000000000002</v>
      </c>
      <c r="AK193" s="383">
        <v>241100.95848199999</v>
      </c>
    </row>
    <row r="194" spans="2:37" hidden="1" outlineLevel="1" x14ac:dyDescent="0.25">
      <c r="B194" s="288">
        <v>44378</v>
      </c>
      <c r="C194" s="383"/>
      <c r="D194" s="384"/>
      <c r="E194" s="383"/>
      <c r="F194" s="384"/>
      <c r="G194" s="383"/>
      <c r="H194" s="383">
        <v>408548</v>
      </c>
      <c r="I194" s="384">
        <v>0.23197691518875649</v>
      </c>
      <c r="J194" s="383">
        <v>87284.479236210362</v>
      </c>
      <c r="K194" s="384">
        <v>0.27455465223323078</v>
      </c>
      <c r="L194" s="383">
        <v>69426.016715000005</v>
      </c>
      <c r="M194" s="383">
        <v>1090775</v>
      </c>
      <c r="N194" s="384">
        <v>0.61935101790980707</v>
      </c>
      <c r="O194" s="383">
        <v>178505.08772143631</v>
      </c>
      <c r="P194" s="384">
        <v>0.56149045867125391</v>
      </c>
      <c r="Q194" s="383">
        <v>141982.82801600001</v>
      </c>
      <c r="R194" s="383">
        <v>180980</v>
      </c>
      <c r="S194" s="384">
        <v>0.10276193277377725</v>
      </c>
      <c r="T194" s="383">
        <v>37360.292415671218</v>
      </c>
      <c r="U194" s="384">
        <v>0.11751736598848921</v>
      </c>
      <c r="V194" s="383">
        <v>29716.351731999999</v>
      </c>
      <c r="W194" s="383">
        <v>80846</v>
      </c>
      <c r="X194" s="384">
        <v>4.5905023853623585E-2</v>
      </c>
      <c r="Y194" s="383">
        <v>14762.11793448308</v>
      </c>
      <c r="Z194" s="384">
        <v>4.6434465682720506E-2</v>
      </c>
      <c r="AA194" s="383">
        <v>11741.778784</v>
      </c>
      <c r="AB194" s="383">
        <v>9</v>
      </c>
      <c r="AC194" s="384">
        <v>5.1102740356061181E-6</v>
      </c>
      <c r="AD194" s="383">
        <v>0.97199477829808978</v>
      </c>
      <c r="AE194" s="384">
        <v>3.0574243057113621E-6</v>
      </c>
      <c r="AF194" s="383">
        <v>0.77312400000000003</v>
      </c>
      <c r="AG194" s="383">
        <v>1761158</v>
      </c>
      <c r="AH194" s="384">
        <v>1</v>
      </c>
      <c r="AI194" s="383">
        <v>317912.94930257922</v>
      </c>
      <c r="AJ194" s="384">
        <v>1</v>
      </c>
      <c r="AK194" s="383">
        <v>252867.74837099999</v>
      </c>
    </row>
    <row r="195" spans="2:37" hidden="1" outlineLevel="1" x14ac:dyDescent="0.25">
      <c r="B195" s="288">
        <v>44409</v>
      </c>
      <c r="C195" s="383"/>
      <c r="D195" s="384"/>
      <c r="E195" s="383"/>
      <c r="F195" s="384"/>
      <c r="G195" s="383"/>
      <c r="H195" s="383">
        <v>409302</v>
      </c>
      <c r="I195" s="384">
        <v>0.23134418624105121</v>
      </c>
      <c r="J195" s="383">
        <v>87188.990111863081</v>
      </c>
      <c r="K195" s="384">
        <v>0.27310070620740484</v>
      </c>
      <c r="L195" s="383">
        <v>69599.247891999999</v>
      </c>
      <c r="M195" s="383">
        <v>1097020</v>
      </c>
      <c r="N195" s="384">
        <v>0.62005365033681248</v>
      </c>
      <c r="O195" s="383">
        <v>179904.3157830468</v>
      </c>
      <c r="P195" s="384">
        <v>0.56351146660918905</v>
      </c>
      <c r="Q195" s="383">
        <v>143609.93349</v>
      </c>
      <c r="R195" s="383">
        <v>181161</v>
      </c>
      <c r="S195" s="384">
        <v>0.10239516084361933</v>
      </c>
      <c r="T195" s="383">
        <v>37291.661632444731</v>
      </c>
      <c r="U195" s="384">
        <v>0.11680808682841408</v>
      </c>
      <c r="V195" s="383">
        <v>29768.341151000001</v>
      </c>
      <c r="W195" s="383">
        <v>81743</v>
      </c>
      <c r="X195" s="384">
        <v>4.6202480847643668E-2</v>
      </c>
      <c r="Y195" s="383">
        <v>14869.935685550699</v>
      </c>
      <c r="Z195" s="384">
        <v>4.657686631961621E-2</v>
      </c>
      <c r="AA195" s="383">
        <v>11870.034721</v>
      </c>
      <c r="AB195" s="383">
        <v>8</v>
      </c>
      <c r="AC195" s="384">
        <v>4.5217308733610138E-6</v>
      </c>
      <c r="AD195" s="383">
        <v>0.9175525227456337</v>
      </c>
      <c r="AE195" s="384">
        <v>2.874035375598685E-6</v>
      </c>
      <c r="AF195" s="383">
        <v>0.73244299999999996</v>
      </c>
      <c r="AG195" s="383">
        <v>1769234</v>
      </c>
      <c r="AH195" s="384">
        <v>1</v>
      </c>
      <c r="AI195" s="383">
        <v>319255.82076542813</v>
      </c>
      <c r="AJ195" s="384">
        <v>0.99999999999999967</v>
      </c>
      <c r="AK195" s="383">
        <v>254848.289697</v>
      </c>
    </row>
    <row r="196" spans="2:37" hidden="1" outlineLevel="1" x14ac:dyDescent="0.25">
      <c r="B196" s="288">
        <v>44440</v>
      </c>
      <c r="C196" s="383"/>
      <c r="D196" s="384"/>
      <c r="E196" s="383"/>
      <c r="F196" s="384"/>
      <c r="G196" s="383"/>
      <c r="H196" s="383">
        <v>409787</v>
      </c>
      <c r="I196" s="384">
        <v>0.23001763636751452</v>
      </c>
      <c r="J196" s="383">
        <v>86266.51773752454</v>
      </c>
      <c r="K196" s="384">
        <v>0.27124837567998134</v>
      </c>
      <c r="L196" s="383">
        <v>69673.997915999993</v>
      </c>
      <c r="M196" s="383">
        <v>1108270</v>
      </c>
      <c r="N196" s="384">
        <v>0.62208329170282439</v>
      </c>
      <c r="O196" s="383">
        <v>180134.3266240723</v>
      </c>
      <c r="P196" s="384">
        <v>0.56639754081244231</v>
      </c>
      <c r="Q196" s="383">
        <v>145487.253073</v>
      </c>
      <c r="R196" s="383">
        <v>181169</v>
      </c>
      <c r="S196" s="384">
        <v>0.10169201356574571</v>
      </c>
      <c r="T196" s="383">
        <v>36859.840205671149</v>
      </c>
      <c r="U196" s="384">
        <v>0.11589863652584792</v>
      </c>
      <c r="V196" s="383">
        <v>29770.210934999999</v>
      </c>
      <c r="W196" s="383">
        <v>82312</v>
      </c>
      <c r="X196" s="384">
        <v>4.6202567882053E-2</v>
      </c>
      <c r="Y196" s="383">
        <v>14773.581339080591</v>
      </c>
      <c r="Z196" s="384">
        <v>4.6452668385136162E-2</v>
      </c>
      <c r="AA196" s="383">
        <v>11932.027656</v>
      </c>
      <c r="AB196" s="383">
        <v>8</v>
      </c>
      <c r="AC196" s="384">
        <v>4.4904818623824473E-6</v>
      </c>
      <c r="AD196" s="383">
        <v>0.8836913829301366</v>
      </c>
      <c r="AE196" s="384">
        <v>2.778596592382567E-6</v>
      </c>
      <c r="AF196" s="383">
        <v>0.71372199999999997</v>
      </c>
      <c r="AG196" s="383">
        <v>1781546</v>
      </c>
      <c r="AH196" s="384">
        <v>1</v>
      </c>
      <c r="AI196" s="383">
        <v>318035.14959773148</v>
      </c>
      <c r="AJ196" s="384">
        <v>1.0000000000000002</v>
      </c>
      <c r="AK196" s="383">
        <v>256864.20330200001</v>
      </c>
    </row>
    <row r="197" spans="2:37" hidden="1" outlineLevel="1" x14ac:dyDescent="0.25">
      <c r="B197" s="288">
        <v>44470</v>
      </c>
      <c r="C197" s="383"/>
      <c r="D197" s="384"/>
      <c r="E197" s="383"/>
      <c r="F197" s="384"/>
      <c r="G197" s="383"/>
      <c r="H197" s="383">
        <v>411102</v>
      </c>
      <c r="I197" s="384">
        <v>0.22884336413138473</v>
      </c>
      <c r="J197" s="383">
        <v>85381.339351252012</v>
      </c>
      <c r="K197" s="384">
        <v>0.26959178405164774</v>
      </c>
      <c r="L197" s="383">
        <v>69883.827499000006</v>
      </c>
      <c r="M197" s="383">
        <v>1121224</v>
      </c>
      <c r="N197" s="384">
        <v>0.6241387103561834</v>
      </c>
      <c r="O197" s="383">
        <v>180258.72636711001</v>
      </c>
      <c r="P197" s="384">
        <v>0.56916736140980173</v>
      </c>
      <c r="Q197" s="383">
        <v>147540.08117399999</v>
      </c>
      <c r="R197" s="383">
        <v>181504</v>
      </c>
      <c r="S197" s="384">
        <v>0.1010357185401746</v>
      </c>
      <c r="T197" s="383">
        <v>36439.058019409109</v>
      </c>
      <c r="U197" s="384">
        <v>0.11505641320757697</v>
      </c>
      <c r="V197" s="383">
        <v>29825.028094000001</v>
      </c>
      <c r="W197" s="383">
        <v>82592</v>
      </c>
      <c r="X197" s="384">
        <v>4.5975527071965908E-2</v>
      </c>
      <c r="Y197" s="383">
        <v>14625.67884695827</v>
      </c>
      <c r="Z197" s="384">
        <v>4.6180616084000412E-2</v>
      </c>
      <c r="AA197" s="383">
        <v>11970.981309999999</v>
      </c>
      <c r="AB197" s="383">
        <v>12</v>
      </c>
      <c r="AC197" s="384">
        <v>6.6799002913549844E-6</v>
      </c>
      <c r="AD197" s="383">
        <v>1.211478721603841</v>
      </c>
      <c r="AE197" s="384">
        <v>3.8252469729265227E-6</v>
      </c>
      <c r="AF197" s="383">
        <v>0.99158400000000002</v>
      </c>
      <c r="AG197" s="383">
        <v>1796434</v>
      </c>
      <c r="AH197" s="384">
        <v>1</v>
      </c>
      <c r="AI197" s="383">
        <v>316706.01406345109</v>
      </c>
      <c r="AJ197" s="384">
        <v>0.99999999999999978</v>
      </c>
      <c r="AK197" s="383">
        <v>259220.90966100001</v>
      </c>
    </row>
    <row r="198" spans="2:37" hidden="1" outlineLevel="1" x14ac:dyDescent="0.25">
      <c r="B198" s="288">
        <v>44501</v>
      </c>
      <c r="C198" s="383"/>
      <c r="D198" s="384"/>
      <c r="E198" s="383"/>
      <c r="F198" s="384"/>
      <c r="G198" s="383"/>
      <c r="H198" s="383">
        <v>412375</v>
      </c>
      <c r="I198" s="384">
        <v>0.22735993966105658</v>
      </c>
      <c r="J198" s="383">
        <v>85209.430511906103</v>
      </c>
      <c r="K198" s="384">
        <v>0.26786164100864368</v>
      </c>
      <c r="L198" s="383">
        <v>70090.984503999993</v>
      </c>
      <c r="M198" s="383">
        <v>1135385</v>
      </c>
      <c r="N198" s="384">
        <v>0.62598621422750822</v>
      </c>
      <c r="O198" s="383">
        <v>181862.01787522741</v>
      </c>
      <c r="P198" s="384">
        <v>0.57169562397667983</v>
      </c>
      <c r="Q198" s="383">
        <v>149594.80189199999</v>
      </c>
      <c r="R198" s="383">
        <v>181898</v>
      </c>
      <c r="S198" s="384">
        <v>0.10028813168709759</v>
      </c>
      <c r="T198" s="383">
        <v>36338.057793785018</v>
      </c>
      <c r="U198" s="384">
        <v>0.11423115649564329</v>
      </c>
      <c r="V198" s="383">
        <v>29890.708462999999</v>
      </c>
      <c r="W198" s="383">
        <v>84083</v>
      </c>
      <c r="X198" s="384">
        <v>4.6358546969434665E-2</v>
      </c>
      <c r="Y198" s="383">
        <v>14699.29823197583</v>
      </c>
      <c r="Z198" s="384">
        <v>4.6208243881436815E-2</v>
      </c>
      <c r="AA198" s="383">
        <v>12091.247159</v>
      </c>
      <c r="AB198" s="383">
        <v>13</v>
      </c>
      <c r="AC198" s="384">
        <v>7.1674549029250935E-6</v>
      </c>
      <c r="AD198" s="383">
        <v>1.0607811162579801</v>
      </c>
      <c r="AE198" s="384">
        <v>3.3346375963883581E-6</v>
      </c>
      <c r="AF198" s="383">
        <v>0.87256999999999996</v>
      </c>
      <c r="AG198" s="383">
        <v>1813754</v>
      </c>
      <c r="AH198" s="384">
        <v>1</v>
      </c>
      <c r="AI198" s="383">
        <v>318109.86519401061</v>
      </c>
      <c r="AJ198" s="384">
        <v>1.0000000000000002</v>
      </c>
      <c r="AK198" s="383">
        <v>261668.614588</v>
      </c>
    </row>
    <row r="199" spans="2:37" collapsed="1" x14ac:dyDescent="0.25">
      <c r="B199" s="288">
        <v>44531</v>
      </c>
      <c r="C199" s="383"/>
      <c r="D199" s="384"/>
      <c r="E199" s="383"/>
      <c r="F199" s="384"/>
      <c r="G199" s="383"/>
      <c r="H199" s="383">
        <v>413523</v>
      </c>
      <c r="I199" s="384">
        <v>0.22621880569678629</v>
      </c>
      <c r="J199" s="383">
        <v>84762.23450266564</v>
      </c>
      <c r="K199" s="384">
        <v>0.26645991864583612</v>
      </c>
      <c r="L199" s="383">
        <v>70267.951170999993</v>
      </c>
      <c r="M199" s="383">
        <v>1147603</v>
      </c>
      <c r="N199" s="384">
        <v>0.62779913106175234</v>
      </c>
      <c r="O199" s="383">
        <v>182624.60417935939</v>
      </c>
      <c r="P199" s="384">
        <v>0.57410163214644583</v>
      </c>
      <c r="Q199" s="383">
        <v>151395.923484</v>
      </c>
      <c r="R199" s="383">
        <v>182087</v>
      </c>
      <c r="S199" s="384">
        <v>9.961115505766481E-2</v>
      </c>
      <c r="T199" s="383">
        <v>36095.550194009411</v>
      </c>
      <c r="U199" s="384">
        <v>0.11347054999912691</v>
      </c>
      <c r="V199" s="383">
        <v>29923.236137</v>
      </c>
      <c r="W199" s="383">
        <v>84750</v>
      </c>
      <c r="X199" s="384">
        <v>4.6362702395761873E-2</v>
      </c>
      <c r="Y199" s="383">
        <v>14621.351813706389</v>
      </c>
      <c r="Z199" s="384">
        <v>4.5963915859837667E-2</v>
      </c>
      <c r="AA199" s="383">
        <v>12121.110790999999</v>
      </c>
      <c r="AB199" s="383">
        <v>15</v>
      </c>
      <c r="AC199" s="384">
        <v>8.205788034648119E-6</v>
      </c>
      <c r="AD199" s="383">
        <v>1.267123186325855</v>
      </c>
      <c r="AE199" s="384">
        <v>3.9833487534123676E-6</v>
      </c>
      <c r="AF199" s="383">
        <v>1.050446</v>
      </c>
      <c r="AG199" s="383">
        <v>1827978</v>
      </c>
      <c r="AH199" s="384">
        <v>1</v>
      </c>
      <c r="AI199" s="383">
        <v>318105.00781292719</v>
      </c>
      <c r="AJ199" s="384">
        <v>0.99999999999999989</v>
      </c>
      <c r="AK199" s="383">
        <v>263709.27202899999</v>
      </c>
    </row>
    <row r="200" spans="2:37" hidden="1" outlineLevel="1" x14ac:dyDescent="0.25">
      <c r="B200" s="288">
        <v>44562</v>
      </c>
      <c r="C200" s="383"/>
      <c r="D200" s="384"/>
      <c r="E200" s="383"/>
      <c r="F200" s="384"/>
      <c r="G200" s="383"/>
      <c r="H200" s="383">
        <v>414941</v>
      </c>
      <c r="I200" s="384">
        <v>0.22500393135048669</v>
      </c>
      <c r="J200" s="383">
        <v>86966.645210640112</v>
      </c>
      <c r="K200" s="384">
        <v>0.26114788278481926</v>
      </c>
      <c r="L200" s="383">
        <v>72961.356455999994</v>
      </c>
      <c r="M200" s="383">
        <v>1161305</v>
      </c>
      <c r="N200" s="384">
        <v>0.6297237209554537</v>
      </c>
      <c r="O200" s="383">
        <v>192093.48848682441</v>
      </c>
      <c r="P200" s="384">
        <v>0.57682813558670809</v>
      </c>
      <c r="Q200" s="383">
        <v>161158.35505000001</v>
      </c>
      <c r="R200" s="383">
        <v>182344</v>
      </c>
      <c r="S200" s="384">
        <v>9.887698939891007E-2</v>
      </c>
      <c r="T200" s="383">
        <v>38264.657982483463</v>
      </c>
      <c r="U200" s="384">
        <v>0.11490306879617578</v>
      </c>
      <c r="V200" s="383">
        <v>32102.438170000001</v>
      </c>
      <c r="W200" s="383">
        <v>85544</v>
      </c>
      <c r="X200" s="384">
        <v>4.6386682211316865E-2</v>
      </c>
      <c r="Y200" s="383">
        <v>15690.824296867149</v>
      </c>
      <c r="Z200" s="384">
        <v>4.711720837742657E-2</v>
      </c>
      <c r="AA200" s="383">
        <v>13163.941438</v>
      </c>
      <c r="AB200" s="383">
        <v>16</v>
      </c>
      <c r="AC200" s="384">
        <v>8.6760838326600331E-6</v>
      </c>
      <c r="AD200" s="383">
        <v>1.2336458905400569</v>
      </c>
      <c r="AE200" s="384">
        <v>3.7044548704899677E-6</v>
      </c>
      <c r="AF200" s="383">
        <v>1.034977</v>
      </c>
      <c r="AG200" s="383">
        <v>1844150</v>
      </c>
      <c r="AH200" s="384">
        <v>1</v>
      </c>
      <c r="AI200" s="383">
        <v>333016.8496227056</v>
      </c>
      <c r="AJ200" s="384">
        <v>1.0000000000000002</v>
      </c>
      <c r="AK200" s="383">
        <v>279387.12609099998</v>
      </c>
    </row>
    <row r="201" spans="2:37" hidden="1" outlineLevel="1" x14ac:dyDescent="0.25">
      <c r="B201" s="288">
        <v>44593</v>
      </c>
      <c r="C201" s="383">
        <v>1273220</v>
      </c>
      <c r="D201" s="384">
        <v>0.68624174819656858</v>
      </c>
      <c r="E201" s="383">
        <v>261717.22328937109</v>
      </c>
      <c r="F201" s="384">
        <v>0.68384791639948883</v>
      </c>
      <c r="G201" s="383">
        <v>220205.02884700001</v>
      </c>
      <c r="H201" s="383"/>
      <c r="I201" s="384"/>
      <c r="J201" s="383"/>
      <c r="K201" s="384"/>
      <c r="L201" s="383"/>
      <c r="M201" s="383">
        <v>313314</v>
      </c>
      <c r="N201" s="384">
        <v>0.16887038146939234</v>
      </c>
      <c r="O201" s="383">
        <v>64274.664122191687</v>
      </c>
      <c r="P201" s="384">
        <v>0.16794498499106933</v>
      </c>
      <c r="Q201" s="383">
        <v>54079.758639</v>
      </c>
      <c r="R201" s="383">
        <v>182599</v>
      </c>
      <c r="S201" s="384">
        <v>9.8417443159033974E-2</v>
      </c>
      <c r="T201" s="383">
        <v>40138.251075897737</v>
      </c>
      <c r="U201" s="384">
        <v>0.10487830728596513</v>
      </c>
      <c r="V201" s="383">
        <v>33771.735099999998</v>
      </c>
      <c r="W201" s="383">
        <v>86219</v>
      </c>
      <c r="X201" s="384">
        <v>4.6470427175005068E-2</v>
      </c>
      <c r="Y201" s="383">
        <v>16582.474965150592</v>
      </c>
      <c r="Z201" s="384">
        <v>4.3328791323476709E-2</v>
      </c>
      <c r="AA201" s="383">
        <v>13952.250953000001</v>
      </c>
      <c r="AB201" s="383"/>
      <c r="AC201" s="384"/>
      <c r="AD201" s="383"/>
      <c r="AE201" s="384"/>
      <c r="AF201" s="383"/>
      <c r="AG201" s="383">
        <v>1855352</v>
      </c>
      <c r="AH201" s="384">
        <v>1</v>
      </c>
      <c r="AI201" s="383">
        <v>382712.61345261108</v>
      </c>
      <c r="AJ201" s="384">
        <v>1</v>
      </c>
      <c r="AK201" s="383">
        <v>322008.77353900002</v>
      </c>
    </row>
    <row r="202" spans="2:37" hidden="1" outlineLevel="1" x14ac:dyDescent="0.25">
      <c r="B202" s="288">
        <v>44621</v>
      </c>
      <c r="C202" s="383">
        <v>1317957</v>
      </c>
      <c r="D202" s="384">
        <v>0.69178611039229965</v>
      </c>
      <c r="E202" s="383">
        <v>283957.45472948899</v>
      </c>
      <c r="F202" s="384">
        <v>0.70330626938302043</v>
      </c>
      <c r="G202" s="383">
        <v>243348.37739800001</v>
      </c>
      <c r="H202" s="383"/>
      <c r="I202" s="384"/>
      <c r="J202" s="383"/>
      <c r="K202" s="384"/>
      <c r="L202" s="383"/>
      <c r="M202" s="383">
        <v>316664</v>
      </c>
      <c r="N202" s="384">
        <v>0.16621464650308559</v>
      </c>
      <c r="O202" s="383">
        <v>63916.256233626264</v>
      </c>
      <c r="P202" s="384">
        <v>0.15830788371949922</v>
      </c>
      <c r="Q202" s="383">
        <v>54775.520011000001</v>
      </c>
      <c r="R202" s="383">
        <v>182858</v>
      </c>
      <c r="S202" s="384">
        <v>9.5980843513191347E-2</v>
      </c>
      <c r="T202" s="383">
        <v>39462.227044250489</v>
      </c>
      <c r="U202" s="384">
        <v>9.7740105856623211E-2</v>
      </c>
      <c r="V202" s="383">
        <v>33818.689243000001</v>
      </c>
      <c r="W202" s="383">
        <v>87672</v>
      </c>
      <c r="X202" s="384">
        <v>4.601839959142346E-2</v>
      </c>
      <c r="Y202" s="383">
        <v>16410.576265274449</v>
      </c>
      <c r="Z202" s="384">
        <v>4.0645741040857095E-2</v>
      </c>
      <c r="AA202" s="383">
        <v>14063.68116</v>
      </c>
      <c r="AB202" s="383"/>
      <c r="AC202" s="384"/>
      <c r="AD202" s="383"/>
      <c r="AE202" s="384"/>
      <c r="AF202" s="383"/>
      <c r="AG202" s="383">
        <v>1905151</v>
      </c>
      <c r="AH202" s="384">
        <v>1</v>
      </c>
      <c r="AI202" s="383">
        <v>403746.51427264023</v>
      </c>
      <c r="AJ202" s="384">
        <v>0.99999999999999989</v>
      </c>
      <c r="AK202" s="383">
        <v>346006.26781200001</v>
      </c>
    </row>
    <row r="203" spans="2:37" hidden="1" outlineLevel="1" x14ac:dyDescent="0.25">
      <c r="B203" s="288">
        <v>44652</v>
      </c>
      <c r="C203" s="383">
        <v>1349790</v>
      </c>
      <c r="D203" s="384">
        <v>0.69834327204547075</v>
      </c>
      <c r="E203" s="383">
        <v>286681.75730651763</v>
      </c>
      <c r="F203" s="384">
        <v>0.70903674553672447</v>
      </c>
      <c r="G203" s="383">
        <v>249118.408276</v>
      </c>
      <c r="H203" s="383"/>
      <c r="I203" s="384"/>
      <c r="J203" s="383"/>
      <c r="K203" s="384"/>
      <c r="L203" s="383"/>
      <c r="M203" s="383">
        <v>311879</v>
      </c>
      <c r="N203" s="384">
        <v>0.16135739733015461</v>
      </c>
      <c r="O203" s="383">
        <v>62520.771469086612</v>
      </c>
      <c r="P203" s="384">
        <v>0.15462973559035961</v>
      </c>
      <c r="Q203" s="383">
        <v>54328.797266000001</v>
      </c>
      <c r="R203" s="383">
        <v>182742</v>
      </c>
      <c r="S203" s="384">
        <v>9.4545556138461107E-2</v>
      </c>
      <c r="T203" s="383">
        <v>38893.162814146417</v>
      </c>
      <c r="U203" s="384">
        <v>9.6192662708871224E-2</v>
      </c>
      <c r="V203" s="383">
        <v>33797.067884999997</v>
      </c>
      <c r="W203" s="383">
        <v>88435</v>
      </c>
      <c r="X203" s="384">
        <v>4.5753774485913515E-2</v>
      </c>
      <c r="Y203" s="383">
        <v>16229.97856928484</v>
      </c>
      <c r="Z203" s="384">
        <v>4.0140856164044739E-2</v>
      </c>
      <c r="AA203" s="383">
        <v>14103.396273</v>
      </c>
      <c r="AB203" s="383"/>
      <c r="AC203" s="384"/>
      <c r="AD203" s="383"/>
      <c r="AE203" s="384"/>
      <c r="AF203" s="383"/>
      <c r="AG203" s="383">
        <v>1932846</v>
      </c>
      <c r="AH203" s="384">
        <v>1</v>
      </c>
      <c r="AI203" s="383">
        <v>404325.67015903548</v>
      </c>
      <c r="AJ203" s="384">
        <v>1.0000000000000002</v>
      </c>
      <c r="AK203" s="383">
        <v>351347.66970000003</v>
      </c>
    </row>
    <row r="204" spans="2:37" hidden="1" outlineLevel="1" x14ac:dyDescent="0.25">
      <c r="B204" s="288">
        <v>44682</v>
      </c>
      <c r="C204" s="383">
        <v>1509237</v>
      </c>
      <c r="D204" s="384">
        <v>0.77027314628859633</v>
      </c>
      <c r="E204" s="383">
        <v>316680.96486423537</v>
      </c>
      <c r="F204" s="384">
        <v>0.7724300748577797</v>
      </c>
      <c r="G204" s="383">
        <v>278485.96894200001</v>
      </c>
      <c r="H204" s="383"/>
      <c r="I204" s="384"/>
      <c r="J204" s="383"/>
      <c r="K204" s="384"/>
      <c r="L204" s="383"/>
      <c r="M204" s="383">
        <v>177591</v>
      </c>
      <c r="N204" s="384">
        <v>9.0637572708950356E-2</v>
      </c>
      <c r="O204" s="383">
        <v>38698.935700448827</v>
      </c>
      <c r="P204" s="384">
        <v>9.4392227877760873E-2</v>
      </c>
      <c r="Q204" s="383">
        <v>34031.444264999998</v>
      </c>
      <c r="R204" s="383">
        <v>183254</v>
      </c>
      <c r="S204" s="384">
        <v>9.3527812497288643E-2</v>
      </c>
      <c r="T204" s="383">
        <v>38538.335558165643</v>
      </c>
      <c r="U204" s="384">
        <v>9.4000501207421996E-2</v>
      </c>
      <c r="V204" s="383">
        <v>33890.214159000003</v>
      </c>
      <c r="W204" s="383">
        <v>89271</v>
      </c>
      <c r="X204" s="384">
        <v>4.5561468505164716E-2</v>
      </c>
      <c r="Y204" s="383">
        <v>16061.87103771472</v>
      </c>
      <c r="Z204" s="384">
        <v>3.9177196057037601E-2</v>
      </c>
      <c r="AA204" s="383">
        <v>14124.643459000001</v>
      </c>
      <c r="AB204" s="383"/>
      <c r="AC204" s="384"/>
      <c r="AD204" s="383"/>
      <c r="AE204" s="384"/>
      <c r="AF204" s="383"/>
      <c r="AG204" s="383">
        <v>1959353</v>
      </c>
      <c r="AH204" s="384">
        <v>1</v>
      </c>
      <c r="AI204" s="383">
        <v>409980.10716056451</v>
      </c>
      <c r="AJ204" s="384">
        <v>1.0000000000000002</v>
      </c>
      <c r="AK204" s="383">
        <v>360532.27082500001</v>
      </c>
    </row>
    <row r="205" spans="2:37" hidden="1" outlineLevel="1" x14ac:dyDescent="0.25">
      <c r="B205" s="288">
        <v>44713</v>
      </c>
      <c r="C205" s="383">
        <v>1528488</v>
      </c>
      <c r="D205" s="384">
        <v>0.77282857986514197</v>
      </c>
      <c r="E205" s="383">
        <v>317683.66411475651</v>
      </c>
      <c r="F205" s="384">
        <v>0.7751743354496694</v>
      </c>
      <c r="G205" s="383">
        <v>281973.20070699998</v>
      </c>
      <c r="H205" s="383"/>
      <c r="I205" s="384"/>
      <c r="J205" s="383"/>
      <c r="K205" s="384"/>
      <c r="L205" s="383"/>
      <c r="M205" s="383">
        <v>174924</v>
      </c>
      <c r="N205" s="384">
        <v>8.8444440848950132E-2</v>
      </c>
      <c r="O205" s="383">
        <v>37794.0559512986</v>
      </c>
      <c r="P205" s="384">
        <v>9.2220612878012517E-2</v>
      </c>
      <c r="Q205" s="383">
        <v>33545.668625999999</v>
      </c>
      <c r="R205" s="383">
        <v>184170</v>
      </c>
      <c r="S205" s="384">
        <v>9.3119369961532708E-2</v>
      </c>
      <c r="T205" s="383">
        <v>38372.410427540322</v>
      </c>
      <c r="U205" s="384">
        <v>9.3631845488994586E-2</v>
      </c>
      <c r="V205" s="383">
        <v>34059.010926000003</v>
      </c>
      <c r="W205" s="383">
        <v>90202</v>
      </c>
      <c r="X205" s="384">
        <v>4.5607609324375159E-2</v>
      </c>
      <c r="Y205" s="383">
        <v>15972.08573144509</v>
      </c>
      <c r="Z205" s="384">
        <v>3.8973206183323506E-2</v>
      </c>
      <c r="AA205" s="383">
        <v>14176.681537</v>
      </c>
      <c r="AB205" s="383"/>
      <c r="AC205" s="384"/>
      <c r="AD205" s="383"/>
      <c r="AE205" s="384"/>
      <c r="AF205" s="383"/>
      <c r="AG205" s="383">
        <v>1977784</v>
      </c>
      <c r="AH205" s="384">
        <v>1</v>
      </c>
      <c r="AI205" s="383">
        <v>409822.21622504049</v>
      </c>
      <c r="AJ205" s="384">
        <v>1</v>
      </c>
      <c r="AK205" s="383">
        <v>363754.56179599999</v>
      </c>
    </row>
    <row r="206" spans="2:37" hidden="1" outlineLevel="1" x14ac:dyDescent="0.25">
      <c r="B206" s="288">
        <v>44743</v>
      </c>
      <c r="C206" s="383">
        <v>1547577</v>
      </c>
      <c r="D206" s="384">
        <v>0.77475074041960112</v>
      </c>
      <c r="E206" s="383">
        <v>332606.01947138947</v>
      </c>
      <c r="F206" s="384">
        <v>0.77325903345740643</v>
      </c>
      <c r="G206" s="383">
        <v>299276.681492</v>
      </c>
      <c r="H206" s="383"/>
      <c r="I206" s="384"/>
      <c r="J206" s="383"/>
      <c r="K206" s="384"/>
      <c r="L206" s="383"/>
      <c r="M206" s="383">
        <v>174528</v>
      </c>
      <c r="N206" s="384">
        <v>8.7372516665698799E-2</v>
      </c>
      <c r="O206" s="383">
        <v>41112.642985876788</v>
      </c>
      <c r="P206" s="384">
        <v>9.5580719280617593E-2</v>
      </c>
      <c r="Q206" s="383">
        <v>36992.882388999999</v>
      </c>
      <c r="R206" s="383">
        <v>184681</v>
      </c>
      <c r="S206" s="384">
        <v>9.2455329519262927E-2</v>
      </c>
      <c r="T206" s="383">
        <v>39786.740488428302</v>
      </c>
      <c r="U206" s="384">
        <v>9.2498195142103112E-2</v>
      </c>
      <c r="V206" s="383">
        <v>35799.844150999998</v>
      </c>
      <c r="W206" s="383">
        <v>90730</v>
      </c>
      <c r="X206" s="384">
        <v>4.5421413395437135E-2</v>
      </c>
      <c r="Y206" s="383">
        <v>16629.914044055618</v>
      </c>
      <c r="Z206" s="384">
        <v>3.8662052119872531E-2</v>
      </c>
      <c r="AA206" s="383">
        <v>14963.485918</v>
      </c>
      <c r="AB206" s="383"/>
      <c r="AC206" s="384"/>
      <c r="AD206" s="383"/>
      <c r="AE206" s="384"/>
      <c r="AF206" s="383"/>
      <c r="AG206" s="383">
        <v>1997516</v>
      </c>
      <c r="AH206" s="384">
        <v>1</v>
      </c>
      <c r="AI206" s="383">
        <v>430135.31698975031</v>
      </c>
      <c r="AJ206" s="384">
        <v>0.99999999999999967</v>
      </c>
      <c r="AK206" s="383">
        <v>387032.89395</v>
      </c>
    </row>
    <row r="207" spans="2:37" hidden="1" outlineLevel="1" x14ac:dyDescent="0.25">
      <c r="B207" s="288">
        <v>44774</v>
      </c>
      <c r="C207" s="383">
        <v>1630289</v>
      </c>
      <c r="D207" s="384">
        <v>0.78328892279869966</v>
      </c>
      <c r="E207" s="383">
        <v>344977.5507402342</v>
      </c>
      <c r="F207" s="384">
        <v>0.78133211510660872</v>
      </c>
      <c r="G207" s="383">
        <v>314167.30978200003</v>
      </c>
      <c r="H207" s="383"/>
      <c r="I207" s="384"/>
      <c r="J207" s="383"/>
      <c r="K207" s="384"/>
      <c r="L207" s="383"/>
      <c r="M207" s="383">
        <v>174548</v>
      </c>
      <c r="N207" s="384">
        <v>8.3863360972605119E-2</v>
      </c>
      <c r="O207" s="383">
        <v>40656.658914571279</v>
      </c>
      <c r="P207" s="384">
        <v>9.2082378214835753E-2</v>
      </c>
      <c r="Q207" s="383">
        <v>37025.577834000003</v>
      </c>
      <c r="R207" s="383">
        <v>185109</v>
      </c>
      <c r="S207" s="384">
        <v>8.8937500780747775E-2</v>
      </c>
      <c r="T207" s="383">
        <v>39401.079816346282</v>
      </c>
      <c r="U207" s="384">
        <v>8.9238644556240421E-2</v>
      </c>
      <c r="V207" s="383">
        <v>35882.135582000003</v>
      </c>
      <c r="W207" s="383">
        <v>91392</v>
      </c>
      <c r="X207" s="384">
        <v>4.3910215447947425E-2</v>
      </c>
      <c r="Y207" s="383">
        <v>16489.567974601381</v>
      </c>
      <c r="Z207" s="384">
        <v>3.7346862122315125E-2</v>
      </c>
      <c r="AA207" s="383">
        <v>15016.870515000001</v>
      </c>
      <c r="AB207" s="383"/>
      <c r="AC207" s="384"/>
      <c r="AD207" s="383"/>
      <c r="AE207" s="384"/>
      <c r="AF207" s="383"/>
      <c r="AG207" s="383">
        <v>2081338</v>
      </c>
      <c r="AH207" s="384">
        <v>1</v>
      </c>
      <c r="AI207" s="383">
        <v>441524.85744575312</v>
      </c>
      <c r="AJ207" s="384">
        <v>1</v>
      </c>
      <c r="AK207" s="383">
        <v>402091.893713</v>
      </c>
    </row>
    <row r="208" spans="2:37" hidden="1" outlineLevel="1" x14ac:dyDescent="0.25">
      <c r="B208" s="288">
        <v>44805</v>
      </c>
      <c r="C208" s="383">
        <v>1663695</v>
      </c>
      <c r="D208" s="384">
        <v>0.78667913731249706</v>
      </c>
      <c r="E208" s="383">
        <v>348489.29237650841</v>
      </c>
      <c r="F208" s="384">
        <v>0.78462293805740835</v>
      </c>
      <c r="G208" s="383">
        <v>320109.10469599999</v>
      </c>
      <c r="H208" s="383"/>
      <c r="I208" s="384"/>
      <c r="J208" s="383"/>
      <c r="K208" s="384"/>
      <c r="L208" s="383"/>
      <c r="M208" s="383">
        <v>173941</v>
      </c>
      <c r="N208" s="384">
        <v>8.2248101859579453E-2</v>
      </c>
      <c r="O208" s="383">
        <v>40192.172542959059</v>
      </c>
      <c r="P208" s="384">
        <v>9.0492595317665056E-2</v>
      </c>
      <c r="Q208" s="383">
        <v>36919.012003999997</v>
      </c>
      <c r="R208" s="383">
        <v>185298</v>
      </c>
      <c r="S208" s="384">
        <v>8.7618265839430345E-2</v>
      </c>
      <c r="T208" s="383">
        <v>39100.996418607567</v>
      </c>
      <c r="U208" s="384">
        <v>8.8035814477174359E-2</v>
      </c>
      <c r="V208" s="383">
        <v>35916.698819999998</v>
      </c>
      <c r="W208" s="383">
        <v>91899</v>
      </c>
      <c r="X208" s="384">
        <v>4.3454494988493179E-2</v>
      </c>
      <c r="Y208" s="383">
        <v>16366.28256598161</v>
      </c>
      <c r="Z208" s="384">
        <v>3.6848652147752084E-2</v>
      </c>
      <c r="AA208" s="383">
        <v>15033.449159</v>
      </c>
      <c r="AB208" s="383"/>
      <c r="AC208" s="384"/>
      <c r="AD208" s="383"/>
      <c r="AE208" s="384"/>
      <c r="AF208" s="383"/>
      <c r="AG208" s="383">
        <v>2114833</v>
      </c>
      <c r="AH208" s="384">
        <v>1</v>
      </c>
      <c r="AI208" s="383">
        <v>444148.74390405673</v>
      </c>
      <c r="AJ208" s="384">
        <v>0.99999999999999989</v>
      </c>
      <c r="AK208" s="383">
        <v>407978.26467900001</v>
      </c>
    </row>
    <row r="209" spans="2:37" hidden="1" outlineLevel="1" x14ac:dyDescent="0.25">
      <c r="B209" s="288">
        <v>44835</v>
      </c>
      <c r="C209" s="383">
        <v>1682388</v>
      </c>
      <c r="D209" s="384">
        <v>0.78870231197749385</v>
      </c>
      <c r="E209" s="383">
        <v>350275.11947330431</v>
      </c>
      <c r="F209" s="384">
        <v>0.78656271608208272</v>
      </c>
      <c r="G209" s="383">
        <v>323413.14083799999</v>
      </c>
      <c r="H209" s="383"/>
      <c r="I209" s="384"/>
      <c r="J209" s="383"/>
      <c r="K209" s="384"/>
      <c r="L209" s="383"/>
      <c r="M209" s="383">
        <v>173208</v>
      </c>
      <c r="N209" s="384">
        <v>8.1199788665276829E-2</v>
      </c>
      <c r="O209" s="383">
        <v>39841.675127782801</v>
      </c>
      <c r="P209" s="384">
        <v>8.9466749019714992E-2</v>
      </c>
      <c r="Q209" s="383">
        <v>36786.287615000001</v>
      </c>
      <c r="R209" s="383">
        <v>185393</v>
      </c>
      <c r="S209" s="384">
        <v>8.6912108101367541E-2</v>
      </c>
      <c r="T209" s="383">
        <v>38919.556541299069</v>
      </c>
      <c r="U209" s="384">
        <v>8.7396079252975559E-2</v>
      </c>
      <c r="V209" s="383">
        <v>35934.884669999999</v>
      </c>
      <c r="W209" s="383">
        <v>92120</v>
      </c>
      <c r="X209" s="384">
        <v>4.318579125586175E-2</v>
      </c>
      <c r="Y209" s="383">
        <v>16287.47658497699</v>
      </c>
      <c r="Z209" s="384">
        <v>3.6574455645226628E-2</v>
      </c>
      <c r="AA209" s="383">
        <v>15038.418847999999</v>
      </c>
      <c r="AB209" s="383"/>
      <c r="AC209" s="384"/>
      <c r="AD209" s="383"/>
      <c r="AE209" s="384"/>
      <c r="AF209" s="383"/>
      <c r="AG209" s="383">
        <v>2133109</v>
      </c>
      <c r="AH209" s="384">
        <v>1</v>
      </c>
      <c r="AI209" s="383">
        <v>445323.82772736321</v>
      </c>
      <c r="AJ209" s="384">
        <v>0.99999999999999989</v>
      </c>
      <c r="AK209" s="383">
        <v>411172.73197099997</v>
      </c>
    </row>
    <row r="210" spans="2:37" hidden="1" outlineLevel="1" x14ac:dyDescent="0.25">
      <c r="B210" s="288">
        <v>44866</v>
      </c>
      <c r="C210" s="383">
        <v>1737320</v>
      </c>
      <c r="D210" s="384">
        <v>0.79409125750922493</v>
      </c>
      <c r="E210" s="383">
        <v>357624.08147235308</v>
      </c>
      <c r="F210" s="384">
        <v>0.79175196262950986</v>
      </c>
      <c r="G210" s="383">
        <v>333418.76874899998</v>
      </c>
      <c r="H210" s="383"/>
      <c r="I210" s="384"/>
      <c r="J210" s="383"/>
      <c r="K210" s="384"/>
      <c r="L210" s="383"/>
      <c r="M210" s="383">
        <v>172557</v>
      </c>
      <c r="N210" s="384">
        <v>7.8872058758328534E-2</v>
      </c>
      <c r="O210" s="383">
        <v>39343.064031723567</v>
      </c>
      <c r="P210" s="384">
        <v>8.710249051106958E-2</v>
      </c>
      <c r="Q210" s="383">
        <v>36680.180804000003</v>
      </c>
      <c r="R210" s="383">
        <v>185356</v>
      </c>
      <c r="S210" s="384">
        <v>8.4722203812124364E-2</v>
      </c>
      <c r="T210" s="383">
        <v>38535.393995052218</v>
      </c>
      <c r="U210" s="384">
        <v>8.531437172986546E-2</v>
      </c>
      <c r="V210" s="383">
        <v>35927.176845000002</v>
      </c>
      <c r="W210" s="383">
        <v>92576</v>
      </c>
      <c r="X210" s="384">
        <v>4.2314479920322112E-2</v>
      </c>
      <c r="Y210" s="383">
        <v>16184.47657676151</v>
      </c>
      <c r="Z210" s="384">
        <v>3.5831175129555352E-2</v>
      </c>
      <c r="AA210" s="383">
        <v>15089.051696</v>
      </c>
      <c r="AB210" s="383"/>
      <c r="AC210" s="384"/>
      <c r="AD210" s="383"/>
      <c r="AE210" s="384"/>
      <c r="AF210" s="383"/>
      <c r="AG210" s="383">
        <v>2187809</v>
      </c>
      <c r="AH210" s="384">
        <v>1</v>
      </c>
      <c r="AI210" s="383">
        <v>451687.01607589028</v>
      </c>
      <c r="AJ210" s="384">
        <v>1.0000000000000002</v>
      </c>
      <c r="AK210" s="383">
        <v>421115.17809399997</v>
      </c>
    </row>
    <row r="211" spans="2:37" collapsed="1" x14ac:dyDescent="0.25">
      <c r="B211" s="288">
        <v>44896</v>
      </c>
      <c r="C211" s="383">
        <v>1767717</v>
      </c>
      <c r="D211" s="384">
        <v>0.79692297011330926</v>
      </c>
      <c r="E211" s="383">
        <v>362270.19127299607</v>
      </c>
      <c r="F211" s="384">
        <v>0.79436437940263438</v>
      </c>
      <c r="G211" s="383">
        <v>338708.389731</v>
      </c>
      <c r="H211" s="383"/>
      <c r="I211" s="384"/>
      <c r="J211" s="383"/>
      <c r="K211" s="384"/>
      <c r="L211" s="383"/>
      <c r="M211" s="383">
        <v>172179</v>
      </c>
      <c r="N211" s="384">
        <v>7.7621813939187934E-2</v>
      </c>
      <c r="O211" s="383">
        <v>39187.769944261803</v>
      </c>
      <c r="P211" s="384">
        <v>8.5928595015118334E-2</v>
      </c>
      <c r="Q211" s="383">
        <v>36639.024614000002</v>
      </c>
      <c r="R211" s="383">
        <v>185584</v>
      </c>
      <c r="S211" s="384">
        <v>8.366506204641827E-2</v>
      </c>
      <c r="T211" s="383">
        <v>38472.23047427713</v>
      </c>
      <c r="U211" s="384">
        <v>8.4359602918321341E-2</v>
      </c>
      <c r="V211" s="383">
        <v>35970.023333999998</v>
      </c>
      <c r="W211" s="383">
        <v>92698</v>
      </c>
      <c r="X211" s="384">
        <v>4.1790153901084585E-2</v>
      </c>
      <c r="Y211" s="383">
        <v>16120.20616923622</v>
      </c>
      <c r="Z211" s="384">
        <v>3.5347422663925834E-2</v>
      </c>
      <c r="AA211" s="383">
        <v>15071.75916</v>
      </c>
      <c r="AB211" s="383"/>
      <c r="AC211" s="384"/>
      <c r="AD211" s="383"/>
      <c r="AE211" s="384"/>
      <c r="AF211" s="383"/>
      <c r="AG211" s="383">
        <v>2218178</v>
      </c>
      <c r="AH211" s="384">
        <v>1</v>
      </c>
      <c r="AI211" s="383">
        <v>456050.39786077128</v>
      </c>
      <c r="AJ211" s="384">
        <v>0.99999999999999989</v>
      </c>
      <c r="AK211" s="383">
        <v>426389.19683899998</v>
      </c>
    </row>
    <row r="212" spans="2:37" hidden="1" outlineLevel="1" x14ac:dyDescent="0.25">
      <c r="B212" s="288">
        <v>44927</v>
      </c>
      <c r="C212" s="383">
        <v>1792595</v>
      </c>
      <c r="D212" s="384">
        <v>0.79892848977314312</v>
      </c>
      <c r="E212" s="383">
        <v>364311.89614514099</v>
      </c>
      <c r="F212" s="384">
        <v>0.79641018321559587</v>
      </c>
      <c r="G212" s="383">
        <v>343359.646427</v>
      </c>
      <c r="H212" s="383"/>
      <c r="I212" s="384"/>
      <c r="J212" s="383"/>
      <c r="K212" s="384"/>
      <c r="L212" s="383"/>
      <c r="M212" s="383">
        <v>171688</v>
      </c>
      <c r="N212" s="384">
        <v>7.6518362793699293E-2</v>
      </c>
      <c r="O212" s="383">
        <v>38794.155240320011</v>
      </c>
      <c r="P212" s="384">
        <v>8.4806619299438446E-2</v>
      </c>
      <c r="Q212" s="383">
        <v>36563.031753000003</v>
      </c>
      <c r="R212" s="383">
        <v>186106</v>
      </c>
      <c r="S212" s="384">
        <v>8.2944215239761671E-2</v>
      </c>
      <c r="T212" s="383">
        <v>38271.466937042642</v>
      </c>
      <c r="U212" s="384">
        <v>8.3663987692338973E-2</v>
      </c>
      <c r="V212" s="383">
        <v>36070.404218999996</v>
      </c>
      <c r="W212" s="383">
        <v>93360</v>
      </c>
      <c r="X212" s="384">
        <v>4.160893219339596E-2</v>
      </c>
      <c r="Y212" s="383">
        <v>16065.02048857814</v>
      </c>
      <c r="Z212" s="384">
        <v>3.511920979262665E-2</v>
      </c>
      <c r="AA212" s="383">
        <v>15141.091501999999</v>
      </c>
      <c r="AB212" s="383"/>
      <c r="AC212" s="384"/>
      <c r="AD212" s="383"/>
      <c r="AE212" s="384"/>
      <c r="AF212" s="383"/>
      <c r="AG212" s="383">
        <v>2243749</v>
      </c>
      <c r="AH212" s="384">
        <v>1</v>
      </c>
      <c r="AI212" s="383">
        <v>457442.53881108179</v>
      </c>
      <c r="AJ212" s="384">
        <v>0.99999999999999989</v>
      </c>
      <c r="AK212" s="383">
        <v>431134.173901</v>
      </c>
    </row>
    <row r="213" spans="2:37" hidden="1" outlineLevel="1" x14ac:dyDescent="0.25">
      <c r="B213" s="288">
        <v>44958</v>
      </c>
      <c r="C213" s="383">
        <v>1809846</v>
      </c>
      <c r="D213" s="384">
        <v>0.80030936136511677</v>
      </c>
      <c r="E213" s="383">
        <v>390497.50919114839</v>
      </c>
      <c r="F213" s="384">
        <v>0.80171346500351803</v>
      </c>
      <c r="G213" s="383">
        <v>369014.94985500001</v>
      </c>
      <c r="H213" s="383"/>
      <c r="I213" s="384"/>
      <c r="J213" s="383"/>
      <c r="K213" s="384"/>
      <c r="L213" s="383"/>
      <c r="M213" s="383">
        <v>171323</v>
      </c>
      <c r="N213" s="384">
        <v>7.575860085176081E-2</v>
      </c>
      <c r="O213" s="383">
        <v>38644.783663687522</v>
      </c>
      <c r="P213" s="384">
        <v>7.9339925828209493E-2</v>
      </c>
      <c r="Q213" s="383">
        <v>36518.806318000003</v>
      </c>
      <c r="R213" s="383">
        <v>186512</v>
      </c>
      <c r="S213" s="384">
        <v>8.2475138551529048E-2</v>
      </c>
      <c r="T213" s="383">
        <v>40672.624501122038</v>
      </c>
      <c r="U213" s="384">
        <v>8.3503197721089759E-2</v>
      </c>
      <c r="V213" s="383">
        <v>38435.088924999996</v>
      </c>
      <c r="W213" s="383">
        <v>93752</v>
      </c>
      <c r="X213" s="384">
        <v>4.1456899231593416E-2</v>
      </c>
      <c r="Y213" s="383">
        <v>17263.728865151548</v>
      </c>
      <c r="Z213" s="384">
        <v>3.544341144718275E-2</v>
      </c>
      <c r="AA213" s="383">
        <v>16313.994049999999</v>
      </c>
      <c r="AB213" s="383"/>
      <c r="AC213" s="384"/>
      <c r="AD213" s="383"/>
      <c r="AE213" s="384"/>
      <c r="AF213" s="383"/>
      <c r="AG213" s="383">
        <v>2261433</v>
      </c>
      <c r="AH213" s="384">
        <v>1</v>
      </c>
      <c r="AI213" s="383">
        <v>487078.64622110949</v>
      </c>
      <c r="AJ213" s="384">
        <v>1</v>
      </c>
      <c r="AK213" s="383">
        <v>460282.839148</v>
      </c>
    </row>
    <row r="214" spans="2:37" hidden="1" outlineLevel="1" x14ac:dyDescent="0.25">
      <c r="B214" s="288">
        <v>44986</v>
      </c>
      <c r="C214" s="383">
        <v>1826740</v>
      </c>
      <c r="D214" s="384">
        <v>0.80141511358506412</v>
      </c>
      <c r="E214" s="383">
        <v>391187.90559525648</v>
      </c>
      <c r="F214" s="384">
        <v>0.80278172893664324</v>
      </c>
      <c r="G214" s="383">
        <v>372349.16035400011</v>
      </c>
      <c r="H214" s="383"/>
      <c r="I214" s="384"/>
      <c r="J214" s="383"/>
      <c r="K214" s="384"/>
      <c r="L214" s="383"/>
      <c r="M214" s="383">
        <v>171191</v>
      </c>
      <c r="N214" s="384">
        <v>7.5103766660685536E-2</v>
      </c>
      <c r="O214" s="383">
        <v>38369.255411418948</v>
      </c>
      <c r="P214" s="384">
        <v>7.8740003861622609E-2</v>
      </c>
      <c r="Q214" s="383">
        <v>36521.476843999997</v>
      </c>
      <c r="R214" s="383">
        <v>187117</v>
      </c>
      <c r="S214" s="384">
        <v>8.209071450162389E-2</v>
      </c>
      <c r="T214" s="383">
        <v>40510.136418655937</v>
      </c>
      <c r="U214" s="384">
        <v>8.3133442748292957E-2</v>
      </c>
      <c r="V214" s="383">
        <v>38559.257751999998</v>
      </c>
      <c r="W214" s="383">
        <v>94345</v>
      </c>
      <c r="X214" s="384">
        <v>4.1390405252626467E-2</v>
      </c>
      <c r="Y214" s="383">
        <v>17223.196982681791</v>
      </c>
      <c r="Z214" s="384">
        <v>3.5344824453441191E-2</v>
      </c>
      <c r="AA214" s="383">
        <v>16393.765868999999</v>
      </c>
      <c r="AB214" s="383"/>
      <c r="AC214" s="384"/>
      <c r="AD214" s="383"/>
      <c r="AE214" s="384"/>
      <c r="AF214" s="383"/>
      <c r="AG214" s="383">
        <v>2279393</v>
      </c>
      <c r="AH214" s="384">
        <v>1</v>
      </c>
      <c r="AI214" s="383">
        <v>487290.49440801318</v>
      </c>
      <c r="AJ214" s="384">
        <v>1</v>
      </c>
      <c r="AK214" s="383">
        <v>463823.66081899998</v>
      </c>
    </row>
    <row r="215" spans="2:37" hidden="1" outlineLevel="1" x14ac:dyDescent="0.25">
      <c r="B215" s="288">
        <v>45017</v>
      </c>
      <c r="C215" s="383">
        <v>1878035</v>
      </c>
      <c r="D215" s="384">
        <v>0.80551644093611452</v>
      </c>
      <c r="E215" s="383">
        <v>399953.86619462672</v>
      </c>
      <c r="F215" s="384">
        <v>0.80635935218382493</v>
      </c>
      <c r="G215" s="383">
        <v>381693.047082</v>
      </c>
      <c r="H215" s="383"/>
      <c r="I215" s="384"/>
      <c r="J215" s="383"/>
      <c r="K215" s="384"/>
      <c r="L215" s="383"/>
      <c r="M215" s="383">
        <v>171064</v>
      </c>
      <c r="N215" s="384">
        <v>7.3371829839324346E-2</v>
      </c>
      <c r="O215" s="383">
        <v>38288.316989764629</v>
      </c>
      <c r="P215" s="384">
        <v>7.7194259372533436E-2</v>
      </c>
      <c r="Q215" s="383">
        <v>36540.175292</v>
      </c>
      <c r="R215" s="383">
        <v>187578</v>
      </c>
      <c r="S215" s="384">
        <v>8.0454923874110157E-2</v>
      </c>
      <c r="T215" s="383">
        <v>40501.59094387095</v>
      </c>
      <c r="U215" s="384">
        <v>8.1656509403565836E-2</v>
      </c>
      <c r="V215" s="383">
        <v>38652.397103000003</v>
      </c>
      <c r="W215" s="383">
        <v>94790</v>
      </c>
      <c r="X215" s="384">
        <v>4.0656805350451027E-2</v>
      </c>
      <c r="Y215" s="383">
        <v>17255.763933087779</v>
      </c>
      <c r="Z215" s="384">
        <v>3.4789879040075668E-2</v>
      </c>
      <c r="AA215" s="383">
        <v>16467.912107</v>
      </c>
      <c r="AB215" s="383"/>
      <c r="AC215" s="384"/>
      <c r="AD215" s="383"/>
      <c r="AE215" s="384"/>
      <c r="AF215" s="383"/>
      <c r="AG215" s="383">
        <v>2331467</v>
      </c>
      <c r="AH215" s="384">
        <v>1</v>
      </c>
      <c r="AI215" s="383">
        <v>495999.53806135012</v>
      </c>
      <c r="AJ215" s="384">
        <v>0.99999999999999989</v>
      </c>
      <c r="AK215" s="383">
        <v>473353.53158399998</v>
      </c>
    </row>
    <row r="216" spans="2:37" hidden="1" outlineLevel="1" x14ac:dyDescent="0.25">
      <c r="B216" s="288">
        <v>45047</v>
      </c>
      <c r="C216" s="383">
        <v>1896281</v>
      </c>
      <c r="D216" s="384">
        <v>0.80693563939747526</v>
      </c>
      <c r="E216" s="383">
        <v>402378.63541062258</v>
      </c>
      <c r="F216" s="384">
        <v>0.80786212691668435</v>
      </c>
      <c r="G216" s="383">
        <v>385241.80014200002</v>
      </c>
      <c r="H216" s="383"/>
      <c r="I216" s="384"/>
      <c r="J216" s="383"/>
      <c r="K216" s="384"/>
      <c r="L216" s="383"/>
      <c r="M216" s="383">
        <v>170272</v>
      </c>
      <c r="N216" s="384">
        <v>7.2456848532199025E-2</v>
      </c>
      <c r="O216" s="383">
        <v>37967.568895316857</v>
      </c>
      <c r="P216" s="384">
        <v>7.6228105228115406E-2</v>
      </c>
      <c r="Q216" s="383">
        <v>36350.574561000001</v>
      </c>
      <c r="R216" s="383">
        <v>188110</v>
      </c>
      <c r="S216" s="384">
        <v>8.0047557892031329E-2</v>
      </c>
      <c r="T216" s="383">
        <v>40486.043586612788</v>
      </c>
      <c r="U216" s="384">
        <v>8.1284487803248665E-2</v>
      </c>
      <c r="V216" s="383">
        <v>38761.790362</v>
      </c>
      <c r="W216" s="383">
        <v>95315</v>
      </c>
      <c r="X216" s="384">
        <v>4.0559954178294437E-2</v>
      </c>
      <c r="Y216" s="383">
        <v>17246.102365499071</v>
      </c>
      <c r="Z216" s="384">
        <v>3.4625280051951611E-2</v>
      </c>
      <c r="AA216" s="383">
        <v>16511.611045000001</v>
      </c>
      <c r="AB216" s="383"/>
      <c r="AC216" s="384"/>
      <c r="AD216" s="383"/>
      <c r="AE216" s="384"/>
      <c r="AF216" s="383"/>
      <c r="AG216" s="383">
        <v>2349978</v>
      </c>
      <c r="AH216" s="384">
        <v>1</v>
      </c>
      <c r="AI216" s="383">
        <v>498078.3502580513</v>
      </c>
      <c r="AJ216" s="384">
        <v>1</v>
      </c>
      <c r="AK216" s="383">
        <v>476865.77610999998</v>
      </c>
    </row>
    <row r="217" spans="2:37" hidden="1" outlineLevel="1" x14ac:dyDescent="0.25">
      <c r="B217" s="288">
        <v>45078</v>
      </c>
      <c r="C217" s="383">
        <v>1907098</v>
      </c>
      <c r="D217" s="384">
        <v>0.80753291681398687</v>
      </c>
      <c r="E217" s="383">
        <v>406212.80385694362</v>
      </c>
      <c r="F217" s="384">
        <v>0.80201047923274438</v>
      </c>
      <c r="G217" s="383">
        <v>387233.56756300002</v>
      </c>
      <c r="H217" s="383"/>
      <c r="I217" s="384"/>
      <c r="J217" s="383"/>
      <c r="K217" s="384"/>
      <c r="L217" s="383"/>
      <c r="M217" s="383">
        <v>169773</v>
      </c>
      <c r="N217" s="384">
        <v>7.1887908165317677E-2</v>
      </c>
      <c r="O217" s="383">
        <v>42077.842696384207</v>
      </c>
      <c r="P217" s="384">
        <v>8.3076826888725544E-2</v>
      </c>
      <c r="Q217" s="383">
        <v>40111.864982999999</v>
      </c>
      <c r="R217" s="383">
        <v>188897</v>
      </c>
      <c r="S217" s="384">
        <v>7.9985687881488882E-2</v>
      </c>
      <c r="T217" s="383">
        <v>40831.373237220003</v>
      </c>
      <c r="U217" s="384">
        <v>8.0615846932403631E-2</v>
      </c>
      <c r="V217" s="383">
        <v>38923.633565999997</v>
      </c>
      <c r="W217" s="383">
        <v>95867</v>
      </c>
      <c r="X217" s="384">
        <v>4.0593487139206526E-2</v>
      </c>
      <c r="Y217" s="383">
        <v>17371.11761278558</v>
      </c>
      <c r="Z217" s="384">
        <v>3.4296846946126572E-2</v>
      </c>
      <c r="AA217" s="383">
        <v>16559.497341999999</v>
      </c>
      <c r="AB217" s="383"/>
      <c r="AC217" s="384"/>
      <c r="AD217" s="383"/>
      <c r="AE217" s="384"/>
      <c r="AF217" s="383"/>
      <c r="AG217" s="383">
        <v>2361635</v>
      </c>
      <c r="AH217" s="384">
        <v>1</v>
      </c>
      <c r="AI217" s="383">
        <v>506493.13740333333</v>
      </c>
      <c r="AJ217" s="384">
        <v>1.0000000000000002</v>
      </c>
      <c r="AK217" s="383">
        <v>482828.56345399999</v>
      </c>
    </row>
    <row r="218" spans="2:37" hidden="1" outlineLevel="1" x14ac:dyDescent="0.25">
      <c r="B218" s="288">
        <v>45108</v>
      </c>
      <c r="C218" s="383">
        <v>1919243</v>
      </c>
      <c r="D218" s="384">
        <v>0.80830413656967826</v>
      </c>
      <c r="E218" s="383">
        <v>408191.4773759495</v>
      </c>
      <c r="F218" s="384">
        <v>0.80277683503415331</v>
      </c>
      <c r="G218" s="383">
        <v>389584.77584800002</v>
      </c>
      <c r="H218" s="383"/>
      <c r="I218" s="384"/>
      <c r="J218" s="383"/>
      <c r="K218" s="384"/>
      <c r="L218" s="383"/>
      <c r="M218" s="383">
        <v>169312</v>
      </c>
      <c r="N218" s="384">
        <v>7.1307067406725128E-2</v>
      </c>
      <c r="O218" s="383">
        <v>41949.424102294863</v>
      </c>
      <c r="P218" s="384">
        <v>8.2500561081851428E-2</v>
      </c>
      <c r="Q218" s="383">
        <v>40037.232258999997</v>
      </c>
      <c r="R218" s="383">
        <v>189616</v>
      </c>
      <c r="S218" s="384">
        <v>7.9858255134861042E-2</v>
      </c>
      <c r="T218" s="383">
        <v>40937.363869419452</v>
      </c>
      <c r="U218" s="384">
        <v>8.0510175305464018E-2</v>
      </c>
      <c r="V218" s="383">
        <v>39071.305038999999</v>
      </c>
      <c r="W218" s="383">
        <v>96236</v>
      </c>
      <c r="X218" s="384">
        <v>4.0530540888735589E-2</v>
      </c>
      <c r="Y218" s="383">
        <v>17396.144428477</v>
      </c>
      <c r="Z218" s="384">
        <v>3.421242857853115E-2</v>
      </c>
      <c r="AA218" s="383">
        <v>16603.171313999999</v>
      </c>
      <c r="AB218" s="383"/>
      <c r="AC218" s="384"/>
      <c r="AD218" s="383"/>
      <c r="AE218" s="384"/>
      <c r="AF218" s="383"/>
      <c r="AG218" s="383">
        <v>2374407</v>
      </c>
      <c r="AH218" s="384">
        <v>1</v>
      </c>
      <c r="AI218" s="383">
        <v>508474.40977614088</v>
      </c>
      <c r="AJ218" s="384">
        <v>0.99999999999999989</v>
      </c>
      <c r="AK218" s="383">
        <v>485296.48446000001</v>
      </c>
    </row>
    <row r="219" spans="2:37" hidden="1" outlineLevel="1" x14ac:dyDescent="0.25">
      <c r="B219" s="288">
        <v>45139</v>
      </c>
      <c r="C219" s="383">
        <v>1929306</v>
      </c>
      <c r="D219" s="384">
        <v>0.80885872162735517</v>
      </c>
      <c r="E219" s="383">
        <v>409735.24493690231</v>
      </c>
      <c r="F219" s="384">
        <v>0.80327051864149324</v>
      </c>
      <c r="G219" s="383">
        <v>391519.14363100001</v>
      </c>
      <c r="H219" s="383"/>
      <c r="I219" s="384"/>
      <c r="J219" s="383"/>
      <c r="K219" s="384"/>
      <c r="L219" s="383"/>
      <c r="M219" s="383">
        <v>168920</v>
      </c>
      <c r="N219" s="384">
        <v>7.0819463194170762E-2</v>
      </c>
      <c r="O219" s="383">
        <v>41860.101968574541</v>
      </c>
      <c r="P219" s="384">
        <v>8.2065153618553821E-2</v>
      </c>
      <c r="Q219" s="383">
        <v>39999.076178000003</v>
      </c>
      <c r="R219" s="383">
        <v>190382</v>
      </c>
      <c r="S219" s="384">
        <v>7.981737533644695E-2</v>
      </c>
      <c r="T219" s="383">
        <v>41054.288977085387</v>
      </c>
      <c r="U219" s="384">
        <v>8.0485387592564947E-2</v>
      </c>
      <c r="V219" s="383">
        <v>39229.088200999999</v>
      </c>
      <c r="W219" s="383">
        <v>96612</v>
      </c>
      <c r="X219" s="384">
        <v>4.0504439842027153E-2</v>
      </c>
      <c r="Y219" s="383">
        <v>17434.12223899136</v>
      </c>
      <c r="Z219" s="384">
        <v>3.4178940147388086E-2</v>
      </c>
      <c r="AA219" s="383">
        <v>16659.032126999999</v>
      </c>
      <c r="AB219" s="383"/>
      <c r="AC219" s="384"/>
      <c r="AD219" s="383"/>
      <c r="AE219" s="384"/>
      <c r="AF219" s="383"/>
      <c r="AG219" s="383">
        <v>2385220</v>
      </c>
      <c r="AH219" s="384">
        <v>1</v>
      </c>
      <c r="AI219" s="383">
        <v>510083.75812155358</v>
      </c>
      <c r="AJ219" s="384">
        <v>1</v>
      </c>
      <c r="AK219" s="383">
        <v>487406.34013700002</v>
      </c>
    </row>
    <row r="220" spans="2:37" hidden="1" outlineLevel="1" x14ac:dyDescent="0.25">
      <c r="B220" s="288">
        <v>45170</v>
      </c>
      <c r="C220" s="383">
        <v>1944774</v>
      </c>
      <c r="D220" s="384">
        <v>0.80991416827349549</v>
      </c>
      <c r="E220" s="383">
        <v>410277.27624249668</v>
      </c>
      <c r="F220" s="384">
        <v>0.8043798783141044</v>
      </c>
      <c r="G220" s="383">
        <v>394528.74942399998</v>
      </c>
      <c r="H220" s="383"/>
      <c r="I220" s="384"/>
      <c r="J220" s="383"/>
      <c r="K220" s="384"/>
      <c r="L220" s="383"/>
      <c r="M220" s="383">
        <v>168514</v>
      </c>
      <c r="N220" s="384">
        <v>7.0178784862631752E-2</v>
      </c>
      <c r="O220" s="383">
        <v>41505.695240924251</v>
      </c>
      <c r="P220" s="384">
        <v>8.1375079782638915E-2</v>
      </c>
      <c r="Q220" s="383">
        <v>39912.495733000003</v>
      </c>
      <c r="R220" s="383">
        <v>190911</v>
      </c>
      <c r="S220" s="384">
        <v>7.9506165641489088E-2</v>
      </c>
      <c r="T220" s="383">
        <v>40911.063391738993</v>
      </c>
      <c r="U220" s="384">
        <v>8.0209258709461509E-2</v>
      </c>
      <c r="V220" s="383">
        <v>39340.688876</v>
      </c>
      <c r="W220" s="383">
        <v>97011</v>
      </c>
      <c r="X220" s="384">
        <v>4.0400881222383715E-2</v>
      </c>
      <c r="Y220" s="383">
        <v>17360.091668127869</v>
      </c>
      <c r="Z220" s="384">
        <v>3.4035783193795084E-2</v>
      </c>
      <c r="AA220" s="383">
        <v>16693.723129000002</v>
      </c>
      <c r="AB220" s="383"/>
      <c r="AC220" s="384"/>
      <c r="AD220" s="383"/>
      <c r="AE220" s="384"/>
      <c r="AF220" s="383"/>
      <c r="AG220" s="383">
        <v>2401210</v>
      </c>
      <c r="AH220" s="384">
        <v>1</v>
      </c>
      <c r="AI220" s="383">
        <v>510054.12654328783</v>
      </c>
      <c r="AJ220" s="384">
        <v>0.99999999999999989</v>
      </c>
      <c r="AK220" s="383">
        <v>490475.65716200002</v>
      </c>
    </row>
    <row r="221" spans="2:37" hidden="1" outlineLevel="1" x14ac:dyDescent="0.25">
      <c r="B221" s="288">
        <v>45200</v>
      </c>
      <c r="C221" s="383">
        <v>1956727</v>
      </c>
      <c r="D221" s="384">
        <v>0.81078280254249224</v>
      </c>
      <c r="E221" s="383">
        <v>411495.16158144071</v>
      </c>
      <c r="F221" s="384">
        <v>0.80517293293918279</v>
      </c>
      <c r="G221" s="383">
        <v>396858.99592700001</v>
      </c>
      <c r="H221" s="383"/>
      <c r="I221" s="384"/>
      <c r="J221" s="383"/>
      <c r="K221" s="384"/>
      <c r="L221" s="383"/>
      <c r="M221" s="383">
        <v>167430</v>
      </c>
      <c r="N221" s="384">
        <v>6.9375730303557662E-2</v>
      </c>
      <c r="O221" s="383">
        <v>41217.220024978378</v>
      </c>
      <c r="P221" s="384">
        <v>8.0649769507783825E-2</v>
      </c>
      <c r="Q221" s="383">
        <v>39751.195351000002</v>
      </c>
      <c r="R221" s="383">
        <v>192059</v>
      </c>
      <c r="S221" s="384">
        <v>7.958091970597253E-2</v>
      </c>
      <c r="T221" s="383">
        <v>41035.157206877077</v>
      </c>
      <c r="U221" s="384">
        <v>8.0293527036629564E-2</v>
      </c>
      <c r="V221" s="383">
        <v>39575.608189999999</v>
      </c>
      <c r="W221" s="383">
        <v>97164</v>
      </c>
      <c r="X221" s="384">
        <v>4.0260547447977524E-2</v>
      </c>
      <c r="Y221" s="383">
        <v>17316.786311654771</v>
      </c>
      <c r="Z221" s="384">
        <v>3.3883770516404108E-2</v>
      </c>
      <c r="AA221" s="383">
        <v>16700.858405999999</v>
      </c>
      <c r="AB221" s="383"/>
      <c r="AC221" s="384"/>
      <c r="AD221" s="383"/>
      <c r="AE221" s="384"/>
      <c r="AF221" s="383"/>
      <c r="AG221" s="383">
        <v>2413380</v>
      </c>
      <c r="AH221" s="384">
        <v>1</v>
      </c>
      <c r="AI221" s="383">
        <v>511064.32512495079</v>
      </c>
      <c r="AJ221" s="384">
        <v>1.0000000000000002</v>
      </c>
      <c r="AK221" s="383">
        <v>492886.65787400003</v>
      </c>
    </row>
    <row r="222" spans="2:37" hidden="1" outlineLevel="1" x14ac:dyDescent="0.25">
      <c r="B222" s="288">
        <v>45231</v>
      </c>
      <c r="C222" s="383">
        <v>1970656</v>
      </c>
      <c r="D222" s="384">
        <v>0.81190273429501481</v>
      </c>
      <c r="E222" s="383">
        <v>411406.08060761628</v>
      </c>
      <c r="F222" s="384">
        <v>0.80642391464429297</v>
      </c>
      <c r="G222" s="383">
        <v>399730.05467400001</v>
      </c>
      <c r="H222" s="383"/>
      <c r="I222" s="384"/>
      <c r="J222" s="383"/>
      <c r="K222" s="384"/>
      <c r="L222" s="383"/>
      <c r="M222" s="383">
        <v>167010</v>
      </c>
      <c r="N222" s="384">
        <v>6.8807481191344624E-2</v>
      </c>
      <c r="O222" s="383">
        <v>40801.724335523562</v>
      </c>
      <c r="P222" s="384">
        <v>7.9978123352708388E-2</v>
      </c>
      <c r="Q222" s="383">
        <v>39643.739526999998</v>
      </c>
      <c r="R222" s="383">
        <v>192258</v>
      </c>
      <c r="S222" s="384">
        <v>7.9209560618439215E-2</v>
      </c>
      <c r="T222" s="383">
        <v>40775.368021750692</v>
      </c>
      <c r="U222" s="384">
        <v>7.992646062157685E-2</v>
      </c>
      <c r="V222" s="383">
        <v>39618.131225999998</v>
      </c>
      <c r="W222" s="383">
        <v>97283</v>
      </c>
      <c r="X222" s="384">
        <v>4.0080223895201356E-2</v>
      </c>
      <c r="Y222" s="383">
        <v>17177.888899307949</v>
      </c>
      <c r="Z222" s="384">
        <v>3.3671501381421755E-2</v>
      </c>
      <c r="AA222" s="383">
        <v>16690.366994</v>
      </c>
      <c r="AB222" s="383"/>
      <c r="AC222" s="384"/>
      <c r="AD222" s="383"/>
      <c r="AE222" s="384"/>
      <c r="AF222" s="383"/>
      <c r="AG222" s="383">
        <v>2427207</v>
      </c>
      <c r="AH222" s="384">
        <v>1</v>
      </c>
      <c r="AI222" s="383">
        <v>510161.06186419848</v>
      </c>
      <c r="AJ222" s="384">
        <v>0.99999999999999989</v>
      </c>
      <c r="AK222" s="383">
        <v>495682.29242100002</v>
      </c>
    </row>
    <row r="223" spans="2:37" collapsed="1" x14ac:dyDescent="0.25">
      <c r="B223" s="288">
        <v>45261</v>
      </c>
      <c r="C223" s="383">
        <v>1980698</v>
      </c>
      <c r="D223" s="384">
        <v>0.81267440185880946</v>
      </c>
      <c r="E223" s="383">
        <v>416058.7352877807</v>
      </c>
      <c r="F223" s="384">
        <v>0.80740071849376438</v>
      </c>
      <c r="G223" s="383">
        <v>402125.323072</v>
      </c>
      <c r="H223" s="383"/>
      <c r="I223" s="384"/>
      <c r="J223" s="383"/>
      <c r="K223" s="384"/>
      <c r="L223" s="383"/>
      <c r="M223" s="383">
        <v>166187</v>
      </c>
      <c r="N223" s="384">
        <v>6.8186023725832989E-2</v>
      </c>
      <c r="O223" s="383">
        <v>40857.885345129172</v>
      </c>
      <c r="P223" s="384">
        <v>7.9288531127643377E-2</v>
      </c>
      <c r="Q223" s="383">
        <v>39489.593538000001</v>
      </c>
      <c r="R223" s="383">
        <v>192805</v>
      </c>
      <c r="S223" s="384">
        <v>7.9107308661081982E-2</v>
      </c>
      <c r="T223" s="383">
        <v>41106.715076706692</v>
      </c>
      <c r="U223" s="384">
        <v>7.9771408392362603E-2</v>
      </c>
      <c r="V223" s="383">
        <v>39730.090197999998</v>
      </c>
      <c r="W223" s="383">
        <v>97569</v>
      </c>
      <c r="X223" s="384">
        <v>4.0032265754275605E-2</v>
      </c>
      <c r="Y223" s="383">
        <v>17283.036650261311</v>
      </c>
      <c r="Z223" s="384">
        <v>3.3539341986229584E-2</v>
      </c>
      <c r="AA223" s="383">
        <v>16704.244154</v>
      </c>
      <c r="AB223" s="383"/>
      <c r="AC223" s="384"/>
      <c r="AD223" s="383"/>
      <c r="AE223" s="384"/>
      <c r="AF223" s="383"/>
      <c r="AG223" s="383">
        <v>2437259</v>
      </c>
      <c r="AH223" s="384">
        <v>1</v>
      </c>
      <c r="AI223" s="383">
        <v>515306.37235987792</v>
      </c>
      <c r="AJ223" s="384">
        <v>0.99999999999999989</v>
      </c>
      <c r="AK223" s="383">
        <v>498049.25096199999</v>
      </c>
    </row>
    <row r="224" spans="2:37" outlineLevel="1" x14ac:dyDescent="0.25">
      <c r="B224" s="288">
        <v>45292</v>
      </c>
      <c r="C224" s="383">
        <v>1993826</v>
      </c>
      <c r="D224" s="384">
        <v>0.81352561523653466</v>
      </c>
      <c r="E224" s="383">
        <v>416004.75147670112</v>
      </c>
      <c r="F224" s="384">
        <v>0.80827918273304322</v>
      </c>
      <c r="G224" s="383">
        <v>404761.17574400001</v>
      </c>
      <c r="H224" s="383"/>
      <c r="I224" s="384"/>
      <c r="J224" s="383"/>
      <c r="K224" s="384"/>
      <c r="L224" s="383"/>
      <c r="M224" s="383">
        <v>165808</v>
      </c>
      <c r="N224" s="384">
        <v>6.7653373569779574E-2</v>
      </c>
      <c r="O224" s="383">
        <v>40518.05854039111</v>
      </c>
      <c r="P224" s="384">
        <v>7.8724829768659813E-2</v>
      </c>
      <c r="Q224" s="383">
        <v>39422.956000999999</v>
      </c>
      <c r="R224" s="383">
        <v>193511</v>
      </c>
      <c r="S224" s="384">
        <v>7.89568173602095E-2</v>
      </c>
      <c r="T224" s="383">
        <v>40986.290941851759</v>
      </c>
      <c r="U224" s="384">
        <v>7.9634585009287009E-2</v>
      </c>
      <c r="V224" s="383">
        <v>39878.533242999998</v>
      </c>
      <c r="W224" s="383">
        <v>97701</v>
      </c>
      <c r="X224" s="384">
        <v>3.986419383347628E-2</v>
      </c>
      <c r="Y224" s="383">
        <v>17170.431019177511</v>
      </c>
      <c r="Z224" s="384">
        <v>3.3361402489010213E-2</v>
      </c>
      <c r="AA224" s="383">
        <v>16706.356893</v>
      </c>
      <c r="AB224" s="383"/>
      <c r="AC224" s="384"/>
      <c r="AD224" s="383"/>
      <c r="AE224" s="384"/>
      <c r="AF224" s="383"/>
      <c r="AG224" s="383">
        <v>2450846</v>
      </c>
      <c r="AH224" s="384">
        <v>1</v>
      </c>
      <c r="AI224" s="383">
        <v>514679.53197812138</v>
      </c>
      <c r="AJ224" s="384">
        <v>1.0000000000000002</v>
      </c>
      <c r="AK224" s="383">
        <v>500769.02188100002</v>
      </c>
    </row>
    <row r="225" spans="2:42" outlineLevel="1" x14ac:dyDescent="0.25">
      <c r="B225" s="288">
        <v>45323</v>
      </c>
      <c r="C225" s="383">
        <v>2004812</v>
      </c>
      <c r="D225" s="384">
        <v>0.81430450858308701</v>
      </c>
      <c r="E225" s="383">
        <v>432348.98136990558</v>
      </c>
      <c r="F225" s="384">
        <v>0.81131519051982259</v>
      </c>
      <c r="G225" s="383">
        <v>423136.112838</v>
      </c>
      <c r="H225" s="383"/>
      <c r="I225" s="384"/>
      <c r="J225" s="383"/>
      <c r="K225" s="384"/>
      <c r="L225" s="383"/>
      <c r="M225" s="383">
        <v>165123</v>
      </c>
      <c r="N225" s="384">
        <v>6.7068834070608652E-2</v>
      </c>
      <c r="O225" s="383">
        <v>40161.950471791657</v>
      </c>
      <c r="P225" s="384">
        <v>7.5365045143454087E-2</v>
      </c>
      <c r="Q225" s="383">
        <v>39306.144662999999</v>
      </c>
      <c r="R225" s="383">
        <v>194190</v>
      </c>
      <c r="S225" s="384">
        <v>7.887512271562104E-2</v>
      </c>
      <c r="T225" s="383">
        <v>42501.739207372702</v>
      </c>
      <c r="U225" s="384">
        <v>7.975572541698972E-2</v>
      </c>
      <c r="V225" s="383">
        <v>41596.075143000002</v>
      </c>
      <c r="W225" s="383">
        <v>97868</v>
      </c>
      <c r="X225" s="384">
        <v>3.9751534630683351E-2</v>
      </c>
      <c r="Y225" s="383">
        <v>17886.239783466939</v>
      </c>
      <c r="Z225" s="384">
        <v>3.3564038919733648E-2</v>
      </c>
      <c r="AA225" s="383">
        <v>17505.104212999999</v>
      </c>
      <c r="AB225" s="383"/>
      <c r="AC225" s="384"/>
      <c r="AD225" s="383"/>
      <c r="AE225" s="384"/>
      <c r="AF225" s="383"/>
      <c r="AG225" s="383">
        <v>2461993</v>
      </c>
      <c r="AH225" s="384">
        <v>1</v>
      </c>
      <c r="AI225" s="383">
        <v>532898.91083253687</v>
      </c>
      <c r="AJ225" s="384">
        <v>1</v>
      </c>
      <c r="AK225" s="383">
        <v>521543.43685699999</v>
      </c>
    </row>
    <row r="226" spans="2:42" outlineLevel="1" x14ac:dyDescent="0.25">
      <c r="B226" s="288">
        <v>45352</v>
      </c>
      <c r="C226" s="383">
        <v>2017492</v>
      </c>
      <c r="D226" s="384">
        <v>0.81498429810890571</v>
      </c>
      <c r="E226" s="383">
        <v>433386.99165289412</v>
      </c>
      <c r="F226" s="384">
        <v>0.81207348182517658</v>
      </c>
      <c r="G226" s="383">
        <v>425756.26224700001</v>
      </c>
      <c r="H226" s="383"/>
      <c r="I226" s="384"/>
      <c r="J226" s="383"/>
      <c r="K226" s="384"/>
      <c r="L226" s="383"/>
      <c r="M226" s="383">
        <v>164697</v>
      </c>
      <c r="N226" s="384">
        <v>6.6530855609659142E-2</v>
      </c>
      <c r="O226" s="383">
        <v>39921.877063511383</v>
      </c>
      <c r="P226" s="384">
        <v>7.4804962613939249E-2</v>
      </c>
      <c r="Q226" s="383">
        <v>39218.964777000001</v>
      </c>
      <c r="R226" s="383">
        <v>195118</v>
      </c>
      <c r="S226" s="384">
        <v>7.8819696077314538E-2</v>
      </c>
      <c r="T226" s="383">
        <v>42540.775674852601</v>
      </c>
      <c r="U226" s="384">
        <v>7.9712212150312767E-2</v>
      </c>
      <c r="V226" s="383">
        <v>41791.751928999998</v>
      </c>
      <c r="W226" s="383">
        <v>98191</v>
      </c>
      <c r="X226" s="384">
        <v>3.9665150204120543E-2</v>
      </c>
      <c r="Y226" s="383">
        <v>17829.882588042881</v>
      </c>
      <c r="Z226" s="384">
        <v>3.3409343410571612E-2</v>
      </c>
      <c r="AA226" s="383">
        <v>17515.948363</v>
      </c>
      <c r="AB226" s="383"/>
      <c r="AC226" s="384"/>
      <c r="AD226" s="383"/>
      <c r="AE226" s="384"/>
      <c r="AF226" s="383"/>
      <c r="AG226" s="383">
        <v>2475498</v>
      </c>
      <c r="AH226" s="384">
        <v>1</v>
      </c>
      <c r="AI226" s="383">
        <v>533679.52697930089</v>
      </c>
      <c r="AJ226" s="384">
        <v>1.0000000000000002</v>
      </c>
      <c r="AK226" s="383">
        <v>524282.92731599999</v>
      </c>
    </row>
    <row r="227" spans="2:42" outlineLevel="1" x14ac:dyDescent="0.25">
      <c r="B227" s="288">
        <v>45383</v>
      </c>
      <c r="C227" s="383">
        <v>2029246</v>
      </c>
      <c r="D227" s="384">
        <v>0.81590258282880024</v>
      </c>
      <c r="E227" s="383">
        <v>433549.54918233462</v>
      </c>
      <c r="F227" s="384">
        <v>0.81306191127502148</v>
      </c>
      <c r="G227" s="383">
        <v>428162.28540499997</v>
      </c>
      <c r="H227" s="383"/>
      <c r="I227" s="384"/>
      <c r="J227" s="383"/>
      <c r="K227" s="384"/>
      <c r="L227" s="383"/>
      <c r="M227" s="383">
        <v>163767</v>
      </c>
      <c r="N227" s="384">
        <v>6.5846091741525739E-2</v>
      </c>
      <c r="O227" s="383">
        <v>39493.273558313638</v>
      </c>
      <c r="P227" s="384">
        <v>7.4064144553695047E-2</v>
      </c>
      <c r="Q227" s="383">
        <v>39002.532228999997</v>
      </c>
      <c r="R227" s="383">
        <v>195688</v>
      </c>
      <c r="S227" s="384">
        <v>7.8680625527216635E-2</v>
      </c>
      <c r="T227" s="383">
        <v>42441.293300778227</v>
      </c>
      <c r="U227" s="384">
        <v>7.959274577310653E-2</v>
      </c>
      <c r="V227" s="383">
        <v>41913.920034000002</v>
      </c>
      <c r="W227" s="383">
        <v>98417</v>
      </c>
      <c r="X227" s="384">
        <v>3.9570699902457381E-2</v>
      </c>
      <c r="Y227" s="383">
        <v>17746.555780912491</v>
      </c>
      <c r="Z227" s="384">
        <v>3.3281198398177038E-2</v>
      </c>
      <c r="AA227" s="383">
        <v>17526.038016999999</v>
      </c>
      <c r="AB227" s="383"/>
      <c r="AC227" s="384"/>
      <c r="AD227" s="383"/>
      <c r="AE227" s="384"/>
      <c r="AF227" s="383"/>
      <c r="AG227" s="383">
        <v>2487118</v>
      </c>
      <c r="AH227" s="384">
        <v>1</v>
      </c>
      <c r="AI227" s="383">
        <v>533230.67182233895</v>
      </c>
      <c r="AJ227" s="384">
        <v>1</v>
      </c>
      <c r="AK227" s="383">
        <v>526604.775685</v>
      </c>
    </row>
    <row r="228" spans="2:42" outlineLevel="1" x14ac:dyDescent="0.25">
      <c r="B228" s="288">
        <v>45413</v>
      </c>
      <c r="C228" s="383">
        <v>2040542</v>
      </c>
      <c r="D228" s="384">
        <v>0.81654799186550064</v>
      </c>
      <c r="E228" s="383">
        <v>434700.20629315882</v>
      </c>
      <c r="F228" s="384">
        <v>0.81381283218997102</v>
      </c>
      <c r="G228" s="383">
        <v>430429.78402600001</v>
      </c>
      <c r="H228" s="383"/>
      <c r="I228" s="384"/>
      <c r="J228" s="383"/>
      <c r="K228" s="384"/>
      <c r="L228" s="383"/>
      <c r="M228" s="383">
        <v>163236</v>
      </c>
      <c r="N228" s="384">
        <v>6.5320894154669129E-2</v>
      </c>
      <c r="O228" s="383">
        <v>39275.858981773199</v>
      </c>
      <c r="P228" s="384">
        <v>7.3529291157260229E-2</v>
      </c>
      <c r="Q228" s="383">
        <v>38890.019499000002</v>
      </c>
      <c r="R228" s="383">
        <v>196336</v>
      </c>
      <c r="S228" s="384">
        <v>7.8566266477683347E-2</v>
      </c>
      <c r="T228" s="383">
        <v>42469.481530618672</v>
      </c>
      <c r="U228" s="384">
        <v>7.9508149629825414E-2</v>
      </c>
      <c r="V228" s="383">
        <v>42052.268432999997</v>
      </c>
      <c r="W228" s="383">
        <v>98872</v>
      </c>
      <c r="X228" s="384">
        <v>3.9564847502146873E-2</v>
      </c>
      <c r="Y228" s="383">
        <v>17707.011496313669</v>
      </c>
      <c r="Z228" s="384">
        <v>3.3149727022943415E-2</v>
      </c>
      <c r="AA228" s="383">
        <v>17533.060771</v>
      </c>
      <c r="AB228" s="383"/>
      <c r="AC228" s="384"/>
      <c r="AD228" s="383"/>
      <c r="AE228" s="384"/>
      <c r="AF228" s="383"/>
      <c r="AG228" s="383">
        <v>2498986</v>
      </c>
      <c r="AH228" s="384">
        <v>1</v>
      </c>
      <c r="AI228" s="383">
        <v>534152.55830186431</v>
      </c>
      <c r="AJ228" s="384">
        <v>1.0000000000000002</v>
      </c>
      <c r="AK228" s="383">
        <v>528905.13272899995</v>
      </c>
    </row>
    <row r="229" spans="2:42" outlineLevel="1" x14ac:dyDescent="0.25">
      <c r="B229" s="288">
        <v>45444</v>
      </c>
      <c r="C229" s="383">
        <v>2047838</v>
      </c>
      <c r="D229" s="384">
        <v>0.81688712662752105</v>
      </c>
      <c r="E229" s="383">
        <v>436549.47023931373</v>
      </c>
      <c r="F229" s="384">
        <v>0.81171643598909626</v>
      </c>
      <c r="G229" s="383">
        <v>431874.282305</v>
      </c>
      <c r="H229" s="383"/>
      <c r="I229" s="384"/>
      <c r="J229" s="383"/>
      <c r="K229" s="384"/>
      <c r="L229" s="383"/>
      <c r="M229" s="383">
        <v>162818</v>
      </c>
      <c r="N229" s="384">
        <v>6.4948461833035487E-2</v>
      </c>
      <c r="O229" s="383">
        <v>40860.94508482219</v>
      </c>
      <c r="P229" s="384">
        <v>7.5976499747476112E-2</v>
      </c>
      <c r="Q229" s="383">
        <v>40423.348407999998</v>
      </c>
      <c r="R229" s="383">
        <v>197054</v>
      </c>
      <c r="S229" s="384">
        <v>7.8605278274189436E-2</v>
      </c>
      <c r="T229" s="383">
        <v>42661.982830236717</v>
      </c>
      <c r="U229" s="384">
        <v>7.9325334277015894E-2</v>
      </c>
      <c r="V229" s="383">
        <v>42205.098099000003</v>
      </c>
      <c r="W229" s="383">
        <v>99170</v>
      </c>
      <c r="X229" s="384">
        <v>3.9559133265254023E-2</v>
      </c>
      <c r="Y229" s="383">
        <v>17737.91451641568</v>
      </c>
      <c r="Z229" s="384">
        <v>3.298172998641187E-2</v>
      </c>
      <c r="AA229" s="383">
        <v>17547.95189</v>
      </c>
      <c r="AB229" s="383"/>
      <c r="AC229" s="384"/>
      <c r="AD229" s="383"/>
      <c r="AE229" s="384"/>
      <c r="AF229" s="383"/>
      <c r="AG229" s="383">
        <v>2506880</v>
      </c>
      <c r="AH229" s="384">
        <v>1</v>
      </c>
      <c r="AI229" s="383">
        <v>537810.31267078826</v>
      </c>
      <c r="AJ229" s="384">
        <v>1.0000000000000002</v>
      </c>
      <c r="AK229" s="383">
        <v>532050.68070200004</v>
      </c>
    </row>
    <row r="230" spans="2:42" outlineLevel="1" x14ac:dyDescent="0.25">
      <c r="B230" s="288">
        <v>45474</v>
      </c>
      <c r="C230" s="294">
        <v>2066532</v>
      </c>
      <c r="D230" s="384">
        <v>0.81806953621935408</v>
      </c>
      <c r="E230" s="294">
        <v>437037.47852257808</v>
      </c>
      <c r="F230" s="384">
        <v>0.81287316095149853</v>
      </c>
      <c r="G230" s="294">
        <v>435541.43662699999</v>
      </c>
      <c r="H230" s="294"/>
      <c r="I230" s="384"/>
      <c r="J230" s="294"/>
      <c r="K230" s="384"/>
      <c r="L230" s="294"/>
      <c r="M230" s="294">
        <v>162388</v>
      </c>
      <c r="N230" s="384">
        <v>6.42838706816969E-2</v>
      </c>
      <c r="O230" s="294">
        <v>40478.567795208277</v>
      </c>
      <c r="P230" s="384">
        <v>7.5288603315471964E-2</v>
      </c>
      <c r="Q230" s="294">
        <v>40340.003858999997</v>
      </c>
      <c r="R230" s="294">
        <v>197756</v>
      </c>
      <c r="S230" s="384">
        <v>7.828485559603944E-2</v>
      </c>
      <c r="T230" s="294">
        <v>42500.855618123373</v>
      </c>
      <c r="U230" s="384">
        <v>7.9049982089035881E-2</v>
      </c>
      <c r="V230" s="294">
        <v>42355.369100999997</v>
      </c>
      <c r="W230" s="294">
        <v>99432</v>
      </c>
      <c r="X230" s="384">
        <v>3.9361737502909618E-2</v>
      </c>
      <c r="Y230" s="294">
        <v>17628.452243344142</v>
      </c>
      <c r="Z230" s="384">
        <v>3.2788253643993584E-2</v>
      </c>
      <c r="AA230" s="294">
        <v>17568.107526</v>
      </c>
      <c r="AB230" s="294"/>
      <c r="AC230" s="384"/>
      <c r="AD230" s="294"/>
      <c r="AE230" s="384"/>
      <c r="AF230" s="294"/>
      <c r="AG230" s="294">
        <v>2526108</v>
      </c>
      <c r="AH230" s="384">
        <v>1</v>
      </c>
      <c r="AI230" s="294">
        <v>537645.35417925392</v>
      </c>
      <c r="AJ230" s="384">
        <v>1</v>
      </c>
      <c r="AK230" s="294">
        <v>535804.91711299994</v>
      </c>
    </row>
    <row r="231" spans="2:42" outlineLevel="1" x14ac:dyDescent="0.25">
      <c r="B231" s="288">
        <v>45505</v>
      </c>
      <c r="C231" s="294">
        <v>2073924</v>
      </c>
      <c r="D231" s="384">
        <v>0.818554476125672</v>
      </c>
      <c r="E231" s="294">
        <v>437418.13046329049</v>
      </c>
      <c r="F231" s="384">
        <v>0.81335524590500186</v>
      </c>
      <c r="G231" s="294">
        <v>437034.55107500002</v>
      </c>
      <c r="H231" s="294"/>
      <c r="I231" s="384"/>
      <c r="J231" s="294"/>
      <c r="K231" s="384"/>
      <c r="L231" s="294"/>
      <c r="M231" s="294">
        <v>161687</v>
      </c>
      <c r="N231" s="384">
        <v>6.3816040308772901E-2</v>
      </c>
      <c r="O231" s="294">
        <v>40237.859030036387</v>
      </c>
      <c r="P231" s="384">
        <v>7.4820112489170476E-2</v>
      </c>
      <c r="Q231" s="294">
        <v>40202.573768000002</v>
      </c>
      <c r="R231" s="294">
        <v>198391</v>
      </c>
      <c r="S231" s="384">
        <v>7.8302696276743119E-2</v>
      </c>
      <c r="T231" s="294">
        <v>42528.897751805533</v>
      </c>
      <c r="U231" s="384">
        <v>7.9080174505687217E-2</v>
      </c>
      <c r="V231" s="294">
        <v>42491.603438999999</v>
      </c>
      <c r="W231" s="294">
        <v>99640</v>
      </c>
      <c r="X231" s="384">
        <v>3.9326787288811914E-2</v>
      </c>
      <c r="Y231" s="294">
        <v>17609.800458129841</v>
      </c>
      <c r="Z231" s="384">
        <v>3.2744467100140569E-2</v>
      </c>
      <c r="AA231" s="294">
        <v>17594.358124999999</v>
      </c>
      <c r="AB231" s="294"/>
      <c r="AC231" s="384"/>
      <c r="AD231" s="294"/>
      <c r="AE231" s="384"/>
      <c r="AF231" s="294"/>
      <c r="AG231" s="294">
        <v>2533642</v>
      </c>
      <c r="AH231" s="384">
        <v>1</v>
      </c>
      <c r="AI231" s="294">
        <v>537794.6877032622</v>
      </c>
      <c r="AJ231" s="384">
        <v>1.0000000000000002</v>
      </c>
      <c r="AK231" s="294">
        <v>537323.08640699997</v>
      </c>
    </row>
    <row r="232" spans="2:42" x14ac:dyDescent="0.25">
      <c r="B232" s="288">
        <v>45536</v>
      </c>
      <c r="C232" s="294">
        <v>2082306</v>
      </c>
      <c r="D232" s="384">
        <v>0.8192117445583732</v>
      </c>
      <c r="E232" s="294">
        <v>438710.01214000001</v>
      </c>
      <c r="F232" s="384">
        <v>0.81404461419051255</v>
      </c>
      <c r="G232" s="294">
        <v>438710.01214000001</v>
      </c>
      <c r="H232" s="294"/>
      <c r="I232" s="384"/>
      <c r="J232" s="294"/>
      <c r="K232" s="384"/>
      <c r="L232" s="294"/>
      <c r="M232" s="294">
        <v>160986</v>
      </c>
      <c r="N232" s="384">
        <v>6.3334409980797382E-2</v>
      </c>
      <c r="O232" s="294">
        <v>40041.835784000003</v>
      </c>
      <c r="P232" s="384">
        <v>7.4299286226146677E-2</v>
      </c>
      <c r="Q232" s="294">
        <v>40041.835784000003</v>
      </c>
      <c r="R232" s="294">
        <v>198862</v>
      </c>
      <c r="S232" s="384">
        <v>7.823542070491428E-2</v>
      </c>
      <c r="T232" s="294">
        <v>42592.913254999999</v>
      </c>
      <c r="U232" s="384">
        <v>7.9032916228161748E-2</v>
      </c>
      <c r="V232" s="294">
        <v>42592.913254999999</v>
      </c>
      <c r="W232" s="294">
        <v>99687</v>
      </c>
      <c r="X232" s="384">
        <v>3.9218424755915103E-2</v>
      </c>
      <c r="Y232" s="294">
        <v>17581.489903999998</v>
      </c>
      <c r="Z232" s="384">
        <v>3.2623183355179101E-2</v>
      </c>
      <c r="AA232" s="294">
        <v>17581.489903999998</v>
      </c>
      <c r="AB232" s="294"/>
      <c r="AC232" s="384"/>
      <c r="AD232" s="294"/>
      <c r="AE232" s="384"/>
      <c r="AF232" s="294"/>
      <c r="AG232" s="294">
        <v>2541841</v>
      </c>
      <c r="AH232" s="384">
        <v>1</v>
      </c>
      <c r="AI232" s="294">
        <v>538926.25108299998</v>
      </c>
      <c r="AJ232" s="384">
        <v>1</v>
      </c>
      <c r="AK232" s="294">
        <v>538926.25108299998</v>
      </c>
    </row>
    <row r="233" spans="2:42" x14ac:dyDescent="0.25">
      <c r="B233" s="4" t="s">
        <v>772</v>
      </c>
      <c r="N233" s="222"/>
      <c r="O233" s="222"/>
      <c r="P233" s="222"/>
      <c r="Q233" s="222"/>
      <c r="R233" s="222"/>
      <c r="S233" s="222"/>
      <c r="T233" s="222"/>
      <c r="U233" s="222"/>
      <c r="V233" s="222"/>
      <c r="W233" s="222"/>
      <c r="X233" s="222"/>
      <c r="Y233" s="222"/>
      <c r="Z233" s="222"/>
    </row>
    <row r="234" spans="2:42" ht="30" customHeight="1" x14ac:dyDescent="0.25">
      <c r="B234" s="421" t="s">
        <v>836</v>
      </c>
      <c r="C234" s="421"/>
      <c r="D234" s="421"/>
      <c r="E234" s="421"/>
      <c r="F234" s="421"/>
      <c r="G234" s="421"/>
      <c r="H234" s="421"/>
      <c r="I234" s="421"/>
      <c r="J234" s="421"/>
      <c r="K234" s="421"/>
      <c r="L234" s="421"/>
      <c r="M234" s="421"/>
      <c r="N234" s="421"/>
      <c r="O234" s="421"/>
      <c r="P234" s="421"/>
      <c r="Q234" s="421"/>
      <c r="R234" s="421"/>
      <c r="S234" s="421"/>
      <c r="T234" s="421"/>
      <c r="U234" s="421"/>
      <c r="V234" s="421"/>
      <c r="W234" s="421"/>
      <c r="X234" s="421"/>
      <c r="Y234" s="421"/>
      <c r="Z234" s="421"/>
      <c r="AA234" s="421"/>
      <c r="AB234" s="421"/>
      <c r="AC234" s="421"/>
      <c r="AD234" s="421"/>
      <c r="AE234" s="421"/>
      <c r="AF234" s="421"/>
      <c r="AG234" s="421"/>
      <c r="AH234" s="421"/>
      <c r="AI234" s="421"/>
      <c r="AJ234" s="421"/>
      <c r="AK234" s="421"/>
      <c r="AL234" s="421"/>
      <c r="AM234" s="421"/>
      <c r="AN234" s="421"/>
      <c r="AO234" s="421"/>
      <c r="AP234" s="421"/>
    </row>
    <row r="235" spans="2:42" x14ac:dyDescent="0.25">
      <c r="B235" s="421" t="s">
        <v>884</v>
      </c>
      <c r="C235" s="421"/>
      <c r="D235" s="421"/>
      <c r="E235" s="421"/>
      <c r="F235" s="421"/>
      <c r="G235" s="421"/>
      <c r="H235" s="421"/>
      <c r="I235" s="421"/>
      <c r="J235" s="421"/>
      <c r="K235" s="421"/>
      <c r="L235" s="421"/>
      <c r="M235" s="262"/>
      <c r="N235" s="262"/>
      <c r="O235" s="262"/>
      <c r="P235" s="262"/>
      <c r="Q235" s="262"/>
      <c r="R235" s="262"/>
      <c r="S235" s="262"/>
      <c r="T235" s="262"/>
      <c r="U235" s="262"/>
      <c r="V235" s="262"/>
      <c r="W235" s="262"/>
      <c r="X235" s="262"/>
      <c r="Y235" s="262"/>
      <c r="Z235" s="262"/>
      <c r="AA235" s="262"/>
      <c r="AB235" s="262"/>
      <c r="AC235" s="262"/>
      <c r="AD235" s="262"/>
      <c r="AE235" s="262"/>
      <c r="AF235" s="262"/>
      <c r="AG235" s="262"/>
      <c r="AH235" s="262"/>
      <c r="AI235" s="262"/>
      <c r="AJ235" s="262"/>
      <c r="AK235" s="262"/>
      <c r="AL235" s="262"/>
      <c r="AM235" s="262"/>
      <c r="AN235" s="262"/>
      <c r="AO235" s="262"/>
      <c r="AP235" s="262"/>
    </row>
    <row r="236" spans="2:42" x14ac:dyDescent="0.25">
      <c r="B236" s="554" t="s">
        <v>951</v>
      </c>
      <c r="C236" s="236"/>
      <c r="D236" s="236"/>
      <c r="E236" s="236"/>
      <c r="F236" s="236"/>
      <c r="G236" s="236"/>
      <c r="H236" s="236"/>
      <c r="I236" s="236"/>
      <c r="J236" s="236"/>
      <c r="K236" s="236"/>
      <c r="L236" s="236"/>
      <c r="M236" s="236"/>
      <c r="N236" s="236"/>
      <c r="O236" s="236"/>
      <c r="P236" s="236"/>
    </row>
  </sheetData>
  <mergeCells count="31">
    <mergeCell ref="B235:L235"/>
    <mergeCell ref="D7:F7"/>
    <mergeCell ref="G7:I7"/>
    <mergeCell ref="J7:L7"/>
    <mergeCell ref="B9:B14"/>
    <mergeCell ref="B15:B20"/>
    <mergeCell ref="B21:B26"/>
    <mergeCell ref="B28:L28"/>
    <mergeCell ref="C35:G35"/>
    <mergeCell ref="B29:L29"/>
    <mergeCell ref="B234:AP234"/>
    <mergeCell ref="AD36:AE36"/>
    <mergeCell ref="AG36:AH36"/>
    <mergeCell ref="AI36:AJ36"/>
    <mergeCell ref="H35:L35"/>
    <mergeCell ref="AB36:AC36"/>
    <mergeCell ref="C36:D36"/>
    <mergeCell ref="E36:F36"/>
    <mergeCell ref="R36:S36"/>
    <mergeCell ref="T36:U36"/>
    <mergeCell ref="H36:I36"/>
    <mergeCell ref="J36:K36"/>
    <mergeCell ref="M36:N36"/>
    <mergeCell ref="O36:P36"/>
    <mergeCell ref="AB35:AF35"/>
    <mergeCell ref="AG35:AK35"/>
    <mergeCell ref="W36:X36"/>
    <mergeCell ref="Y36:Z36"/>
    <mergeCell ref="M35:Q35"/>
    <mergeCell ref="R35:V35"/>
    <mergeCell ref="W35:AA35"/>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194B-DF06-4B2C-863C-093F7F3D813F}">
  <sheetPr>
    <tabColor theme="9"/>
  </sheetPr>
  <dimension ref="B2:AM121"/>
  <sheetViews>
    <sheetView showGridLines="0" workbookViewId="0">
      <pane xSplit="3" ySplit="9" topLeftCell="AF10" activePane="bottomRight" state="frozen"/>
      <selection pane="topRight" activeCell="D1" sqref="D1"/>
      <selection pane="bottomLeft" activeCell="A10" sqref="A10"/>
      <selection pane="bottomRight" activeCell="B4" sqref="B4"/>
    </sheetView>
    <sheetView showGridLines="0" workbookViewId="1"/>
  </sheetViews>
  <sheetFormatPr baseColWidth="10" defaultRowHeight="15" outlineLevelCol="1" x14ac:dyDescent="0.25"/>
  <cols>
    <col min="2" max="2" width="20.140625" customWidth="1"/>
    <col min="3" max="3" width="24.5703125" customWidth="1"/>
    <col min="4" max="4" width="15.5703125" hidden="1" customWidth="1" outlineLevel="1"/>
    <col min="5" max="5" width="17.7109375" hidden="1" customWidth="1" outlineLevel="1"/>
    <col min="6" max="6" width="19.42578125" hidden="1" customWidth="1" outlineLevel="1"/>
    <col min="7" max="7" width="17.5703125" hidden="1" customWidth="1" outlineLevel="1"/>
    <col min="8" max="8" width="16.42578125" hidden="1" customWidth="1" outlineLevel="1"/>
    <col min="9" max="9" width="19.28515625" hidden="1" customWidth="1" outlineLevel="1"/>
    <col min="10" max="10" width="15.7109375" hidden="1" customWidth="1" outlineLevel="1"/>
    <col min="11" max="11" width="16.140625" hidden="1" customWidth="1" outlineLevel="1"/>
    <col min="12" max="12" width="20.28515625" hidden="1" customWidth="1" outlineLevel="1"/>
    <col min="13" max="13" width="14.85546875" hidden="1" customWidth="1" outlineLevel="1"/>
    <col min="14" max="14" width="14.7109375" hidden="1" customWidth="1" outlineLevel="1"/>
    <col min="15" max="15" width="19.85546875" hidden="1" customWidth="1" outlineLevel="1"/>
    <col min="16" max="16" width="16.42578125" hidden="1" customWidth="1" outlineLevel="1"/>
    <col min="17" max="17" width="16.28515625" hidden="1" customWidth="1" outlineLevel="1"/>
    <col min="18" max="18" width="18.5703125" hidden="1" customWidth="1" outlineLevel="1"/>
    <col min="19" max="19" width="15.140625" hidden="1" customWidth="1" outlineLevel="1"/>
    <col min="20" max="20" width="11.42578125" hidden="1" customWidth="1" outlineLevel="1"/>
    <col min="21" max="21" width="18.42578125" hidden="1" customWidth="1" outlineLevel="1"/>
    <col min="22" max="22" width="14.5703125" hidden="1" customWidth="1" outlineLevel="1"/>
    <col min="23" max="23" width="11.42578125" hidden="1" customWidth="1" outlineLevel="1"/>
    <col min="24" max="24" width="18.42578125" hidden="1" customWidth="1" outlineLevel="1"/>
    <col min="25" max="25" width="14.28515625" hidden="1" customWidth="1" outlineLevel="1"/>
    <col min="26" max="26" width="11.42578125" hidden="1" customWidth="1" outlineLevel="1"/>
    <col min="27" max="28" width="15.28515625" hidden="1" customWidth="1" outlineLevel="1"/>
    <col min="29" max="29" width="11.42578125" hidden="1" customWidth="1" outlineLevel="1"/>
    <col min="30" max="30" width="19" hidden="1" customWidth="1" outlineLevel="1"/>
    <col min="31" max="31" width="14" customWidth="1" collapsed="1"/>
    <col min="33" max="33" width="15.140625" customWidth="1"/>
    <col min="34" max="34" width="14.28515625" customWidth="1"/>
    <col min="36" max="36" width="15.42578125" customWidth="1"/>
    <col min="37" max="37" width="14.5703125" customWidth="1"/>
    <col min="38" max="38" width="14.42578125" customWidth="1"/>
    <col min="39" max="39" width="15.7109375" customWidth="1"/>
  </cols>
  <sheetData>
    <row r="2" spans="2:39" ht="23.25" x14ac:dyDescent="0.25">
      <c r="B2" s="1" t="s">
        <v>829</v>
      </c>
    </row>
    <row r="4" spans="2:39" ht="18.75" x14ac:dyDescent="0.3">
      <c r="B4" s="2" t="s">
        <v>830</v>
      </c>
      <c r="C4" s="8"/>
      <c r="D4" s="8"/>
      <c r="E4" s="8"/>
      <c r="F4" s="8"/>
    </row>
    <row r="5" spans="2:39" x14ac:dyDescent="0.25">
      <c r="B5" s="3" t="s">
        <v>912</v>
      </c>
    </row>
    <row r="7" spans="2:39" x14ac:dyDescent="0.25">
      <c r="B7" s="431" t="s">
        <v>521</v>
      </c>
      <c r="C7" s="432" t="s">
        <v>477</v>
      </c>
      <c r="D7" s="435">
        <v>45474</v>
      </c>
      <c r="E7" s="435"/>
      <c r="F7" s="435"/>
      <c r="G7" s="435"/>
      <c r="H7" s="435"/>
      <c r="I7" s="435"/>
      <c r="J7" s="435"/>
      <c r="K7" s="435"/>
      <c r="L7" s="435"/>
      <c r="M7" s="436">
        <v>45505</v>
      </c>
      <c r="N7" s="436"/>
      <c r="O7" s="436"/>
      <c r="P7" s="436"/>
      <c r="Q7" s="436"/>
      <c r="R7" s="436"/>
      <c r="S7" s="436"/>
      <c r="T7" s="436"/>
      <c r="U7" s="436"/>
      <c r="V7" s="437">
        <v>45536</v>
      </c>
      <c r="W7" s="437"/>
      <c r="X7" s="437"/>
      <c r="Y7" s="437"/>
      <c r="Z7" s="437"/>
      <c r="AA7" s="437"/>
      <c r="AB7" s="437"/>
      <c r="AC7" s="437"/>
      <c r="AD7" s="437"/>
      <c r="AE7" s="430" t="s">
        <v>914</v>
      </c>
      <c r="AF7" s="430"/>
      <c r="AG7" s="430"/>
      <c r="AH7" s="430"/>
      <c r="AI7" s="430"/>
      <c r="AJ7" s="430"/>
      <c r="AK7" s="430"/>
      <c r="AL7" s="430"/>
      <c r="AM7" s="430"/>
    </row>
    <row r="8" spans="2:39" x14ac:dyDescent="0.25">
      <c r="B8" s="431"/>
      <c r="C8" s="432"/>
      <c r="D8" s="422" t="s">
        <v>73</v>
      </c>
      <c r="E8" s="422"/>
      <c r="F8" s="422"/>
      <c r="G8" s="422" t="s">
        <v>74</v>
      </c>
      <c r="H8" s="422"/>
      <c r="I8" s="422"/>
      <c r="J8" s="438" t="s">
        <v>25</v>
      </c>
      <c r="K8" s="438"/>
      <c r="L8" s="438"/>
      <c r="M8" s="422" t="s">
        <v>73</v>
      </c>
      <c r="N8" s="422"/>
      <c r="O8" s="422"/>
      <c r="P8" s="422" t="s">
        <v>74</v>
      </c>
      <c r="Q8" s="422"/>
      <c r="R8" s="422"/>
      <c r="S8" s="433" t="s">
        <v>25</v>
      </c>
      <c r="T8" s="433"/>
      <c r="U8" s="433"/>
      <c r="V8" s="422" t="s">
        <v>73</v>
      </c>
      <c r="W8" s="422"/>
      <c r="X8" s="422"/>
      <c r="Y8" s="422" t="s">
        <v>74</v>
      </c>
      <c r="Z8" s="422"/>
      <c r="AA8" s="422"/>
      <c r="AB8" s="434" t="s">
        <v>25</v>
      </c>
      <c r="AC8" s="434"/>
      <c r="AD8" s="434"/>
      <c r="AE8" s="422" t="s">
        <v>73</v>
      </c>
      <c r="AF8" s="422"/>
      <c r="AG8" s="422"/>
      <c r="AH8" s="422" t="s">
        <v>74</v>
      </c>
      <c r="AI8" s="422"/>
      <c r="AJ8" s="422"/>
      <c r="AK8" s="430" t="s">
        <v>25</v>
      </c>
      <c r="AL8" s="430"/>
      <c r="AM8" s="430"/>
    </row>
    <row r="9" spans="2:39" ht="62.25" x14ac:dyDescent="0.25">
      <c r="B9" s="431"/>
      <c r="C9" s="432"/>
      <c r="D9" s="264" t="s">
        <v>839</v>
      </c>
      <c r="E9" s="264" t="s">
        <v>888</v>
      </c>
      <c r="F9" s="264" t="s">
        <v>889</v>
      </c>
      <c r="G9" s="264" t="s">
        <v>839</v>
      </c>
      <c r="H9" s="264" t="s">
        <v>888</v>
      </c>
      <c r="I9" s="264" t="s">
        <v>889</v>
      </c>
      <c r="J9" s="271" t="s">
        <v>839</v>
      </c>
      <c r="K9" s="271" t="s">
        <v>888</v>
      </c>
      <c r="L9" s="271" t="s">
        <v>889</v>
      </c>
      <c r="M9" s="264" t="s">
        <v>839</v>
      </c>
      <c r="N9" s="264" t="s">
        <v>888</v>
      </c>
      <c r="O9" s="264" t="s">
        <v>889</v>
      </c>
      <c r="P9" s="264" t="s">
        <v>839</v>
      </c>
      <c r="Q9" s="264" t="s">
        <v>888</v>
      </c>
      <c r="R9" s="264" t="s">
        <v>889</v>
      </c>
      <c r="S9" s="272" t="s">
        <v>839</v>
      </c>
      <c r="T9" s="272" t="s">
        <v>888</v>
      </c>
      <c r="U9" s="272" t="s">
        <v>889</v>
      </c>
      <c r="V9" s="264" t="s">
        <v>839</v>
      </c>
      <c r="W9" s="264" t="s">
        <v>888</v>
      </c>
      <c r="X9" s="264" t="s">
        <v>889</v>
      </c>
      <c r="Y9" s="264" t="s">
        <v>839</v>
      </c>
      <c r="Z9" s="264" t="s">
        <v>888</v>
      </c>
      <c r="AA9" s="264" t="s">
        <v>889</v>
      </c>
      <c r="AB9" s="273" t="s">
        <v>839</v>
      </c>
      <c r="AC9" s="273" t="s">
        <v>888</v>
      </c>
      <c r="AD9" s="273" t="s">
        <v>889</v>
      </c>
      <c r="AE9" s="264" t="s">
        <v>890</v>
      </c>
      <c r="AF9" s="264" t="s">
        <v>891</v>
      </c>
      <c r="AG9" s="264" t="s">
        <v>892</v>
      </c>
      <c r="AH9" s="264" t="s">
        <v>890</v>
      </c>
      <c r="AI9" s="264" t="s">
        <v>891</v>
      </c>
      <c r="AJ9" s="264" t="s">
        <v>892</v>
      </c>
      <c r="AK9" s="274" t="s">
        <v>890</v>
      </c>
      <c r="AL9" s="274" t="s">
        <v>891</v>
      </c>
      <c r="AM9" s="274" t="s">
        <v>892</v>
      </c>
    </row>
    <row r="10" spans="2:39" ht="17.25" x14ac:dyDescent="0.25">
      <c r="B10" s="426" t="s">
        <v>519</v>
      </c>
      <c r="C10" s="269" t="s">
        <v>840</v>
      </c>
      <c r="D10" s="275">
        <v>3409</v>
      </c>
      <c r="E10" s="275">
        <v>728.70469957522243</v>
      </c>
      <c r="F10" s="275">
        <v>213759.07878416619</v>
      </c>
      <c r="G10" s="275">
        <v>1406</v>
      </c>
      <c r="H10" s="275">
        <v>301.92399408303299</v>
      </c>
      <c r="I10" s="275">
        <v>214739.68284710741</v>
      </c>
      <c r="J10" s="276">
        <v>4815</v>
      </c>
      <c r="K10" s="276">
        <v>1030.628693658256</v>
      </c>
      <c r="L10" s="276">
        <v>214045.41924366681</v>
      </c>
      <c r="M10" s="275">
        <v>3422</v>
      </c>
      <c r="N10" s="275">
        <v>729.24110491129079</v>
      </c>
      <c r="O10" s="275">
        <v>213103.7711605175</v>
      </c>
      <c r="P10" s="275">
        <v>1404</v>
      </c>
      <c r="Q10" s="275">
        <v>300.77976388379051</v>
      </c>
      <c r="R10" s="275">
        <v>214230.60105683081</v>
      </c>
      <c r="S10" s="277">
        <v>4826</v>
      </c>
      <c r="T10" s="277">
        <v>1030.020868795081</v>
      </c>
      <c r="U10" s="277">
        <v>213431.5932024619</v>
      </c>
      <c r="V10" s="275">
        <v>4084</v>
      </c>
      <c r="W10" s="275">
        <v>869.34283400000004</v>
      </c>
      <c r="X10" s="275">
        <v>212865.5323212537</v>
      </c>
      <c r="Y10" s="275">
        <v>1714</v>
      </c>
      <c r="Z10" s="275">
        <v>366.947765</v>
      </c>
      <c r="AA10" s="275">
        <v>214088.54434072351</v>
      </c>
      <c r="AB10" s="278">
        <v>5798</v>
      </c>
      <c r="AC10" s="278">
        <v>1236.2905989999999</v>
      </c>
      <c r="AD10" s="278">
        <v>213227.0781303898</v>
      </c>
      <c r="AE10" s="275">
        <v>3638.333333333333</v>
      </c>
      <c r="AF10" s="275">
        <v>2327.2886384865128</v>
      </c>
      <c r="AG10" s="275">
        <v>213242.79408864581</v>
      </c>
      <c r="AH10" s="275">
        <v>1508</v>
      </c>
      <c r="AI10" s="275">
        <v>969.65152296682345</v>
      </c>
      <c r="AJ10" s="275">
        <v>214352.94274822061</v>
      </c>
      <c r="AK10" s="279">
        <v>5146.333333333333</v>
      </c>
      <c r="AL10" s="279">
        <v>3296.9401614533372</v>
      </c>
      <c r="AM10" s="279">
        <v>213568.0301921728</v>
      </c>
    </row>
    <row r="11" spans="2:39" ht="17.25" x14ac:dyDescent="0.25">
      <c r="B11" s="427"/>
      <c r="C11" s="269" t="s">
        <v>886</v>
      </c>
      <c r="D11" s="275">
        <v>10602</v>
      </c>
      <c r="E11" s="275">
        <v>2247.3590278916759</v>
      </c>
      <c r="F11" s="275">
        <v>211975.0073468851</v>
      </c>
      <c r="G11" s="275">
        <v>8956</v>
      </c>
      <c r="H11" s="275">
        <v>1879.9949440068119</v>
      </c>
      <c r="I11" s="275">
        <v>209914.5761508276</v>
      </c>
      <c r="J11" s="276">
        <v>19558</v>
      </c>
      <c r="K11" s="276">
        <v>4127.3539718984885</v>
      </c>
      <c r="L11" s="276">
        <v>211031.4946261626</v>
      </c>
      <c r="M11" s="275">
        <v>10645</v>
      </c>
      <c r="N11" s="275">
        <v>2250.2084259892622</v>
      </c>
      <c r="O11" s="275">
        <v>211386.41859927311</v>
      </c>
      <c r="P11" s="275">
        <v>8966</v>
      </c>
      <c r="Q11" s="275">
        <v>1877.3372819497181</v>
      </c>
      <c r="R11" s="275">
        <v>209384.03769236201</v>
      </c>
      <c r="S11" s="277">
        <v>19611</v>
      </c>
      <c r="T11" s="277">
        <v>4127.5457079389798</v>
      </c>
      <c r="U11" s="277">
        <v>210470.9452826975</v>
      </c>
      <c r="V11" s="275">
        <v>10036</v>
      </c>
      <c r="W11" s="275">
        <v>2119.0548840000001</v>
      </c>
      <c r="X11" s="275">
        <v>211145.3650856915</v>
      </c>
      <c r="Y11" s="275">
        <v>8706</v>
      </c>
      <c r="Z11" s="275">
        <v>1820.355847</v>
      </c>
      <c r="AA11" s="275">
        <v>209092.1028026648</v>
      </c>
      <c r="AB11" s="278">
        <v>18742</v>
      </c>
      <c r="AC11" s="278">
        <v>3939.4107309999999</v>
      </c>
      <c r="AD11" s="278">
        <v>210191.58739728949</v>
      </c>
      <c r="AE11" s="275">
        <v>10427.66666666667</v>
      </c>
      <c r="AF11" s="275">
        <v>6616.6223378809382</v>
      </c>
      <c r="AG11" s="275">
        <v>211502.26367728319</v>
      </c>
      <c r="AH11" s="275">
        <v>8876</v>
      </c>
      <c r="AI11" s="275">
        <v>5577.68807295653</v>
      </c>
      <c r="AJ11" s="275">
        <v>209463.5722152848</v>
      </c>
      <c r="AK11" s="279">
        <v>19303.666666666672</v>
      </c>
      <c r="AL11" s="279">
        <v>12194.31041083747</v>
      </c>
      <c r="AM11" s="279">
        <v>210564.67576871649</v>
      </c>
    </row>
    <row r="12" spans="2:39" ht="17.25" x14ac:dyDescent="0.25">
      <c r="B12" s="427"/>
      <c r="C12" s="269" t="s">
        <v>842</v>
      </c>
      <c r="D12" s="275">
        <v>1298</v>
      </c>
      <c r="E12" s="275">
        <v>321.4597698419995</v>
      </c>
      <c r="F12" s="275">
        <v>247657.7579676421</v>
      </c>
      <c r="G12" s="275">
        <v>711</v>
      </c>
      <c r="H12" s="275">
        <v>178.51447361578411</v>
      </c>
      <c r="I12" s="275">
        <v>251075.20902360621</v>
      </c>
      <c r="J12" s="276">
        <v>2009</v>
      </c>
      <c r="K12" s="276">
        <v>499.97424345778359</v>
      </c>
      <c r="L12" s="276">
        <v>248867.21924230139</v>
      </c>
      <c r="M12" s="275">
        <v>1289</v>
      </c>
      <c r="N12" s="275">
        <v>318.9750746608641</v>
      </c>
      <c r="O12" s="275">
        <v>247459.32867406061</v>
      </c>
      <c r="P12" s="275">
        <v>710</v>
      </c>
      <c r="Q12" s="275">
        <v>177.84317369974059</v>
      </c>
      <c r="R12" s="275">
        <v>250483.34323907131</v>
      </c>
      <c r="S12" s="277">
        <v>1999</v>
      </c>
      <c r="T12" s="277">
        <v>496.81824836060468</v>
      </c>
      <c r="U12" s="277">
        <v>248533.39087574021</v>
      </c>
      <c r="V12" s="275">
        <v>1284</v>
      </c>
      <c r="W12" s="275">
        <v>317.41898400000002</v>
      </c>
      <c r="X12" s="275">
        <v>247211.046728972</v>
      </c>
      <c r="Y12" s="275">
        <v>703</v>
      </c>
      <c r="Z12" s="275">
        <v>175.89846900000001</v>
      </c>
      <c r="AA12" s="275">
        <v>250211.19345661451</v>
      </c>
      <c r="AB12" s="278">
        <v>1987</v>
      </c>
      <c r="AC12" s="278">
        <v>493.317453</v>
      </c>
      <c r="AD12" s="278">
        <v>248272.49773527929</v>
      </c>
      <c r="AE12" s="275">
        <v>1290.333333333333</v>
      </c>
      <c r="AF12" s="275">
        <v>957.85382850286362</v>
      </c>
      <c r="AG12" s="275">
        <v>247442.7111235582</v>
      </c>
      <c r="AH12" s="275">
        <v>708</v>
      </c>
      <c r="AI12" s="275">
        <v>532.25611631552465</v>
      </c>
      <c r="AJ12" s="275">
        <v>250589.915239764</v>
      </c>
      <c r="AK12" s="279">
        <v>1998.333333333333</v>
      </c>
      <c r="AL12" s="279">
        <v>1490.1099448183879</v>
      </c>
      <c r="AM12" s="279">
        <v>248557.7026177737</v>
      </c>
    </row>
    <row r="13" spans="2:39" x14ac:dyDescent="0.25">
      <c r="B13" s="427"/>
      <c r="C13" s="269" t="s">
        <v>847</v>
      </c>
      <c r="D13" s="275">
        <v>1181</v>
      </c>
      <c r="E13" s="275">
        <v>253.84969185977161</v>
      </c>
      <c r="F13" s="275">
        <v>214944.7009820251</v>
      </c>
      <c r="G13" s="275">
        <v>1232</v>
      </c>
      <c r="H13" s="275">
        <v>264.62199901030488</v>
      </c>
      <c r="I13" s="275">
        <v>214790.5836122605</v>
      </c>
      <c r="J13" s="276">
        <v>2413</v>
      </c>
      <c r="K13" s="276">
        <v>518.47169087007649</v>
      </c>
      <c r="L13" s="276">
        <v>214866.0136220789</v>
      </c>
      <c r="M13" s="275">
        <v>1197</v>
      </c>
      <c r="N13" s="275">
        <v>256.63451116185729</v>
      </c>
      <c r="O13" s="275">
        <v>214398.08785451739</v>
      </c>
      <c r="P13" s="275">
        <v>1232</v>
      </c>
      <c r="Q13" s="275">
        <v>263.94762015134569</v>
      </c>
      <c r="R13" s="275">
        <v>214243.19817479359</v>
      </c>
      <c r="S13" s="277">
        <v>2429</v>
      </c>
      <c r="T13" s="277">
        <v>520.58213131320304</v>
      </c>
      <c r="U13" s="277">
        <v>214319.52709477281</v>
      </c>
      <c r="V13" s="275">
        <v>1211</v>
      </c>
      <c r="W13" s="275">
        <v>259.40960799999999</v>
      </c>
      <c r="X13" s="275">
        <v>214211.07184145329</v>
      </c>
      <c r="Y13" s="275">
        <v>1263</v>
      </c>
      <c r="Z13" s="275">
        <v>270.35933599999998</v>
      </c>
      <c r="AA13" s="275">
        <v>214061.2319873317</v>
      </c>
      <c r="AB13" s="278">
        <v>2474</v>
      </c>
      <c r="AC13" s="278">
        <v>529.76894400000003</v>
      </c>
      <c r="AD13" s="278">
        <v>214134.5772029103</v>
      </c>
      <c r="AE13" s="275">
        <v>1196.333333333333</v>
      </c>
      <c r="AF13" s="275">
        <v>769.89381102162895</v>
      </c>
      <c r="AG13" s="275">
        <v>214517.95355933189</v>
      </c>
      <c r="AH13" s="275">
        <v>1242.333333333333</v>
      </c>
      <c r="AI13" s="275">
        <v>798.92895516165072</v>
      </c>
      <c r="AJ13" s="275">
        <v>214365.00459146191</v>
      </c>
      <c r="AK13" s="279">
        <v>2438.666666666667</v>
      </c>
      <c r="AL13" s="279">
        <v>1568.82276618328</v>
      </c>
      <c r="AM13" s="279">
        <v>214440.03930658731</v>
      </c>
    </row>
    <row r="14" spans="2:39" x14ac:dyDescent="0.25">
      <c r="B14" s="427"/>
      <c r="C14" s="269" t="s">
        <v>848</v>
      </c>
      <c r="D14" s="275">
        <v>463</v>
      </c>
      <c r="E14" s="275">
        <v>81.19982262490106</v>
      </c>
      <c r="F14" s="275">
        <v>175377.58666285331</v>
      </c>
      <c r="G14" s="275">
        <v>597</v>
      </c>
      <c r="H14" s="275">
        <v>99.221098032208246</v>
      </c>
      <c r="I14" s="275">
        <v>166199.49419130359</v>
      </c>
      <c r="J14" s="276">
        <v>1060</v>
      </c>
      <c r="K14" s="276">
        <v>180.42092065710929</v>
      </c>
      <c r="L14" s="276">
        <v>170208.41571425411</v>
      </c>
      <c r="M14" s="275">
        <v>465</v>
      </c>
      <c r="N14" s="275">
        <v>81.027387292192685</v>
      </c>
      <c r="O14" s="275">
        <v>174252.4457896617</v>
      </c>
      <c r="P14" s="275">
        <v>595</v>
      </c>
      <c r="Q14" s="275">
        <v>98.526170272210308</v>
      </c>
      <c r="R14" s="275">
        <v>165590.20213816859</v>
      </c>
      <c r="S14" s="277">
        <v>1060</v>
      </c>
      <c r="T14" s="277">
        <v>179.55355756440301</v>
      </c>
      <c r="U14" s="277">
        <v>169390.1486456632</v>
      </c>
      <c r="V14" s="275">
        <v>466</v>
      </c>
      <c r="W14" s="275">
        <v>80.848985999999996</v>
      </c>
      <c r="X14" s="275">
        <v>173495.678111588</v>
      </c>
      <c r="Y14" s="275">
        <v>593</v>
      </c>
      <c r="Z14" s="275">
        <v>97.771546000000001</v>
      </c>
      <c r="AA14" s="275">
        <v>164876.13153457001</v>
      </c>
      <c r="AB14" s="278">
        <v>1059</v>
      </c>
      <c r="AC14" s="278">
        <v>178.620532</v>
      </c>
      <c r="AD14" s="278">
        <v>168669.05760151081</v>
      </c>
      <c r="AE14" s="275">
        <v>464.66666666666669</v>
      </c>
      <c r="AF14" s="275">
        <v>243.07619591709371</v>
      </c>
      <c r="AG14" s="275">
        <v>174375.23685470101</v>
      </c>
      <c r="AH14" s="275">
        <v>595</v>
      </c>
      <c r="AI14" s="275">
        <v>295.51881430441858</v>
      </c>
      <c r="AJ14" s="275">
        <v>165555.27595468069</v>
      </c>
      <c r="AK14" s="279">
        <v>1059.666666666667</v>
      </c>
      <c r="AL14" s="279">
        <v>538.59501022151233</v>
      </c>
      <c r="AM14" s="279">
        <v>169422.54065380941</v>
      </c>
    </row>
    <row r="15" spans="2:39" ht="17.25" x14ac:dyDescent="0.25">
      <c r="B15" s="428"/>
      <c r="C15" s="269" t="s">
        <v>887</v>
      </c>
      <c r="D15" s="275">
        <v>16953</v>
      </c>
      <c r="E15" s="275">
        <v>3632.57301179357</v>
      </c>
      <c r="F15" s="275">
        <v>214273.16768675571</v>
      </c>
      <c r="G15" s="275">
        <v>12902</v>
      </c>
      <c r="H15" s="275">
        <v>2724.276508748143</v>
      </c>
      <c r="I15" s="275">
        <v>211151.48881941891</v>
      </c>
      <c r="J15" s="276">
        <v>29855</v>
      </c>
      <c r="K15" s="276">
        <v>6356.849520541713</v>
      </c>
      <c r="L15" s="276">
        <v>212924.11725143899</v>
      </c>
      <c r="M15" s="275">
        <v>17018</v>
      </c>
      <c r="N15" s="275">
        <v>3636.0865040154672</v>
      </c>
      <c r="O15" s="275">
        <v>213661.21189419829</v>
      </c>
      <c r="P15" s="275">
        <v>12907</v>
      </c>
      <c r="Q15" s="275">
        <v>2718.4340099568049</v>
      </c>
      <c r="R15" s="275">
        <v>210617.03029029249</v>
      </c>
      <c r="S15" s="277">
        <v>29925</v>
      </c>
      <c r="T15" s="277">
        <v>6354.5205139722711</v>
      </c>
      <c r="U15" s="277">
        <v>212348.22101828811</v>
      </c>
      <c r="V15" s="275">
        <v>17081</v>
      </c>
      <c r="W15" s="275">
        <v>3646.075296</v>
      </c>
      <c r="X15" s="275">
        <v>213457.95304724539</v>
      </c>
      <c r="Y15" s="275">
        <v>12979</v>
      </c>
      <c r="Z15" s="275">
        <v>2731.3329629999998</v>
      </c>
      <c r="AA15" s="275">
        <v>210442.4811618769</v>
      </c>
      <c r="AB15" s="278">
        <v>30060</v>
      </c>
      <c r="AC15" s="278">
        <v>6377.4082589999998</v>
      </c>
      <c r="AD15" s="278">
        <v>212155.9633732535</v>
      </c>
      <c r="AE15" s="275">
        <v>17017.333333333328</v>
      </c>
      <c r="AF15" s="275">
        <v>10914.734811809039</v>
      </c>
      <c r="AG15" s="275">
        <v>213797.44420939981</v>
      </c>
      <c r="AH15" s="275">
        <v>12929.33333333333</v>
      </c>
      <c r="AI15" s="275">
        <v>8174.0434817049472</v>
      </c>
      <c r="AJ15" s="275">
        <v>210737.00009052939</v>
      </c>
      <c r="AK15" s="279">
        <v>29946.666666666672</v>
      </c>
      <c r="AL15" s="279">
        <v>19088.77829351398</v>
      </c>
      <c r="AM15" s="279">
        <v>212476.1005476602</v>
      </c>
    </row>
    <row r="16" spans="2:39" ht="17.25" x14ac:dyDescent="0.25">
      <c r="B16" s="426" t="s">
        <v>505</v>
      </c>
      <c r="C16" s="269" t="s">
        <v>840</v>
      </c>
      <c r="D16" s="275">
        <v>3801</v>
      </c>
      <c r="E16" s="275">
        <v>815.95399742040343</v>
      </c>
      <c r="F16" s="275">
        <v>214668.2445199693</v>
      </c>
      <c r="G16" s="275">
        <v>1561</v>
      </c>
      <c r="H16" s="275">
        <v>335.21345868917001</v>
      </c>
      <c r="I16" s="275">
        <v>214742.76661702109</v>
      </c>
      <c r="J16" s="276">
        <v>5362</v>
      </c>
      <c r="K16" s="276">
        <v>1151.1674561095731</v>
      </c>
      <c r="L16" s="276">
        <v>214689.9395952207</v>
      </c>
      <c r="M16" s="275">
        <v>3824</v>
      </c>
      <c r="N16" s="275">
        <v>818.38042369399136</v>
      </c>
      <c r="O16" s="275">
        <v>214011.61707478849</v>
      </c>
      <c r="P16" s="275">
        <v>1569</v>
      </c>
      <c r="Q16" s="275">
        <v>336.03829769096347</v>
      </c>
      <c r="R16" s="275">
        <v>214173.5485602062</v>
      </c>
      <c r="S16" s="277">
        <v>5393</v>
      </c>
      <c r="T16" s="277">
        <v>1154.418721384955</v>
      </c>
      <c r="U16" s="277">
        <v>214058.72823752169</v>
      </c>
      <c r="V16" s="275">
        <v>4543</v>
      </c>
      <c r="W16" s="275">
        <v>970.27500999999995</v>
      </c>
      <c r="X16" s="275">
        <v>213575.83314990101</v>
      </c>
      <c r="Y16" s="275">
        <v>1925</v>
      </c>
      <c r="Z16" s="275">
        <v>411.90042499999998</v>
      </c>
      <c r="AA16" s="275">
        <v>213974.24675324681</v>
      </c>
      <c r="AB16" s="278">
        <v>6468</v>
      </c>
      <c r="AC16" s="278">
        <v>1382.1754350000001</v>
      </c>
      <c r="AD16" s="278">
        <v>213694.40862708719</v>
      </c>
      <c r="AE16" s="275">
        <v>4056</v>
      </c>
      <c r="AF16" s="275">
        <v>2604.6094311143952</v>
      </c>
      <c r="AG16" s="275">
        <v>214085.23158155289</v>
      </c>
      <c r="AH16" s="275">
        <v>1685</v>
      </c>
      <c r="AI16" s="275">
        <v>1083.152181380133</v>
      </c>
      <c r="AJ16" s="275">
        <v>214296.8539768247</v>
      </c>
      <c r="AK16" s="279">
        <v>5741</v>
      </c>
      <c r="AL16" s="279">
        <v>3687.761612494528</v>
      </c>
      <c r="AM16" s="279">
        <v>214147.69215327661</v>
      </c>
    </row>
    <row r="17" spans="2:39" ht="17.25" x14ac:dyDescent="0.25">
      <c r="B17" s="427" t="s">
        <v>505</v>
      </c>
      <c r="C17" s="269" t="s">
        <v>886</v>
      </c>
      <c r="D17" s="275">
        <v>11489</v>
      </c>
      <c r="E17" s="275">
        <v>2433.9672335115552</v>
      </c>
      <c r="F17" s="275">
        <v>211851.96566381369</v>
      </c>
      <c r="G17" s="275">
        <v>10670</v>
      </c>
      <c r="H17" s="275">
        <v>2224.2506325440709</v>
      </c>
      <c r="I17" s="275">
        <v>208458.35356551749</v>
      </c>
      <c r="J17" s="276">
        <v>22159</v>
      </c>
      <c r="K17" s="276">
        <v>4658.2178660556256</v>
      </c>
      <c r="L17" s="276">
        <v>210217.87382353109</v>
      </c>
      <c r="M17" s="275">
        <v>11534</v>
      </c>
      <c r="N17" s="275">
        <v>2437.0509603812511</v>
      </c>
      <c r="O17" s="275">
        <v>211292.78310917731</v>
      </c>
      <c r="P17" s="275">
        <v>10693</v>
      </c>
      <c r="Q17" s="275">
        <v>2222.9134135292211</v>
      </c>
      <c r="R17" s="275">
        <v>207884.91663043309</v>
      </c>
      <c r="S17" s="277">
        <v>22227</v>
      </c>
      <c r="T17" s="277">
        <v>4659.9643739104722</v>
      </c>
      <c r="U17" s="277">
        <v>209653.32136187851</v>
      </c>
      <c r="V17" s="275">
        <v>10889</v>
      </c>
      <c r="W17" s="275">
        <v>2296.3383720000002</v>
      </c>
      <c r="X17" s="275">
        <v>210886.06593810269</v>
      </c>
      <c r="Y17" s="275">
        <v>10380</v>
      </c>
      <c r="Z17" s="275">
        <v>2153.9375289999998</v>
      </c>
      <c r="AA17" s="275">
        <v>207508.43246628129</v>
      </c>
      <c r="AB17" s="278">
        <v>21269</v>
      </c>
      <c r="AC17" s="278">
        <v>4450.275901</v>
      </c>
      <c r="AD17" s="278">
        <v>209237.66519347409</v>
      </c>
      <c r="AE17" s="275">
        <v>11304</v>
      </c>
      <c r="AF17" s="275">
        <v>7167.3565658928064</v>
      </c>
      <c r="AG17" s="275">
        <v>211343.60490369791</v>
      </c>
      <c r="AH17" s="275">
        <v>10581</v>
      </c>
      <c r="AI17" s="275">
        <v>6601.1015750732922</v>
      </c>
      <c r="AJ17" s="275">
        <v>207950.56755407731</v>
      </c>
      <c r="AK17" s="279">
        <v>21885</v>
      </c>
      <c r="AL17" s="279">
        <v>13768.4581409661</v>
      </c>
      <c r="AM17" s="279">
        <v>209702.9534596279</v>
      </c>
    </row>
    <row r="18" spans="2:39" ht="17.25" x14ac:dyDescent="0.25">
      <c r="B18" s="427" t="s">
        <v>505</v>
      </c>
      <c r="C18" s="269" t="s">
        <v>842</v>
      </c>
      <c r="D18" s="275">
        <v>1601</v>
      </c>
      <c r="E18" s="275">
        <v>398.29738299899572</v>
      </c>
      <c r="F18" s="275">
        <v>248780.37663897299</v>
      </c>
      <c r="G18" s="275">
        <v>846</v>
      </c>
      <c r="H18" s="275">
        <v>213.7821138003039</v>
      </c>
      <c r="I18" s="275">
        <v>252697.53404291239</v>
      </c>
      <c r="J18" s="276">
        <v>2447</v>
      </c>
      <c r="K18" s="276">
        <v>612.07949679929959</v>
      </c>
      <c r="L18" s="276">
        <v>250134.65337118911</v>
      </c>
      <c r="M18" s="275">
        <v>1597</v>
      </c>
      <c r="N18" s="275">
        <v>396.58978631982859</v>
      </c>
      <c r="O18" s="275">
        <v>248334.24315580999</v>
      </c>
      <c r="P18" s="275">
        <v>840</v>
      </c>
      <c r="Q18" s="275">
        <v>212.19828427974079</v>
      </c>
      <c r="R18" s="275">
        <v>252617.0050949296</v>
      </c>
      <c r="S18" s="277">
        <v>2437</v>
      </c>
      <c r="T18" s="277">
        <v>608.78807059956944</v>
      </c>
      <c r="U18" s="277">
        <v>249810.45162066861</v>
      </c>
      <c r="V18" s="275">
        <v>1584</v>
      </c>
      <c r="W18" s="275">
        <v>393.14335899999998</v>
      </c>
      <c r="X18" s="275">
        <v>248196.56502525249</v>
      </c>
      <c r="Y18" s="275">
        <v>838</v>
      </c>
      <c r="Z18" s="275">
        <v>211.65304399999999</v>
      </c>
      <c r="AA18" s="275">
        <v>252569.26491646771</v>
      </c>
      <c r="AB18" s="278">
        <v>2422</v>
      </c>
      <c r="AC18" s="278">
        <v>604.79640300000005</v>
      </c>
      <c r="AD18" s="278">
        <v>249709.49752270849</v>
      </c>
      <c r="AE18" s="275">
        <v>1594</v>
      </c>
      <c r="AF18" s="275">
        <v>1188.0305283188241</v>
      </c>
      <c r="AG18" s="275">
        <v>248437.0616066785</v>
      </c>
      <c r="AH18" s="275">
        <v>841.33333333333337</v>
      </c>
      <c r="AI18" s="275">
        <v>637.6334420800448</v>
      </c>
      <c r="AJ18" s="275">
        <v>252627.93468476989</v>
      </c>
      <c r="AK18" s="279">
        <v>2435.333333333333</v>
      </c>
      <c r="AL18" s="279">
        <v>1825.663970398869</v>
      </c>
      <c r="AM18" s="279">
        <v>249884.86750485541</v>
      </c>
    </row>
    <row r="19" spans="2:39" x14ac:dyDescent="0.25">
      <c r="B19" s="427" t="s">
        <v>505</v>
      </c>
      <c r="C19" s="269" t="s">
        <v>847</v>
      </c>
      <c r="D19" s="275">
        <v>1414</v>
      </c>
      <c r="E19" s="275">
        <v>304.05536908498902</v>
      </c>
      <c r="F19" s="275">
        <v>215032.08563294841</v>
      </c>
      <c r="G19" s="275">
        <v>1188</v>
      </c>
      <c r="H19" s="275">
        <v>255.30935248719891</v>
      </c>
      <c r="I19" s="275">
        <v>214906.86236296201</v>
      </c>
      <c r="J19" s="276">
        <v>2602</v>
      </c>
      <c r="K19" s="276">
        <v>559.36472157218782</v>
      </c>
      <c r="L19" s="276">
        <v>214974.91221067941</v>
      </c>
      <c r="M19" s="275">
        <v>1422</v>
      </c>
      <c r="N19" s="275">
        <v>304.99636849599528</v>
      </c>
      <c r="O19" s="275">
        <v>214484.08473698681</v>
      </c>
      <c r="P19" s="275">
        <v>1196</v>
      </c>
      <c r="Q19" s="275">
        <v>256.37457922312518</v>
      </c>
      <c r="R19" s="275">
        <v>214360.01607284721</v>
      </c>
      <c r="S19" s="277">
        <v>2618</v>
      </c>
      <c r="T19" s="277">
        <v>561.37094771912064</v>
      </c>
      <c r="U19" s="277">
        <v>214427.40554588259</v>
      </c>
      <c r="V19" s="275">
        <v>1431</v>
      </c>
      <c r="W19" s="275">
        <v>306.65757600000001</v>
      </c>
      <c r="X19" s="275">
        <v>214296</v>
      </c>
      <c r="Y19" s="275">
        <v>1212</v>
      </c>
      <c r="Z19" s="275">
        <v>259.57849599999997</v>
      </c>
      <c r="AA19" s="275">
        <v>214173.67656765669</v>
      </c>
      <c r="AB19" s="278">
        <v>2643</v>
      </c>
      <c r="AC19" s="278">
        <v>566.23607200000004</v>
      </c>
      <c r="AD19" s="278">
        <v>214239.90616723421</v>
      </c>
      <c r="AE19" s="275">
        <v>1422.333333333333</v>
      </c>
      <c r="AF19" s="275">
        <v>915.70931358098426</v>
      </c>
      <c r="AG19" s="275">
        <v>214604.05678997841</v>
      </c>
      <c r="AH19" s="275">
        <v>1198.666666666667</v>
      </c>
      <c r="AI19" s="275">
        <v>771.26242771032412</v>
      </c>
      <c r="AJ19" s="275">
        <v>214480.1850011553</v>
      </c>
      <c r="AK19" s="279">
        <v>2621</v>
      </c>
      <c r="AL19" s="279">
        <v>1686.971741291308</v>
      </c>
      <c r="AM19" s="279">
        <v>214547.40797459881</v>
      </c>
    </row>
    <row r="20" spans="2:39" x14ac:dyDescent="0.25">
      <c r="B20" s="427" t="s">
        <v>505</v>
      </c>
      <c r="C20" s="269" t="s">
        <v>848</v>
      </c>
      <c r="D20" s="275">
        <v>657</v>
      </c>
      <c r="E20" s="275">
        <v>117.7612827403872</v>
      </c>
      <c r="F20" s="275">
        <v>179240.91741307039</v>
      </c>
      <c r="G20" s="275">
        <v>768</v>
      </c>
      <c r="H20" s="275">
        <v>129.72177020233599</v>
      </c>
      <c r="I20" s="275">
        <v>168908.55495095841</v>
      </c>
      <c r="J20" s="276">
        <v>1425</v>
      </c>
      <c r="K20" s="276">
        <v>247.4830529427233</v>
      </c>
      <c r="L20" s="276">
        <v>173672.31785454269</v>
      </c>
      <c r="M20" s="275">
        <v>657</v>
      </c>
      <c r="N20" s="275">
        <v>117.2574280302948</v>
      </c>
      <c r="O20" s="275">
        <v>178474.01526681101</v>
      </c>
      <c r="P20" s="275">
        <v>773</v>
      </c>
      <c r="Q20" s="275">
        <v>130.05133222218919</v>
      </c>
      <c r="R20" s="275">
        <v>168242.34440127981</v>
      </c>
      <c r="S20" s="277">
        <v>1430</v>
      </c>
      <c r="T20" s="277">
        <v>247.30876025248401</v>
      </c>
      <c r="U20" s="277">
        <v>172943.18898775111</v>
      </c>
      <c r="V20" s="275">
        <v>654</v>
      </c>
      <c r="W20" s="275">
        <v>116.22910299999999</v>
      </c>
      <c r="X20" s="275">
        <v>177720.3409785933</v>
      </c>
      <c r="Y20" s="275">
        <v>770</v>
      </c>
      <c r="Z20" s="275">
        <v>129.449603</v>
      </c>
      <c r="AA20" s="275">
        <v>168116.3675324675</v>
      </c>
      <c r="AB20" s="278">
        <v>1424</v>
      </c>
      <c r="AC20" s="278">
        <v>245.67870600000001</v>
      </c>
      <c r="AD20" s="278">
        <v>172527.1811797753</v>
      </c>
      <c r="AE20" s="275">
        <v>656</v>
      </c>
      <c r="AF20" s="275">
        <v>351.247813770682</v>
      </c>
      <c r="AG20" s="275">
        <v>178478.4245528249</v>
      </c>
      <c r="AH20" s="275">
        <v>770.33333333333337</v>
      </c>
      <c r="AI20" s="275">
        <v>389.22270542452532</v>
      </c>
      <c r="AJ20" s="275">
        <v>168422.42229490189</v>
      </c>
      <c r="AK20" s="279">
        <v>1426.333333333333</v>
      </c>
      <c r="AL20" s="279">
        <v>740.47051919520732</v>
      </c>
      <c r="AM20" s="279">
        <v>173047.56267402301</v>
      </c>
    </row>
    <row r="21" spans="2:39" ht="17.25" x14ac:dyDescent="0.25">
      <c r="B21" s="428" t="s">
        <v>505</v>
      </c>
      <c r="C21" s="269" t="s">
        <v>887</v>
      </c>
      <c r="D21" s="275">
        <v>18962</v>
      </c>
      <c r="E21" s="275">
        <v>4070.0352657563299</v>
      </c>
      <c r="F21" s="275">
        <v>214641.6657397073</v>
      </c>
      <c r="G21" s="275">
        <v>15033</v>
      </c>
      <c r="H21" s="275">
        <v>3158.2773277230799</v>
      </c>
      <c r="I21" s="275">
        <v>210089.62467392269</v>
      </c>
      <c r="J21" s="276">
        <v>33995</v>
      </c>
      <c r="K21" s="276">
        <v>7228.3125934794107</v>
      </c>
      <c r="L21" s="276">
        <v>212628.6981461806</v>
      </c>
      <c r="M21" s="275">
        <v>19034</v>
      </c>
      <c r="N21" s="275">
        <v>4074.2749669213608</v>
      </c>
      <c r="O21" s="275">
        <v>214052.48328892299</v>
      </c>
      <c r="P21" s="275">
        <v>15071</v>
      </c>
      <c r="Q21" s="275">
        <v>3157.5759069452401</v>
      </c>
      <c r="R21" s="275">
        <v>209513.36387401231</v>
      </c>
      <c r="S21" s="277">
        <v>34105</v>
      </c>
      <c r="T21" s="277">
        <v>7231.8508738666014</v>
      </c>
      <c r="U21" s="277">
        <v>212046.64635292781</v>
      </c>
      <c r="V21" s="275">
        <v>19101</v>
      </c>
      <c r="W21" s="275">
        <v>4082.6434199999999</v>
      </c>
      <c r="X21" s="275">
        <v>213739.7738338307</v>
      </c>
      <c r="Y21" s="275">
        <v>15125</v>
      </c>
      <c r="Z21" s="275">
        <v>3166.5190969999999</v>
      </c>
      <c r="AA21" s="275">
        <v>209356.6345123967</v>
      </c>
      <c r="AB21" s="278">
        <v>34226</v>
      </c>
      <c r="AC21" s="278">
        <v>7249.1625169999998</v>
      </c>
      <c r="AD21" s="278">
        <v>211802.79661660729</v>
      </c>
      <c r="AE21" s="275">
        <v>19032.333333333328</v>
      </c>
      <c r="AF21" s="275">
        <v>12226.95365267769</v>
      </c>
      <c r="AG21" s="275">
        <v>214144.6409541537</v>
      </c>
      <c r="AH21" s="275">
        <v>15076.33333333333</v>
      </c>
      <c r="AI21" s="275">
        <v>9482.3723316683208</v>
      </c>
      <c r="AJ21" s="275">
        <v>209653.20768677731</v>
      </c>
      <c r="AK21" s="279">
        <v>34108.666666666657</v>
      </c>
      <c r="AL21" s="279">
        <v>21709.325984346011</v>
      </c>
      <c r="AM21" s="279">
        <v>212159.38037190519</v>
      </c>
    </row>
    <row r="22" spans="2:39" ht="17.25" x14ac:dyDescent="0.25">
      <c r="B22" s="426" t="s">
        <v>506</v>
      </c>
      <c r="C22" s="269" t="s">
        <v>840</v>
      </c>
      <c r="D22" s="275">
        <v>7235</v>
      </c>
      <c r="E22" s="275">
        <v>1551.478829285453</v>
      </c>
      <c r="F22" s="275">
        <v>214440.75041955119</v>
      </c>
      <c r="G22" s="275">
        <v>2069</v>
      </c>
      <c r="H22" s="275">
        <v>442.6647598858051</v>
      </c>
      <c r="I22" s="275">
        <v>213951.06809367091</v>
      </c>
      <c r="J22" s="276">
        <v>9304</v>
      </c>
      <c r="K22" s="276">
        <v>1994.1435891712581</v>
      </c>
      <c r="L22" s="276">
        <v>214331.85610181189</v>
      </c>
      <c r="M22" s="275">
        <v>7276</v>
      </c>
      <c r="N22" s="275">
        <v>1555.89361453794</v>
      </c>
      <c r="O22" s="275">
        <v>213839.14438399399</v>
      </c>
      <c r="P22" s="275">
        <v>2078</v>
      </c>
      <c r="Q22" s="275">
        <v>443.57750464813222</v>
      </c>
      <c r="R22" s="275">
        <v>213463.66922431771</v>
      </c>
      <c r="S22" s="277">
        <v>9354</v>
      </c>
      <c r="T22" s="277">
        <v>1999.4711191860731</v>
      </c>
      <c r="U22" s="277">
        <v>213755.73222002061</v>
      </c>
      <c r="V22" s="275">
        <v>8898</v>
      </c>
      <c r="W22" s="275">
        <v>1900.8195900000001</v>
      </c>
      <c r="X22" s="275">
        <v>213623.2400539447</v>
      </c>
      <c r="Y22" s="275">
        <v>2527</v>
      </c>
      <c r="Z22" s="275">
        <v>539.51336300000003</v>
      </c>
      <c r="AA22" s="275">
        <v>213499.55005935891</v>
      </c>
      <c r="AB22" s="278">
        <v>11425</v>
      </c>
      <c r="AC22" s="278">
        <v>2440.3329530000001</v>
      </c>
      <c r="AD22" s="278">
        <v>213595.88210065651</v>
      </c>
      <c r="AE22" s="275">
        <v>7803</v>
      </c>
      <c r="AF22" s="275">
        <v>5008.192033823394</v>
      </c>
      <c r="AG22" s="275">
        <v>213967.71161916331</v>
      </c>
      <c r="AH22" s="275">
        <v>2224.666666666667</v>
      </c>
      <c r="AI22" s="275">
        <v>1425.7556275339371</v>
      </c>
      <c r="AJ22" s="275">
        <v>213638.0957924492</v>
      </c>
      <c r="AK22" s="279">
        <v>10027.66666666667</v>
      </c>
      <c r="AL22" s="279">
        <v>6433.9476613573324</v>
      </c>
      <c r="AM22" s="279">
        <v>213894.4901408297</v>
      </c>
    </row>
    <row r="23" spans="2:39" ht="17.25" x14ac:dyDescent="0.25">
      <c r="B23" s="427" t="s">
        <v>506</v>
      </c>
      <c r="C23" s="269" t="s">
        <v>886</v>
      </c>
      <c r="D23" s="275">
        <v>21210</v>
      </c>
      <c r="E23" s="275">
        <v>4477.1496636604033</v>
      </c>
      <c r="F23" s="275">
        <v>211086.73567470079</v>
      </c>
      <c r="G23" s="275">
        <v>18049</v>
      </c>
      <c r="H23" s="275">
        <v>3647.0933269122888</v>
      </c>
      <c r="I23" s="275">
        <v>202066.22676670671</v>
      </c>
      <c r="J23" s="276">
        <v>39259</v>
      </c>
      <c r="K23" s="276">
        <v>8124.2429905726922</v>
      </c>
      <c r="L23" s="276">
        <v>206939.63143668181</v>
      </c>
      <c r="M23" s="275">
        <v>21283</v>
      </c>
      <c r="N23" s="275">
        <v>4479.9732406284902</v>
      </c>
      <c r="O23" s="275">
        <v>210495.38319919611</v>
      </c>
      <c r="P23" s="275">
        <v>18139</v>
      </c>
      <c r="Q23" s="275">
        <v>3651.488241060285</v>
      </c>
      <c r="R23" s="275">
        <v>201305.9287204523</v>
      </c>
      <c r="S23" s="277">
        <v>39422</v>
      </c>
      <c r="T23" s="277">
        <v>8131.4614816887743</v>
      </c>
      <c r="U23" s="277">
        <v>206267.09658791471</v>
      </c>
      <c r="V23" s="275">
        <v>19772</v>
      </c>
      <c r="W23" s="275">
        <v>4151.3867200000004</v>
      </c>
      <c r="X23" s="275">
        <v>209962.91321060091</v>
      </c>
      <c r="Y23" s="275">
        <v>17803</v>
      </c>
      <c r="Z23" s="275">
        <v>3572.8042780000001</v>
      </c>
      <c r="AA23" s="275">
        <v>200685.51805875421</v>
      </c>
      <c r="AB23" s="278">
        <v>37575</v>
      </c>
      <c r="AC23" s="278">
        <v>7724.190998</v>
      </c>
      <c r="AD23" s="278">
        <v>205567.2920292748</v>
      </c>
      <c r="AE23" s="275">
        <v>20755</v>
      </c>
      <c r="AF23" s="275">
        <v>13108.50962428889</v>
      </c>
      <c r="AG23" s="275">
        <v>210515.0106948326</v>
      </c>
      <c r="AH23" s="275">
        <v>17997</v>
      </c>
      <c r="AI23" s="275">
        <v>10871.385845972571</v>
      </c>
      <c r="AJ23" s="275">
        <v>201352.55784863769</v>
      </c>
      <c r="AK23" s="279">
        <v>38752</v>
      </c>
      <c r="AL23" s="279">
        <v>23979.895470261461</v>
      </c>
      <c r="AM23" s="279">
        <v>206258.0066846238</v>
      </c>
    </row>
    <row r="24" spans="2:39" ht="17.25" x14ac:dyDescent="0.25">
      <c r="B24" s="427" t="s">
        <v>506</v>
      </c>
      <c r="C24" s="269" t="s">
        <v>842</v>
      </c>
      <c r="D24" s="275">
        <v>2472</v>
      </c>
      <c r="E24" s="275">
        <v>610.13704350340697</v>
      </c>
      <c r="F24" s="275">
        <v>246819.19235574719</v>
      </c>
      <c r="G24" s="275">
        <v>1043</v>
      </c>
      <c r="H24" s="275">
        <v>266.60667885371879</v>
      </c>
      <c r="I24" s="275">
        <v>255615.22421257789</v>
      </c>
      <c r="J24" s="276">
        <v>3515</v>
      </c>
      <c r="K24" s="276">
        <v>876.74372235712576</v>
      </c>
      <c r="L24" s="276">
        <v>249429.22399918229</v>
      </c>
      <c r="M24" s="275">
        <v>2466</v>
      </c>
      <c r="N24" s="275">
        <v>607.53904630895397</v>
      </c>
      <c r="O24" s="275">
        <v>246366.19882763751</v>
      </c>
      <c r="P24" s="275">
        <v>1038</v>
      </c>
      <c r="Q24" s="275">
        <v>265.2960876453954</v>
      </c>
      <c r="R24" s="275">
        <v>255583.89946569889</v>
      </c>
      <c r="S24" s="277">
        <v>3504</v>
      </c>
      <c r="T24" s="277">
        <v>872.83513395434943</v>
      </c>
      <c r="U24" s="277">
        <v>249096.78480432351</v>
      </c>
      <c r="V24" s="275">
        <v>2459</v>
      </c>
      <c r="W24" s="275">
        <v>605.27975300000003</v>
      </c>
      <c r="X24" s="275">
        <v>246148.740544937</v>
      </c>
      <c r="Y24" s="275">
        <v>1023</v>
      </c>
      <c r="Z24" s="275">
        <v>261.68164000000002</v>
      </c>
      <c r="AA24" s="275">
        <v>255798.2795698925</v>
      </c>
      <c r="AB24" s="278">
        <v>3482</v>
      </c>
      <c r="AC24" s="278">
        <v>866.96139300000004</v>
      </c>
      <c r="AD24" s="278">
        <v>248983.74296381389</v>
      </c>
      <c r="AE24" s="275">
        <v>2465.666666666667</v>
      </c>
      <c r="AF24" s="275">
        <v>1822.955842812361</v>
      </c>
      <c r="AG24" s="275">
        <v>246444.7105761072</v>
      </c>
      <c r="AH24" s="275">
        <v>1034.666666666667</v>
      </c>
      <c r="AI24" s="275">
        <v>793.58440649911427</v>
      </c>
      <c r="AJ24" s="275">
        <v>255665.8010827231</v>
      </c>
      <c r="AK24" s="279">
        <v>3500.333333333333</v>
      </c>
      <c r="AL24" s="279">
        <v>2616.5402493114748</v>
      </c>
      <c r="AM24" s="279">
        <v>249169.91725577321</v>
      </c>
    </row>
    <row r="25" spans="2:39" x14ac:dyDescent="0.25">
      <c r="B25" s="427" t="s">
        <v>506</v>
      </c>
      <c r="C25" s="269" t="s">
        <v>847</v>
      </c>
      <c r="D25" s="275">
        <v>2226</v>
      </c>
      <c r="E25" s="275">
        <v>478.33915043509148</v>
      </c>
      <c r="F25" s="275">
        <v>214887.3092700321</v>
      </c>
      <c r="G25" s="275">
        <v>1633</v>
      </c>
      <c r="H25" s="275">
        <v>350.91393567100732</v>
      </c>
      <c r="I25" s="275">
        <v>214889.12166013921</v>
      </c>
      <c r="J25" s="276">
        <v>3859</v>
      </c>
      <c r="K25" s="276">
        <v>829.25308610609875</v>
      </c>
      <c r="L25" s="276">
        <v>214888.0762130341</v>
      </c>
      <c r="M25" s="275">
        <v>2228</v>
      </c>
      <c r="N25" s="275">
        <v>477.54908990826499</v>
      </c>
      <c r="O25" s="275">
        <v>214339.80696062159</v>
      </c>
      <c r="P25" s="275">
        <v>1649</v>
      </c>
      <c r="Q25" s="275">
        <v>353.45139052783912</v>
      </c>
      <c r="R25" s="275">
        <v>214342.86872519049</v>
      </c>
      <c r="S25" s="277">
        <v>3877</v>
      </c>
      <c r="T25" s="277">
        <v>831.00048043610411</v>
      </c>
      <c r="U25" s="277">
        <v>214341.109217463</v>
      </c>
      <c r="V25" s="275">
        <v>2243</v>
      </c>
      <c r="W25" s="275">
        <v>480.34475900000001</v>
      </c>
      <c r="X25" s="275">
        <v>214152.8127507802</v>
      </c>
      <c r="Y25" s="275">
        <v>1655</v>
      </c>
      <c r="Z25" s="275">
        <v>354.42721899999998</v>
      </c>
      <c r="AA25" s="275">
        <v>214155.4193353474</v>
      </c>
      <c r="AB25" s="278">
        <v>3898</v>
      </c>
      <c r="AC25" s="278">
        <v>834.77197799999999</v>
      </c>
      <c r="AD25" s="278">
        <v>214153.91944586969</v>
      </c>
      <c r="AE25" s="275">
        <v>2232.333333333333</v>
      </c>
      <c r="AF25" s="275">
        <v>1436.2329993433571</v>
      </c>
      <c r="AG25" s="275">
        <v>214459.97632714469</v>
      </c>
      <c r="AH25" s="275">
        <v>1645.666666666667</v>
      </c>
      <c r="AI25" s="275">
        <v>1058.792545198846</v>
      </c>
      <c r="AJ25" s="275">
        <v>214462.46990689239</v>
      </c>
      <c r="AK25" s="279">
        <v>3878</v>
      </c>
      <c r="AL25" s="279">
        <v>2495.0255445422031</v>
      </c>
      <c r="AM25" s="279">
        <v>214461.03495878901</v>
      </c>
    </row>
    <row r="26" spans="2:39" x14ac:dyDescent="0.25">
      <c r="B26" s="427" t="s">
        <v>506</v>
      </c>
      <c r="C26" s="269" t="s">
        <v>848</v>
      </c>
      <c r="D26" s="275">
        <v>855</v>
      </c>
      <c r="E26" s="275">
        <v>150.46042358371889</v>
      </c>
      <c r="F26" s="275">
        <v>175977.10360668879</v>
      </c>
      <c r="G26" s="275">
        <v>900</v>
      </c>
      <c r="H26" s="275">
        <v>151.2609749858492</v>
      </c>
      <c r="I26" s="275">
        <v>168067.74998427689</v>
      </c>
      <c r="J26" s="276">
        <v>1755</v>
      </c>
      <c r="K26" s="276">
        <v>301.72139856956818</v>
      </c>
      <c r="L26" s="276">
        <v>171921.02482596479</v>
      </c>
      <c r="M26" s="275">
        <v>857</v>
      </c>
      <c r="N26" s="275">
        <v>150.73663451511641</v>
      </c>
      <c r="O26" s="275">
        <v>175888.72172125601</v>
      </c>
      <c r="P26" s="275">
        <v>905</v>
      </c>
      <c r="Q26" s="275">
        <v>151.3972227962004</v>
      </c>
      <c r="R26" s="275">
        <v>167289.7489460778</v>
      </c>
      <c r="S26" s="277">
        <v>1762</v>
      </c>
      <c r="T26" s="277">
        <v>302.13385731131677</v>
      </c>
      <c r="U26" s="277">
        <v>171472.10971130349</v>
      </c>
      <c r="V26" s="275">
        <v>861</v>
      </c>
      <c r="W26" s="275">
        <v>150.930318</v>
      </c>
      <c r="X26" s="275">
        <v>175296.5365853658</v>
      </c>
      <c r="Y26" s="275">
        <v>904</v>
      </c>
      <c r="Z26" s="275">
        <v>150.98436100000001</v>
      </c>
      <c r="AA26" s="275">
        <v>167018.09845132739</v>
      </c>
      <c r="AB26" s="278">
        <v>1765</v>
      </c>
      <c r="AC26" s="278">
        <v>301.91467899999998</v>
      </c>
      <c r="AD26" s="278">
        <v>171056.47535410759</v>
      </c>
      <c r="AE26" s="275">
        <v>857.66666666666663</v>
      </c>
      <c r="AF26" s="275">
        <v>452.12737609883538</v>
      </c>
      <c r="AG26" s="275">
        <v>175720.7873044369</v>
      </c>
      <c r="AH26" s="275">
        <v>903</v>
      </c>
      <c r="AI26" s="275">
        <v>453.6425587820496</v>
      </c>
      <c r="AJ26" s="275">
        <v>167458.5324605607</v>
      </c>
      <c r="AK26" s="279">
        <v>1760.666666666667</v>
      </c>
      <c r="AL26" s="279">
        <v>905.76993488088499</v>
      </c>
      <c r="AM26" s="279">
        <v>171483.20329712529</v>
      </c>
    </row>
    <row r="27" spans="2:39" ht="17.25" x14ac:dyDescent="0.25">
      <c r="B27" s="428" t="s">
        <v>506</v>
      </c>
      <c r="C27" s="269" t="s">
        <v>887</v>
      </c>
      <c r="D27" s="275">
        <v>33998</v>
      </c>
      <c r="E27" s="275">
        <v>7267.5651104680737</v>
      </c>
      <c r="F27" s="275">
        <v>213764.489395496</v>
      </c>
      <c r="G27" s="275">
        <v>23694</v>
      </c>
      <c r="H27" s="275">
        <v>4858.5396763086701</v>
      </c>
      <c r="I27" s="275">
        <v>205053.58640620709</v>
      </c>
      <c r="J27" s="276">
        <v>57692</v>
      </c>
      <c r="K27" s="276">
        <v>12126.104786776739</v>
      </c>
      <c r="L27" s="276">
        <v>210186.9373011291</v>
      </c>
      <c r="M27" s="275">
        <v>34110</v>
      </c>
      <c r="N27" s="275">
        <v>7271.6916258987658</v>
      </c>
      <c r="O27" s="275">
        <v>213183.57155962379</v>
      </c>
      <c r="P27" s="275">
        <v>23809</v>
      </c>
      <c r="Q27" s="275">
        <v>4865.2104466778519</v>
      </c>
      <c r="R27" s="275">
        <v>204343.33431382469</v>
      </c>
      <c r="S27" s="277">
        <v>57919</v>
      </c>
      <c r="T27" s="277">
        <v>12136.90207257662</v>
      </c>
      <c r="U27" s="277">
        <v>209549.57911180469</v>
      </c>
      <c r="V27" s="275">
        <v>34233</v>
      </c>
      <c r="W27" s="275">
        <v>7288.7611399999996</v>
      </c>
      <c r="X27" s="275">
        <v>212916.22527970091</v>
      </c>
      <c r="Y27" s="275">
        <v>23912</v>
      </c>
      <c r="Z27" s="275">
        <v>4879.4108610000003</v>
      </c>
      <c r="AA27" s="275">
        <v>204056.99485613921</v>
      </c>
      <c r="AB27" s="278">
        <v>58145</v>
      </c>
      <c r="AC27" s="278">
        <v>12168.172001000001</v>
      </c>
      <c r="AD27" s="278">
        <v>209272.88676584401</v>
      </c>
      <c r="AE27" s="275">
        <v>34113.666666666657</v>
      </c>
      <c r="AF27" s="275">
        <v>21828.017876366841</v>
      </c>
      <c r="AG27" s="275">
        <v>213288.09541160689</v>
      </c>
      <c r="AH27" s="275">
        <v>23805</v>
      </c>
      <c r="AI27" s="275">
        <v>14603.16098398652</v>
      </c>
      <c r="AJ27" s="275">
        <v>204484.6385253903</v>
      </c>
      <c r="AK27" s="279">
        <v>57918.666666666657</v>
      </c>
      <c r="AL27" s="279">
        <v>36431.178860353357</v>
      </c>
      <c r="AM27" s="279">
        <v>209669.8010595926</v>
      </c>
    </row>
    <row r="28" spans="2:39" ht="17.25" x14ac:dyDescent="0.25">
      <c r="B28" s="426" t="s">
        <v>507</v>
      </c>
      <c r="C28" s="269" t="s">
        <v>840</v>
      </c>
      <c r="D28" s="275">
        <v>5187</v>
      </c>
      <c r="E28" s="275">
        <v>1110.0988684508509</v>
      </c>
      <c r="F28" s="275">
        <v>214015.59060166779</v>
      </c>
      <c r="G28" s="275">
        <v>1885</v>
      </c>
      <c r="H28" s="275">
        <v>403.72109213231738</v>
      </c>
      <c r="I28" s="275">
        <v>214175.64569353711</v>
      </c>
      <c r="J28" s="276">
        <v>7072</v>
      </c>
      <c r="K28" s="276">
        <v>1513.819960583168</v>
      </c>
      <c r="L28" s="276">
        <v>214058.25234490499</v>
      </c>
      <c r="M28" s="275">
        <v>5227</v>
      </c>
      <c r="N28" s="275">
        <v>1115.2114088266239</v>
      </c>
      <c r="O28" s="275">
        <v>213355.9228671559</v>
      </c>
      <c r="P28" s="275">
        <v>1883</v>
      </c>
      <c r="Q28" s="275">
        <v>402.24403862971837</v>
      </c>
      <c r="R28" s="275">
        <v>213618.71408906981</v>
      </c>
      <c r="S28" s="277">
        <v>7110</v>
      </c>
      <c r="T28" s="277">
        <v>1517.455447456342</v>
      </c>
      <c r="U28" s="277">
        <v>213425.5200360537</v>
      </c>
      <c r="V28" s="275">
        <v>6466</v>
      </c>
      <c r="W28" s="275">
        <v>1377.3351990000001</v>
      </c>
      <c r="X28" s="275">
        <v>213011.93922053819</v>
      </c>
      <c r="Y28" s="275">
        <v>2270</v>
      </c>
      <c r="Z28" s="275">
        <v>484.77834899999999</v>
      </c>
      <c r="AA28" s="275">
        <v>213558.74405286339</v>
      </c>
      <c r="AB28" s="278">
        <v>8736</v>
      </c>
      <c r="AC28" s="278">
        <v>1862.113548</v>
      </c>
      <c r="AD28" s="278">
        <v>213154.02335164839</v>
      </c>
      <c r="AE28" s="275">
        <v>5626.666666666667</v>
      </c>
      <c r="AF28" s="275">
        <v>3602.6454762774752</v>
      </c>
      <c r="AG28" s="275">
        <v>213461.15089645391</v>
      </c>
      <c r="AH28" s="275">
        <v>2012.666666666667</v>
      </c>
      <c r="AI28" s="275">
        <v>1290.743479762036</v>
      </c>
      <c r="AJ28" s="275">
        <v>213784.36794515679</v>
      </c>
      <c r="AK28" s="279">
        <v>7639.333333333333</v>
      </c>
      <c r="AL28" s="279">
        <v>4893.38895603951</v>
      </c>
      <c r="AM28" s="279">
        <v>213545.931910869</v>
      </c>
    </row>
    <row r="29" spans="2:39" ht="17.25" x14ac:dyDescent="0.25">
      <c r="B29" s="427" t="s">
        <v>507</v>
      </c>
      <c r="C29" s="269" t="s">
        <v>886</v>
      </c>
      <c r="D29" s="275">
        <v>12743</v>
      </c>
      <c r="E29" s="275">
        <v>2695.9578238329632</v>
      </c>
      <c r="F29" s="275">
        <v>211563.82514580261</v>
      </c>
      <c r="G29" s="275">
        <v>12293</v>
      </c>
      <c r="H29" s="275">
        <v>2546.5802821089751</v>
      </c>
      <c r="I29" s="275">
        <v>207156.941520294</v>
      </c>
      <c r="J29" s="276">
        <v>25036</v>
      </c>
      <c r="K29" s="276">
        <v>5242.5381059419378</v>
      </c>
      <c r="L29" s="276">
        <v>209399.98825459089</v>
      </c>
      <c r="M29" s="275">
        <v>12791</v>
      </c>
      <c r="N29" s="275">
        <v>2699.0060902840551</v>
      </c>
      <c r="O29" s="275">
        <v>211008.2159552853</v>
      </c>
      <c r="P29" s="275">
        <v>12336</v>
      </c>
      <c r="Q29" s="275">
        <v>2548.5060162128088</v>
      </c>
      <c r="R29" s="275">
        <v>206590.9546216609</v>
      </c>
      <c r="S29" s="277">
        <v>25127</v>
      </c>
      <c r="T29" s="277">
        <v>5247.5121064968635</v>
      </c>
      <c r="U29" s="277">
        <v>208839.57919755101</v>
      </c>
      <c r="V29" s="275">
        <v>11615</v>
      </c>
      <c r="W29" s="275">
        <v>2446.1568689999999</v>
      </c>
      <c r="X29" s="275">
        <v>210603.26035299181</v>
      </c>
      <c r="Y29" s="275">
        <v>11992</v>
      </c>
      <c r="Z29" s="275">
        <v>2472.3080279999999</v>
      </c>
      <c r="AA29" s="275">
        <v>206163.11107404929</v>
      </c>
      <c r="AB29" s="278">
        <v>23607</v>
      </c>
      <c r="AC29" s="278">
        <v>4918.4648969999998</v>
      </c>
      <c r="AD29" s="278">
        <v>208347.7314779514</v>
      </c>
      <c r="AE29" s="275">
        <v>12383</v>
      </c>
      <c r="AF29" s="275">
        <v>7841.1207831170177</v>
      </c>
      <c r="AG29" s="275">
        <v>211058.43381802659</v>
      </c>
      <c r="AH29" s="275">
        <v>12207</v>
      </c>
      <c r="AI29" s="275">
        <v>7567.3943263217843</v>
      </c>
      <c r="AJ29" s="275">
        <v>206637.00240533479</v>
      </c>
      <c r="AK29" s="279">
        <v>24590</v>
      </c>
      <c r="AL29" s="279">
        <v>15408.5151094388</v>
      </c>
      <c r="AM29" s="279">
        <v>208862.4329766978</v>
      </c>
    </row>
    <row r="30" spans="2:39" ht="17.25" x14ac:dyDescent="0.25">
      <c r="B30" s="427" t="s">
        <v>507</v>
      </c>
      <c r="C30" s="269" t="s">
        <v>842</v>
      </c>
      <c r="D30" s="275">
        <v>1559</v>
      </c>
      <c r="E30" s="275">
        <v>382.16561966218262</v>
      </c>
      <c r="F30" s="275">
        <v>245135.09920601841</v>
      </c>
      <c r="G30" s="275">
        <v>956</v>
      </c>
      <c r="H30" s="275">
        <v>241.72883041470459</v>
      </c>
      <c r="I30" s="275">
        <v>252854.42511998391</v>
      </c>
      <c r="J30" s="276">
        <v>2515</v>
      </c>
      <c r="K30" s="276">
        <v>623.89445007688721</v>
      </c>
      <c r="L30" s="276">
        <v>248069.36384766889</v>
      </c>
      <c r="M30" s="275">
        <v>1552</v>
      </c>
      <c r="N30" s="275">
        <v>379.49135341359067</v>
      </c>
      <c r="O30" s="275">
        <v>244517.624622159</v>
      </c>
      <c r="P30" s="275">
        <v>948</v>
      </c>
      <c r="Q30" s="275">
        <v>239.42841884725561</v>
      </c>
      <c r="R30" s="275">
        <v>252561.62325659869</v>
      </c>
      <c r="S30" s="277">
        <v>2500</v>
      </c>
      <c r="T30" s="277">
        <v>618.91977226084646</v>
      </c>
      <c r="U30" s="277">
        <v>247567.9089043386</v>
      </c>
      <c r="V30" s="275">
        <v>1550</v>
      </c>
      <c r="W30" s="275">
        <v>378.63609100000002</v>
      </c>
      <c r="X30" s="275">
        <v>244281.34903225809</v>
      </c>
      <c r="Y30" s="275">
        <v>942</v>
      </c>
      <c r="Z30" s="275">
        <v>238.132259</v>
      </c>
      <c r="AA30" s="275">
        <v>252794.33014861989</v>
      </c>
      <c r="AB30" s="278">
        <v>2492</v>
      </c>
      <c r="AC30" s="278">
        <v>616.76835000000005</v>
      </c>
      <c r="AD30" s="278">
        <v>247499.33788121989</v>
      </c>
      <c r="AE30" s="275">
        <v>1553.666666666667</v>
      </c>
      <c r="AF30" s="275">
        <v>1140.2930640757729</v>
      </c>
      <c r="AG30" s="275">
        <v>244644.69095347851</v>
      </c>
      <c r="AH30" s="275">
        <v>948.66666666666663</v>
      </c>
      <c r="AI30" s="275">
        <v>719.28950826196024</v>
      </c>
      <c r="AJ30" s="275">
        <v>252736.79284173419</v>
      </c>
      <c r="AK30" s="279">
        <v>2502.333333333333</v>
      </c>
      <c r="AL30" s="279">
        <v>1859.5825723377341</v>
      </c>
      <c r="AM30" s="279">
        <v>247712.2035444091</v>
      </c>
    </row>
    <row r="31" spans="2:39" x14ac:dyDescent="0.25">
      <c r="B31" s="427" t="s">
        <v>507</v>
      </c>
      <c r="C31" s="269" t="s">
        <v>847</v>
      </c>
      <c r="D31" s="275">
        <v>1544</v>
      </c>
      <c r="E31" s="275">
        <v>332.00954021727222</v>
      </c>
      <c r="F31" s="275">
        <v>215032.08563294829</v>
      </c>
      <c r="G31" s="275">
        <v>1195</v>
      </c>
      <c r="H31" s="275">
        <v>256.93593952765059</v>
      </c>
      <c r="I31" s="275">
        <v>215009.15441644401</v>
      </c>
      <c r="J31" s="276">
        <v>2739</v>
      </c>
      <c r="K31" s="276">
        <v>588.94547974492286</v>
      </c>
      <c r="L31" s="276">
        <v>215022.08095835079</v>
      </c>
      <c r="M31" s="275">
        <v>1548</v>
      </c>
      <c r="N31" s="275">
        <v>332.02136317285567</v>
      </c>
      <c r="O31" s="275">
        <v>214484.0847369869</v>
      </c>
      <c r="P31" s="275">
        <v>1206</v>
      </c>
      <c r="Q31" s="275">
        <v>258.64047322406162</v>
      </c>
      <c r="R31" s="275">
        <v>214461.42058379899</v>
      </c>
      <c r="S31" s="277">
        <v>2754</v>
      </c>
      <c r="T31" s="277">
        <v>590.66183639691724</v>
      </c>
      <c r="U31" s="277">
        <v>214474.15991173469</v>
      </c>
      <c r="V31" s="275">
        <v>1551</v>
      </c>
      <c r="W31" s="275">
        <v>332.37309599999998</v>
      </c>
      <c r="X31" s="275">
        <v>214296</v>
      </c>
      <c r="Y31" s="275">
        <v>1210</v>
      </c>
      <c r="Z31" s="275">
        <v>259.27085099999999</v>
      </c>
      <c r="AA31" s="275">
        <v>214273.4305785124</v>
      </c>
      <c r="AB31" s="278">
        <v>2761</v>
      </c>
      <c r="AC31" s="278">
        <v>591.64394700000003</v>
      </c>
      <c r="AD31" s="278">
        <v>214286.10901847159</v>
      </c>
      <c r="AE31" s="275">
        <v>1547.666666666667</v>
      </c>
      <c r="AF31" s="275">
        <v>996.40399939012786</v>
      </c>
      <c r="AG31" s="275">
        <v>214604.05678997841</v>
      </c>
      <c r="AH31" s="275">
        <v>1203.666666666667</v>
      </c>
      <c r="AI31" s="275">
        <v>774.84726375171226</v>
      </c>
      <c r="AJ31" s="275">
        <v>214581.33519291849</v>
      </c>
      <c r="AK31" s="279">
        <v>2751.333333333333</v>
      </c>
      <c r="AL31" s="279">
        <v>1771.2512631418399</v>
      </c>
      <c r="AM31" s="279">
        <v>214594.11662951901</v>
      </c>
    </row>
    <row r="32" spans="2:39" x14ac:dyDescent="0.25">
      <c r="B32" s="427" t="s">
        <v>507</v>
      </c>
      <c r="C32" s="269" t="s">
        <v>848</v>
      </c>
      <c r="D32" s="275">
        <v>589</v>
      </c>
      <c r="E32" s="275">
        <v>108.4683848195759</v>
      </c>
      <c r="F32" s="275">
        <v>184156.85028790479</v>
      </c>
      <c r="G32" s="275">
        <v>721</v>
      </c>
      <c r="H32" s="275">
        <v>123.66895454726939</v>
      </c>
      <c r="I32" s="275">
        <v>171524.2088034249</v>
      </c>
      <c r="J32" s="276">
        <v>1310</v>
      </c>
      <c r="K32" s="276">
        <v>232.13733936684531</v>
      </c>
      <c r="L32" s="276">
        <v>177204.07585255371</v>
      </c>
      <c r="M32" s="275">
        <v>587</v>
      </c>
      <c r="N32" s="275">
        <v>108.2686456143169</v>
      </c>
      <c r="O32" s="275">
        <v>184444.03000735419</v>
      </c>
      <c r="P32" s="275">
        <v>717</v>
      </c>
      <c r="Q32" s="275">
        <v>122.7171877863607</v>
      </c>
      <c r="R32" s="275">
        <v>171153.67892100511</v>
      </c>
      <c r="S32" s="277">
        <v>1304</v>
      </c>
      <c r="T32" s="277">
        <v>230.98583340067751</v>
      </c>
      <c r="U32" s="277">
        <v>177136.37530726811</v>
      </c>
      <c r="V32" s="275">
        <v>587</v>
      </c>
      <c r="W32" s="275">
        <v>107.750103</v>
      </c>
      <c r="X32" s="275">
        <v>183560.6524701874</v>
      </c>
      <c r="Y32" s="275">
        <v>716</v>
      </c>
      <c r="Z32" s="275">
        <v>122.18311799999999</v>
      </c>
      <c r="AA32" s="275">
        <v>170646.812849162</v>
      </c>
      <c r="AB32" s="278">
        <v>1303</v>
      </c>
      <c r="AC32" s="278">
        <v>229.933221</v>
      </c>
      <c r="AD32" s="278">
        <v>176464.48273215661</v>
      </c>
      <c r="AE32" s="275">
        <v>587.66666666666663</v>
      </c>
      <c r="AF32" s="275">
        <v>324.48713343389278</v>
      </c>
      <c r="AG32" s="275">
        <v>184053.84425514881</v>
      </c>
      <c r="AH32" s="275">
        <v>718</v>
      </c>
      <c r="AI32" s="275">
        <v>368.56926033362998</v>
      </c>
      <c r="AJ32" s="275">
        <v>171108.23352453069</v>
      </c>
      <c r="AK32" s="279">
        <v>1305.666666666667</v>
      </c>
      <c r="AL32" s="279">
        <v>693.05639376752288</v>
      </c>
      <c r="AM32" s="279">
        <v>176934.97796399269</v>
      </c>
    </row>
    <row r="33" spans="2:39" ht="17.25" x14ac:dyDescent="0.25">
      <c r="B33" s="428" t="s">
        <v>507</v>
      </c>
      <c r="C33" s="269" t="s">
        <v>887</v>
      </c>
      <c r="D33" s="275">
        <v>21622</v>
      </c>
      <c r="E33" s="275">
        <v>4628.7002369828442</v>
      </c>
      <c r="F33" s="275">
        <v>214073.6396717623</v>
      </c>
      <c r="G33" s="275">
        <v>17050</v>
      </c>
      <c r="H33" s="275">
        <v>3572.635098730917</v>
      </c>
      <c r="I33" s="275">
        <v>209538.71546808901</v>
      </c>
      <c r="J33" s="276">
        <v>38672</v>
      </c>
      <c r="K33" s="276">
        <v>8201.3353357137603</v>
      </c>
      <c r="L33" s="276">
        <v>212074.2484410881</v>
      </c>
      <c r="M33" s="275">
        <v>21705</v>
      </c>
      <c r="N33" s="275">
        <v>4633.998861311441</v>
      </c>
      <c r="O33" s="275">
        <v>213499.1412721235</v>
      </c>
      <c r="P33" s="275">
        <v>17090</v>
      </c>
      <c r="Q33" s="275">
        <v>3571.5361347002058</v>
      </c>
      <c r="R33" s="275">
        <v>208983.97511411391</v>
      </c>
      <c r="S33" s="277">
        <v>38795</v>
      </c>
      <c r="T33" s="277">
        <v>8205.5349960116455</v>
      </c>
      <c r="U33" s="277">
        <v>211510.11718034919</v>
      </c>
      <c r="V33" s="275">
        <v>21769</v>
      </c>
      <c r="W33" s="275">
        <v>4642.2513580000004</v>
      </c>
      <c r="X33" s="275">
        <v>213250.55620377601</v>
      </c>
      <c r="Y33" s="275">
        <v>17130</v>
      </c>
      <c r="Z33" s="275">
        <v>3576.6726050000002</v>
      </c>
      <c r="AA33" s="275">
        <v>208795.83216579101</v>
      </c>
      <c r="AB33" s="278">
        <v>38899</v>
      </c>
      <c r="AC33" s="278">
        <v>8218.9239629999993</v>
      </c>
      <c r="AD33" s="278">
        <v>211288.8239543433</v>
      </c>
      <c r="AE33" s="275">
        <v>21698.666666666672</v>
      </c>
      <c r="AF33" s="275">
        <v>13904.950456294289</v>
      </c>
      <c r="AG33" s="275">
        <v>213607.77904922061</v>
      </c>
      <c r="AH33" s="275">
        <v>17090</v>
      </c>
      <c r="AI33" s="275">
        <v>10720.843838431119</v>
      </c>
      <c r="AJ33" s="275">
        <v>209106.17424933129</v>
      </c>
      <c r="AK33" s="279">
        <v>38788.666666666657</v>
      </c>
      <c r="AL33" s="279">
        <v>24625.794294725409</v>
      </c>
      <c r="AM33" s="279">
        <v>211624.39652526021</v>
      </c>
    </row>
    <row r="34" spans="2:39" ht="17.25" x14ac:dyDescent="0.25">
      <c r="B34" s="426" t="s">
        <v>508</v>
      </c>
      <c r="C34" s="269" t="s">
        <v>840</v>
      </c>
      <c r="D34" s="275">
        <v>16558</v>
      </c>
      <c r="E34" s="275">
        <v>3545.9560645751699</v>
      </c>
      <c r="F34" s="275">
        <v>214153.64564410981</v>
      </c>
      <c r="G34" s="275">
        <v>6984</v>
      </c>
      <c r="H34" s="275">
        <v>1499.2799871712959</v>
      </c>
      <c r="I34" s="275">
        <v>214673.53768202971</v>
      </c>
      <c r="J34" s="276">
        <v>23542</v>
      </c>
      <c r="K34" s="276">
        <v>5045.2360517464658</v>
      </c>
      <c r="L34" s="276">
        <v>214307.87748477049</v>
      </c>
      <c r="M34" s="275">
        <v>16619</v>
      </c>
      <c r="N34" s="275">
        <v>3549.5776789573929</v>
      </c>
      <c r="O34" s="275">
        <v>213585.5153112337</v>
      </c>
      <c r="P34" s="275">
        <v>6965</v>
      </c>
      <c r="Q34" s="275">
        <v>1491.26792016886</v>
      </c>
      <c r="R34" s="275">
        <v>214108.81840184639</v>
      </c>
      <c r="S34" s="277">
        <v>23584</v>
      </c>
      <c r="T34" s="277">
        <v>5040.8455991262535</v>
      </c>
      <c r="U34" s="277">
        <v>213740.06102129639</v>
      </c>
      <c r="V34" s="275">
        <v>20183</v>
      </c>
      <c r="W34" s="275">
        <v>4303.7668229999999</v>
      </c>
      <c r="X34" s="275">
        <v>213237.22058167771</v>
      </c>
      <c r="Y34" s="275">
        <v>8760</v>
      </c>
      <c r="Z34" s="275">
        <v>1874.409116</v>
      </c>
      <c r="AA34" s="275">
        <v>213973.64337899539</v>
      </c>
      <c r="AB34" s="278">
        <v>28943</v>
      </c>
      <c r="AC34" s="278">
        <v>6178.1759389999997</v>
      </c>
      <c r="AD34" s="278">
        <v>213460.10914556199</v>
      </c>
      <c r="AE34" s="275">
        <v>17786.666666666672</v>
      </c>
      <c r="AF34" s="275">
        <v>11399.30056653256</v>
      </c>
      <c r="AG34" s="275">
        <v>213658.7938456737</v>
      </c>
      <c r="AH34" s="275">
        <v>7569.666666666667</v>
      </c>
      <c r="AI34" s="275">
        <v>4864.9570233401564</v>
      </c>
      <c r="AJ34" s="275">
        <v>214251.99982095719</v>
      </c>
      <c r="AK34" s="279">
        <v>25356.333333333328</v>
      </c>
      <c r="AL34" s="279">
        <v>16264.257589872719</v>
      </c>
      <c r="AM34" s="279">
        <v>213836.0158838763</v>
      </c>
    </row>
    <row r="35" spans="2:39" ht="17.25" x14ac:dyDescent="0.25">
      <c r="B35" s="427" t="s">
        <v>508</v>
      </c>
      <c r="C35" s="269" t="s">
        <v>886</v>
      </c>
      <c r="D35" s="275">
        <v>39236</v>
      </c>
      <c r="E35" s="275">
        <v>8312.8889577422688</v>
      </c>
      <c r="F35" s="275">
        <v>211868.92032170121</v>
      </c>
      <c r="G35" s="275">
        <v>34463</v>
      </c>
      <c r="H35" s="275">
        <v>7175.0210679534048</v>
      </c>
      <c r="I35" s="275">
        <v>208194.9066521604</v>
      </c>
      <c r="J35" s="276">
        <v>73699</v>
      </c>
      <c r="K35" s="276">
        <v>15487.91002569567</v>
      </c>
      <c r="L35" s="276">
        <v>210150.8843497968</v>
      </c>
      <c r="M35" s="275">
        <v>39337</v>
      </c>
      <c r="N35" s="275">
        <v>8311.3150293195631</v>
      </c>
      <c r="O35" s="275">
        <v>211284.92333730491</v>
      </c>
      <c r="P35" s="275">
        <v>34593</v>
      </c>
      <c r="Q35" s="275">
        <v>7184.151412398649</v>
      </c>
      <c r="R35" s="275">
        <v>207676.4493509857</v>
      </c>
      <c r="S35" s="277">
        <v>73930</v>
      </c>
      <c r="T35" s="277">
        <v>15495.46644171821</v>
      </c>
      <c r="U35" s="277">
        <v>209596.46208194521</v>
      </c>
      <c r="V35" s="275">
        <v>35896</v>
      </c>
      <c r="W35" s="275">
        <v>7570.5295020000003</v>
      </c>
      <c r="X35" s="275">
        <v>210901.75791174511</v>
      </c>
      <c r="Y35" s="275">
        <v>32958</v>
      </c>
      <c r="Z35" s="275">
        <v>6825.495081</v>
      </c>
      <c r="AA35" s="275">
        <v>207096.76196977971</v>
      </c>
      <c r="AB35" s="278">
        <v>68854</v>
      </c>
      <c r="AC35" s="278">
        <v>14396.024583</v>
      </c>
      <c r="AD35" s="278">
        <v>209080.43952421061</v>
      </c>
      <c r="AE35" s="275">
        <v>38156.333333333343</v>
      </c>
      <c r="AF35" s="275">
        <v>24194.733489061829</v>
      </c>
      <c r="AG35" s="275">
        <v>211351.8671902504</v>
      </c>
      <c r="AH35" s="275">
        <v>34004.666666666657</v>
      </c>
      <c r="AI35" s="275">
        <v>21184.667561352049</v>
      </c>
      <c r="AJ35" s="275">
        <v>207656.0393243086</v>
      </c>
      <c r="AK35" s="279">
        <v>72161</v>
      </c>
      <c r="AL35" s="279">
        <v>45379.401050413893</v>
      </c>
      <c r="AM35" s="279">
        <v>209609.26198531751</v>
      </c>
    </row>
    <row r="36" spans="2:39" ht="17.25" x14ac:dyDescent="0.25">
      <c r="B36" s="427" t="s">
        <v>508</v>
      </c>
      <c r="C36" s="269" t="s">
        <v>842</v>
      </c>
      <c r="D36" s="275">
        <v>4259</v>
      </c>
      <c r="E36" s="275">
        <v>1053.416591898349</v>
      </c>
      <c r="F36" s="275">
        <v>247338.95090358029</v>
      </c>
      <c r="G36" s="275">
        <v>2752</v>
      </c>
      <c r="H36" s="275">
        <v>695.90103693882008</v>
      </c>
      <c r="I36" s="275">
        <v>252871.01632951311</v>
      </c>
      <c r="J36" s="276">
        <v>7011</v>
      </c>
      <c r="K36" s="276">
        <v>1749.317628837169</v>
      </c>
      <c r="L36" s="276">
        <v>249510.43058581781</v>
      </c>
      <c r="M36" s="275">
        <v>4246</v>
      </c>
      <c r="N36" s="275">
        <v>1048.2507999313359</v>
      </c>
      <c r="O36" s="275">
        <v>246879.60431731891</v>
      </c>
      <c r="P36" s="275">
        <v>2736</v>
      </c>
      <c r="Q36" s="275">
        <v>691.51226585148277</v>
      </c>
      <c r="R36" s="275">
        <v>252745.71120302731</v>
      </c>
      <c r="S36" s="277">
        <v>6982</v>
      </c>
      <c r="T36" s="277">
        <v>1739.763065782819</v>
      </c>
      <c r="U36" s="277">
        <v>249178.32509063571</v>
      </c>
      <c r="V36" s="275">
        <v>4233</v>
      </c>
      <c r="W36" s="275">
        <v>1044.4912810000001</v>
      </c>
      <c r="X36" s="275">
        <v>246749.65296480039</v>
      </c>
      <c r="Y36" s="275">
        <v>2726</v>
      </c>
      <c r="Z36" s="275">
        <v>688.86515299999996</v>
      </c>
      <c r="AA36" s="275">
        <v>252701.81694790901</v>
      </c>
      <c r="AB36" s="278">
        <v>6959</v>
      </c>
      <c r="AC36" s="278">
        <v>1733.356434</v>
      </c>
      <c r="AD36" s="278">
        <v>249081.25219140679</v>
      </c>
      <c r="AE36" s="275">
        <v>4246</v>
      </c>
      <c r="AF36" s="275">
        <v>3146.1586728296852</v>
      </c>
      <c r="AG36" s="275">
        <v>246989.40272856661</v>
      </c>
      <c r="AH36" s="275">
        <v>2738</v>
      </c>
      <c r="AI36" s="275">
        <v>2076.2784557903028</v>
      </c>
      <c r="AJ36" s="275">
        <v>252772.84816014979</v>
      </c>
      <c r="AK36" s="279">
        <v>6984</v>
      </c>
      <c r="AL36" s="279">
        <v>5222.4371286199876</v>
      </c>
      <c r="AM36" s="279">
        <v>249256.6692892868</v>
      </c>
    </row>
    <row r="37" spans="2:39" x14ac:dyDescent="0.25">
      <c r="B37" s="427" t="s">
        <v>508</v>
      </c>
      <c r="C37" s="269" t="s">
        <v>847</v>
      </c>
      <c r="D37" s="275">
        <v>4835</v>
      </c>
      <c r="E37" s="275">
        <v>1039.1589118169859</v>
      </c>
      <c r="F37" s="275">
        <v>214924.28372636731</v>
      </c>
      <c r="G37" s="275">
        <v>4127</v>
      </c>
      <c r="H37" s="275">
        <v>887.4374174071778</v>
      </c>
      <c r="I37" s="275">
        <v>215032.08563294841</v>
      </c>
      <c r="J37" s="276">
        <v>8962</v>
      </c>
      <c r="K37" s="276">
        <v>1926.596329224164</v>
      </c>
      <c r="L37" s="276">
        <v>214973.92649231909</v>
      </c>
      <c r="M37" s="275">
        <v>4834</v>
      </c>
      <c r="N37" s="275">
        <v>1036.2961717148</v>
      </c>
      <c r="O37" s="275">
        <v>214376.53531543229</v>
      </c>
      <c r="P37" s="275">
        <v>4149</v>
      </c>
      <c r="Q37" s="275">
        <v>889.89446757375845</v>
      </c>
      <c r="R37" s="275">
        <v>214484.08473698681</v>
      </c>
      <c r="S37" s="277">
        <v>8983</v>
      </c>
      <c r="T37" s="277">
        <v>1926.190639288558</v>
      </c>
      <c r="U37" s="277">
        <v>214426.20942764761</v>
      </c>
      <c r="V37" s="275">
        <v>4834</v>
      </c>
      <c r="W37" s="275">
        <v>1035.387426</v>
      </c>
      <c r="X37" s="275">
        <v>214188.54489036</v>
      </c>
      <c r="Y37" s="275">
        <v>4153</v>
      </c>
      <c r="Z37" s="275">
        <v>889.97128799999996</v>
      </c>
      <c r="AA37" s="275">
        <v>214296</v>
      </c>
      <c r="AB37" s="278">
        <v>8987</v>
      </c>
      <c r="AC37" s="278">
        <v>1925.358714</v>
      </c>
      <c r="AD37" s="278">
        <v>214238.20117948149</v>
      </c>
      <c r="AE37" s="275">
        <v>4834.333333333333</v>
      </c>
      <c r="AF37" s="275">
        <v>3110.8425095317848</v>
      </c>
      <c r="AG37" s="275">
        <v>214496.45464405321</v>
      </c>
      <c r="AH37" s="275">
        <v>4143</v>
      </c>
      <c r="AI37" s="275">
        <v>2667.3031729809359</v>
      </c>
      <c r="AJ37" s="275">
        <v>214604.05678997841</v>
      </c>
      <c r="AK37" s="279">
        <v>8977.3333333333339</v>
      </c>
      <c r="AL37" s="279">
        <v>5778.1456825127216</v>
      </c>
      <c r="AM37" s="279">
        <v>214546.1123664827</v>
      </c>
    </row>
    <row r="38" spans="2:39" x14ac:dyDescent="0.25">
      <c r="B38" s="427" t="s">
        <v>508</v>
      </c>
      <c r="C38" s="269" t="s">
        <v>848</v>
      </c>
      <c r="D38" s="275">
        <v>1987</v>
      </c>
      <c r="E38" s="275">
        <v>355.91281354607412</v>
      </c>
      <c r="F38" s="275">
        <v>179120.69126626779</v>
      </c>
      <c r="G38" s="275">
        <v>2313</v>
      </c>
      <c r="H38" s="275">
        <v>394.29123437837762</v>
      </c>
      <c r="I38" s="275">
        <v>170467.45973989519</v>
      </c>
      <c r="J38" s="276">
        <v>4300</v>
      </c>
      <c r="K38" s="276">
        <v>750.20404792445152</v>
      </c>
      <c r="L38" s="276">
        <v>174466.05765684921</v>
      </c>
      <c r="M38" s="275">
        <v>1987</v>
      </c>
      <c r="N38" s="275">
        <v>355.3476183622351</v>
      </c>
      <c r="O38" s="275">
        <v>178836.24477213639</v>
      </c>
      <c r="P38" s="275">
        <v>2304</v>
      </c>
      <c r="Q38" s="275">
        <v>392.23996989191988</v>
      </c>
      <c r="R38" s="275">
        <v>170243.04248781249</v>
      </c>
      <c r="S38" s="277">
        <v>4291</v>
      </c>
      <c r="T38" s="277">
        <v>747.58758825415509</v>
      </c>
      <c r="U38" s="277">
        <v>174222.22984249709</v>
      </c>
      <c r="V38" s="275">
        <v>1981</v>
      </c>
      <c r="W38" s="275">
        <v>353.83448700000002</v>
      </c>
      <c r="X38" s="275">
        <v>178614.0772337204</v>
      </c>
      <c r="Y38" s="275">
        <v>2304</v>
      </c>
      <c r="Z38" s="275">
        <v>390.82423799999998</v>
      </c>
      <c r="AA38" s="275">
        <v>169628.57552083331</v>
      </c>
      <c r="AB38" s="278">
        <v>4285</v>
      </c>
      <c r="AC38" s="278">
        <v>744.658725</v>
      </c>
      <c r="AD38" s="278">
        <v>173782.666277713</v>
      </c>
      <c r="AE38" s="275">
        <v>1985</v>
      </c>
      <c r="AF38" s="275">
        <v>1065.094918908309</v>
      </c>
      <c r="AG38" s="275">
        <v>178857.00442404149</v>
      </c>
      <c r="AH38" s="275">
        <v>2307</v>
      </c>
      <c r="AI38" s="275">
        <v>1177.355442270298</v>
      </c>
      <c r="AJ38" s="275">
        <v>170113.02591618031</v>
      </c>
      <c r="AK38" s="279">
        <v>4292</v>
      </c>
      <c r="AL38" s="279">
        <v>2242.4503611786072</v>
      </c>
      <c r="AM38" s="279">
        <v>174156.98459235311</v>
      </c>
    </row>
    <row r="39" spans="2:39" ht="17.25" x14ac:dyDescent="0.25">
      <c r="B39" s="428" t="s">
        <v>508</v>
      </c>
      <c r="C39" s="269" t="s">
        <v>887</v>
      </c>
      <c r="D39" s="275">
        <v>66875</v>
      </c>
      <c r="E39" s="275">
        <v>14307.33333957885</v>
      </c>
      <c r="F39" s="275">
        <v>213941.43311519769</v>
      </c>
      <c r="G39" s="275">
        <v>50639</v>
      </c>
      <c r="H39" s="275">
        <v>10651.93074384908</v>
      </c>
      <c r="I39" s="275">
        <v>210350.33756292731</v>
      </c>
      <c r="J39" s="276">
        <v>117514</v>
      </c>
      <c r="K39" s="276">
        <v>24959.26408342793</v>
      </c>
      <c r="L39" s="276">
        <v>212393.96228047661</v>
      </c>
      <c r="M39" s="275">
        <v>67023</v>
      </c>
      <c r="N39" s="275">
        <v>14300.78729828533</v>
      </c>
      <c r="O39" s="275">
        <v>213371.33966377701</v>
      </c>
      <c r="P39" s="275">
        <v>50747</v>
      </c>
      <c r="Q39" s="275">
        <v>10649.066035884671</v>
      </c>
      <c r="R39" s="275">
        <v>209846.21821752359</v>
      </c>
      <c r="S39" s="277">
        <v>117770</v>
      </c>
      <c r="T39" s="277">
        <v>24949.853334169999</v>
      </c>
      <c r="U39" s="277">
        <v>211852.36761628601</v>
      </c>
      <c r="V39" s="275">
        <v>67127</v>
      </c>
      <c r="W39" s="275">
        <v>14308.009518999999</v>
      </c>
      <c r="X39" s="275">
        <v>213148.35340474019</v>
      </c>
      <c r="Y39" s="275">
        <v>50901</v>
      </c>
      <c r="Z39" s="275">
        <v>10669.564876</v>
      </c>
      <c r="AA39" s="275">
        <v>209614.05229759731</v>
      </c>
      <c r="AB39" s="278">
        <v>118028</v>
      </c>
      <c r="AC39" s="278">
        <v>24977.574395</v>
      </c>
      <c r="AD39" s="278">
        <v>211624.14338123161</v>
      </c>
      <c r="AE39" s="275">
        <v>67008.333333333328</v>
      </c>
      <c r="AF39" s="275">
        <v>42916.130156864172</v>
      </c>
      <c r="AG39" s="275">
        <v>213487.04206123829</v>
      </c>
      <c r="AH39" s="275">
        <v>50762.333333333343</v>
      </c>
      <c r="AI39" s="275">
        <v>31970.561655733749</v>
      </c>
      <c r="AJ39" s="275">
        <v>209936.8693593494</v>
      </c>
      <c r="AK39" s="279">
        <v>117770.6666666667</v>
      </c>
      <c r="AL39" s="279">
        <v>74886.691812597928</v>
      </c>
      <c r="AM39" s="279">
        <v>211956.82442599809</v>
      </c>
    </row>
    <row r="40" spans="2:39" ht="17.25" x14ac:dyDescent="0.25">
      <c r="B40" s="426" t="s">
        <v>509</v>
      </c>
      <c r="C40" s="269" t="s">
        <v>840</v>
      </c>
      <c r="D40" s="275">
        <v>34606</v>
      </c>
      <c r="E40" s="275">
        <v>7411.5163411520398</v>
      </c>
      <c r="F40" s="275">
        <v>214168.5355473629</v>
      </c>
      <c r="G40" s="275">
        <v>12849</v>
      </c>
      <c r="H40" s="275">
        <v>2758.9216871568342</v>
      </c>
      <c r="I40" s="275">
        <v>214718.7864547307</v>
      </c>
      <c r="J40" s="276">
        <v>47455</v>
      </c>
      <c r="K40" s="276">
        <v>10170.43802830887</v>
      </c>
      <c r="L40" s="276">
        <v>214317.52245935891</v>
      </c>
      <c r="M40" s="275">
        <v>34732</v>
      </c>
      <c r="N40" s="275">
        <v>7418.6547403500444</v>
      </c>
      <c r="O40" s="275">
        <v>213597.1075765877</v>
      </c>
      <c r="P40" s="275">
        <v>12881</v>
      </c>
      <c r="Q40" s="275">
        <v>2758.4484583062208</v>
      </c>
      <c r="R40" s="275">
        <v>214148.62652792639</v>
      </c>
      <c r="S40" s="277">
        <v>47613</v>
      </c>
      <c r="T40" s="277">
        <v>10177.103198656259</v>
      </c>
      <c r="U40" s="277">
        <v>213746.31295352659</v>
      </c>
      <c r="V40" s="275">
        <v>43394</v>
      </c>
      <c r="W40" s="275">
        <v>9255.6734589999996</v>
      </c>
      <c r="X40" s="275">
        <v>213293.85304419961</v>
      </c>
      <c r="Y40" s="275">
        <v>15759</v>
      </c>
      <c r="Z40" s="275">
        <v>3372.566773</v>
      </c>
      <c r="AA40" s="275">
        <v>214008.93286376039</v>
      </c>
      <c r="AB40" s="278">
        <v>59153</v>
      </c>
      <c r="AC40" s="278">
        <v>12628.240232</v>
      </c>
      <c r="AD40" s="278">
        <v>213484.3580545366</v>
      </c>
      <c r="AE40" s="275">
        <v>37577.333333333343</v>
      </c>
      <c r="AF40" s="275">
        <v>24085.844540502079</v>
      </c>
      <c r="AG40" s="275">
        <v>213686.4987227167</v>
      </c>
      <c r="AH40" s="275">
        <v>13829.66666666667</v>
      </c>
      <c r="AI40" s="275">
        <v>8889.9369184630559</v>
      </c>
      <c r="AJ40" s="275">
        <v>214292.11528213919</v>
      </c>
      <c r="AK40" s="279">
        <v>51407</v>
      </c>
      <c r="AL40" s="279">
        <v>32975.781458965139</v>
      </c>
      <c r="AM40" s="279">
        <v>213849.39782247401</v>
      </c>
    </row>
    <row r="41" spans="2:39" ht="17.25" x14ac:dyDescent="0.25">
      <c r="B41" s="427" t="s">
        <v>509</v>
      </c>
      <c r="C41" s="269" t="s">
        <v>886</v>
      </c>
      <c r="D41" s="275">
        <v>106597</v>
      </c>
      <c r="E41" s="275">
        <v>22545.470344678841</v>
      </c>
      <c r="F41" s="275">
        <v>211501.9216739574</v>
      </c>
      <c r="G41" s="275">
        <v>85586</v>
      </c>
      <c r="H41" s="275">
        <v>17835.278607617391</v>
      </c>
      <c r="I41" s="275">
        <v>208390.14099989939</v>
      </c>
      <c r="J41" s="276">
        <v>192183</v>
      </c>
      <c r="K41" s="276">
        <v>40380.748952296228</v>
      </c>
      <c r="L41" s="276">
        <v>210116.13385313071</v>
      </c>
      <c r="M41" s="275">
        <v>106763</v>
      </c>
      <c r="N41" s="275">
        <v>22521.660070253231</v>
      </c>
      <c r="O41" s="275">
        <v>210950.0488957151</v>
      </c>
      <c r="P41" s="275">
        <v>85735</v>
      </c>
      <c r="Q41" s="275">
        <v>17819.960701216649</v>
      </c>
      <c r="R41" s="275">
        <v>207849.31126397211</v>
      </c>
      <c r="S41" s="277">
        <v>192498</v>
      </c>
      <c r="T41" s="277">
        <v>40341.620771469883</v>
      </c>
      <c r="U41" s="277">
        <v>209569.03849115249</v>
      </c>
      <c r="V41" s="275">
        <v>98423</v>
      </c>
      <c r="W41" s="275">
        <v>20720.094710000001</v>
      </c>
      <c r="X41" s="275">
        <v>210520.86107921929</v>
      </c>
      <c r="Y41" s="275">
        <v>83083</v>
      </c>
      <c r="Z41" s="275">
        <v>17232.773592000001</v>
      </c>
      <c r="AA41" s="275">
        <v>207416.36185501251</v>
      </c>
      <c r="AB41" s="278">
        <v>181506</v>
      </c>
      <c r="AC41" s="278">
        <v>37952.868302000003</v>
      </c>
      <c r="AD41" s="278">
        <v>209099.8000176303</v>
      </c>
      <c r="AE41" s="275">
        <v>103927.6666666667</v>
      </c>
      <c r="AF41" s="275">
        <v>65787.225124932069</v>
      </c>
      <c r="AG41" s="275">
        <v>210990.94388296391</v>
      </c>
      <c r="AH41" s="275">
        <v>84801.333333333328</v>
      </c>
      <c r="AI41" s="275">
        <v>52888.01290083403</v>
      </c>
      <c r="AJ41" s="275">
        <v>207885.27137296129</v>
      </c>
      <c r="AK41" s="279">
        <v>188729</v>
      </c>
      <c r="AL41" s="279">
        <v>118675.2380257661</v>
      </c>
      <c r="AM41" s="279">
        <v>209594.9907873045</v>
      </c>
    </row>
    <row r="42" spans="2:39" ht="17.25" x14ac:dyDescent="0.25">
      <c r="B42" s="427" t="s">
        <v>509</v>
      </c>
      <c r="C42" s="269" t="s">
        <v>842</v>
      </c>
      <c r="D42" s="275">
        <v>12747</v>
      </c>
      <c r="E42" s="275">
        <v>3164.120818830233</v>
      </c>
      <c r="F42" s="275">
        <v>248224.744554031</v>
      </c>
      <c r="G42" s="275">
        <v>6440</v>
      </c>
      <c r="H42" s="275">
        <v>1631.88399970201</v>
      </c>
      <c r="I42" s="275">
        <v>253398.13659969089</v>
      </c>
      <c r="J42" s="276">
        <v>19187</v>
      </c>
      <c r="K42" s="276">
        <v>4796.004818532243</v>
      </c>
      <c r="L42" s="276">
        <v>249961.1621687728</v>
      </c>
      <c r="M42" s="275">
        <v>12704</v>
      </c>
      <c r="N42" s="275">
        <v>3147.2270478549249</v>
      </c>
      <c r="O42" s="275">
        <v>247735.12656288769</v>
      </c>
      <c r="P42" s="275">
        <v>6386</v>
      </c>
      <c r="Q42" s="275">
        <v>1616.502435442452</v>
      </c>
      <c r="R42" s="275">
        <v>253132.23229603059</v>
      </c>
      <c r="S42" s="277">
        <v>19090</v>
      </c>
      <c r="T42" s="277">
        <v>4763.7294832973776</v>
      </c>
      <c r="U42" s="277">
        <v>249540.5701046295</v>
      </c>
      <c r="V42" s="275">
        <v>12671</v>
      </c>
      <c r="W42" s="275">
        <v>3136.4700899999998</v>
      </c>
      <c r="X42" s="275">
        <v>247531.3779496488</v>
      </c>
      <c r="Y42" s="275">
        <v>6336</v>
      </c>
      <c r="Z42" s="275">
        <v>1603.920327</v>
      </c>
      <c r="AA42" s="275">
        <v>253143.9910037879</v>
      </c>
      <c r="AB42" s="278">
        <v>19007</v>
      </c>
      <c r="AC42" s="278">
        <v>4740.3904169999996</v>
      </c>
      <c r="AD42" s="278">
        <v>249402.34739832691</v>
      </c>
      <c r="AE42" s="275">
        <v>12707.33333333333</v>
      </c>
      <c r="AF42" s="275">
        <v>9447.8179566851577</v>
      </c>
      <c r="AG42" s="275">
        <v>247830.41635552249</v>
      </c>
      <c r="AH42" s="275">
        <v>6387.333333333333</v>
      </c>
      <c r="AI42" s="275">
        <v>4852.3067621444616</v>
      </c>
      <c r="AJ42" s="275">
        <v>253224.7866331698</v>
      </c>
      <c r="AK42" s="279">
        <v>19094.666666666672</v>
      </c>
      <c r="AL42" s="279">
        <v>14300.12471882962</v>
      </c>
      <c r="AM42" s="279">
        <v>249634.69322390971</v>
      </c>
    </row>
    <row r="43" spans="2:39" x14ac:dyDescent="0.25">
      <c r="B43" s="427" t="s">
        <v>509</v>
      </c>
      <c r="C43" s="269" t="s">
        <v>847</v>
      </c>
      <c r="D43" s="275">
        <v>10649</v>
      </c>
      <c r="E43" s="275">
        <v>2289.4048557837091</v>
      </c>
      <c r="F43" s="275">
        <v>214987.778738258</v>
      </c>
      <c r="G43" s="275">
        <v>8917</v>
      </c>
      <c r="H43" s="275">
        <v>1916.7212243254639</v>
      </c>
      <c r="I43" s="275">
        <v>214951.35407933881</v>
      </c>
      <c r="J43" s="276">
        <v>19566</v>
      </c>
      <c r="K43" s="276">
        <v>4206.126080109173</v>
      </c>
      <c r="L43" s="276">
        <v>214971.17858065889</v>
      </c>
      <c r="M43" s="275">
        <v>10672</v>
      </c>
      <c r="N43" s="275">
        <v>2288.5035306169639</v>
      </c>
      <c r="O43" s="275">
        <v>214439.9860023392</v>
      </c>
      <c r="P43" s="275">
        <v>8952</v>
      </c>
      <c r="Q43" s="275">
        <v>1919.343477896432</v>
      </c>
      <c r="R43" s="275">
        <v>214403.87375965499</v>
      </c>
      <c r="S43" s="277">
        <v>19624</v>
      </c>
      <c r="T43" s="277">
        <v>4207.8470085133968</v>
      </c>
      <c r="U43" s="277">
        <v>214423.5124599163</v>
      </c>
      <c r="V43" s="275">
        <v>10685</v>
      </c>
      <c r="W43" s="275">
        <v>2289.2825509999998</v>
      </c>
      <c r="X43" s="275">
        <v>214251.99354234911</v>
      </c>
      <c r="Y43" s="275">
        <v>8964</v>
      </c>
      <c r="Z43" s="275">
        <v>1920.231925</v>
      </c>
      <c r="AA43" s="275">
        <v>214215.96664435521</v>
      </c>
      <c r="AB43" s="278">
        <v>19649</v>
      </c>
      <c r="AC43" s="278">
        <v>4209.5144760000003</v>
      </c>
      <c r="AD43" s="278">
        <v>214235.55784009371</v>
      </c>
      <c r="AE43" s="275">
        <v>10668.66666666667</v>
      </c>
      <c r="AF43" s="275">
        <v>6867.1909374006736</v>
      </c>
      <c r="AG43" s="275">
        <v>214559.91942764871</v>
      </c>
      <c r="AH43" s="275">
        <v>8944.3333333333339</v>
      </c>
      <c r="AI43" s="275">
        <v>5756.2966272218964</v>
      </c>
      <c r="AJ43" s="275">
        <v>214523.73149444969</v>
      </c>
      <c r="AK43" s="279">
        <v>19613</v>
      </c>
      <c r="AL43" s="279">
        <v>12623.48756462257</v>
      </c>
      <c r="AM43" s="279">
        <v>214543.41629355631</v>
      </c>
    </row>
    <row r="44" spans="2:39" x14ac:dyDescent="0.25">
      <c r="B44" s="427" t="s">
        <v>509</v>
      </c>
      <c r="C44" s="269" t="s">
        <v>848</v>
      </c>
      <c r="D44" s="275">
        <v>5390</v>
      </c>
      <c r="E44" s="275">
        <v>953.05497771597697</v>
      </c>
      <c r="F44" s="275">
        <v>176819.1053276395</v>
      </c>
      <c r="G44" s="275">
        <v>5509</v>
      </c>
      <c r="H44" s="275">
        <v>927.38614562661758</v>
      </c>
      <c r="I44" s="275">
        <v>168340.19706418909</v>
      </c>
      <c r="J44" s="276">
        <v>10899</v>
      </c>
      <c r="K44" s="276">
        <v>1880.441123342594</v>
      </c>
      <c r="L44" s="276">
        <v>172533.36300051329</v>
      </c>
      <c r="M44" s="275">
        <v>5377</v>
      </c>
      <c r="N44" s="275">
        <v>949.08807945744172</v>
      </c>
      <c r="O44" s="275">
        <v>176508.84869954281</v>
      </c>
      <c r="P44" s="275">
        <v>5500</v>
      </c>
      <c r="Q44" s="275">
        <v>923.90465168187677</v>
      </c>
      <c r="R44" s="275">
        <v>167982.66394215939</v>
      </c>
      <c r="S44" s="277">
        <v>10877</v>
      </c>
      <c r="T44" s="277">
        <v>1872.992731139318</v>
      </c>
      <c r="U44" s="277">
        <v>172197.5481418882</v>
      </c>
      <c r="V44" s="275">
        <v>5365</v>
      </c>
      <c r="W44" s="275">
        <v>943.616353</v>
      </c>
      <c r="X44" s="275">
        <v>175883.75638397021</v>
      </c>
      <c r="Y44" s="275">
        <v>5504</v>
      </c>
      <c r="Z44" s="275">
        <v>923.87413400000003</v>
      </c>
      <c r="AA44" s="275">
        <v>167855.03888081401</v>
      </c>
      <c r="AB44" s="278">
        <v>10869</v>
      </c>
      <c r="AC44" s="278">
        <v>1867.490487</v>
      </c>
      <c r="AD44" s="278">
        <v>171818.0593430858</v>
      </c>
      <c r="AE44" s="275">
        <v>5377.333333333333</v>
      </c>
      <c r="AF44" s="275">
        <v>2845.759410173418</v>
      </c>
      <c r="AG44" s="275">
        <v>176403.90347038419</v>
      </c>
      <c r="AH44" s="275">
        <v>5504.333333333333</v>
      </c>
      <c r="AI44" s="275">
        <v>2775.164931308494</v>
      </c>
      <c r="AJ44" s="275">
        <v>168059.29996238751</v>
      </c>
      <c r="AK44" s="279">
        <v>10881.66666666667</v>
      </c>
      <c r="AL44" s="279">
        <v>5620.924341481913</v>
      </c>
      <c r="AM44" s="279">
        <v>172182.9901618291</v>
      </c>
    </row>
    <row r="45" spans="2:39" ht="17.25" x14ac:dyDescent="0.25">
      <c r="B45" s="428" t="s">
        <v>509</v>
      </c>
      <c r="C45" s="269" t="s">
        <v>887</v>
      </c>
      <c r="D45" s="275">
        <v>169989</v>
      </c>
      <c r="E45" s="275">
        <v>36363.567338160799</v>
      </c>
      <c r="F45" s="275">
        <v>213917.17898311539</v>
      </c>
      <c r="G45" s="275">
        <v>119301</v>
      </c>
      <c r="H45" s="275">
        <v>25070.191664428308</v>
      </c>
      <c r="I45" s="275">
        <v>210142.3430183176</v>
      </c>
      <c r="J45" s="276">
        <v>289290</v>
      </c>
      <c r="K45" s="276">
        <v>61433.759002589111</v>
      </c>
      <c r="L45" s="276">
        <v>212360.4652860075</v>
      </c>
      <c r="M45" s="275">
        <v>170248</v>
      </c>
      <c r="N45" s="275">
        <v>36325.1334685326</v>
      </c>
      <c r="O45" s="275">
        <v>213365.99236720899</v>
      </c>
      <c r="P45" s="275">
        <v>119454</v>
      </c>
      <c r="Q45" s="275">
        <v>25038.159724543631</v>
      </c>
      <c r="R45" s="275">
        <v>209605.033942301</v>
      </c>
      <c r="S45" s="277">
        <v>289702</v>
      </c>
      <c r="T45" s="277">
        <v>61363.293193076228</v>
      </c>
      <c r="U45" s="277">
        <v>211815.22113439409</v>
      </c>
      <c r="V45" s="275">
        <v>170538</v>
      </c>
      <c r="W45" s="275">
        <v>36345.137162999999</v>
      </c>
      <c r="X45" s="275">
        <v>213120.46091193749</v>
      </c>
      <c r="Y45" s="275">
        <v>119646</v>
      </c>
      <c r="Z45" s="275">
        <v>25053.366751000001</v>
      </c>
      <c r="AA45" s="275">
        <v>209395.77379101681</v>
      </c>
      <c r="AB45" s="278">
        <v>290184</v>
      </c>
      <c r="AC45" s="278">
        <v>61398.503914000001</v>
      </c>
      <c r="AD45" s="278">
        <v>211584.732149257</v>
      </c>
      <c r="AE45" s="275">
        <v>170258.33333333331</v>
      </c>
      <c r="AF45" s="275">
        <v>109033.8379696934</v>
      </c>
      <c r="AG45" s="275">
        <v>213467.877420754</v>
      </c>
      <c r="AH45" s="275">
        <v>119467</v>
      </c>
      <c r="AI45" s="275">
        <v>75161.718139971941</v>
      </c>
      <c r="AJ45" s="275">
        <v>209714.38358387849</v>
      </c>
      <c r="AK45" s="279">
        <v>289725.33333333331</v>
      </c>
      <c r="AL45" s="279">
        <v>184195.55610966531</v>
      </c>
      <c r="AM45" s="279">
        <v>211920.13952321949</v>
      </c>
    </row>
    <row r="46" spans="2:39" ht="17.25" x14ac:dyDescent="0.25">
      <c r="B46" s="426" t="s">
        <v>517</v>
      </c>
      <c r="C46" s="269" t="s">
        <v>840</v>
      </c>
      <c r="D46" s="275">
        <v>115351</v>
      </c>
      <c r="E46" s="275">
        <v>24699.260584203999</v>
      </c>
      <c r="F46" s="275">
        <v>214122.63945873029</v>
      </c>
      <c r="G46" s="275">
        <v>40151</v>
      </c>
      <c r="H46" s="275">
        <v>8612.6147550829573</v>
      </c>
      <c r="I46" s="275">
        <v>214505.61019857429</v>
      </c>
      <c r="J46" s="276">
        <v>155502</v>
      </c>
      <c r="K46" s="276">
        <v>33311.875339286962</v>
      </c>
      <c r="L46" s="276">
        <v>214221.5234484892</v>
      </c>
      <c r="M46" s="275">
        <v>115817</v>
      </c>
      <c r="N46" s="275">
        <v>24729.036741349111</v>
      </c>
      <c r="O46" s="275">
        <v>213518.19457721329</v>
      </c>
      <c r="P46" s="275">
        <v>40297</v>
      </c>
      <c r="Q46" s="275">
        <v>8621.6566611677827</v>
      </c>
      <c r="R46" s="275">
        <v>213952.8168639795</v>
      </c>
      <c r="S46" s="277">
        <v>156114</v>
      </c>
      <c r="T46" s="277">
        <v>33350.693402516888</v>
      </c>
      <c r="U46" s="277">
        <v>213630.3816603052</v>
      </c>
      <c r="V46" s="275">
        <v>140300</v>
      </c>
      <c r="W46" s="275">
        <v>29914.748872</v>
      </c>
      <c r="X46" s="275">
        <v>213219.87791874559</v>
      </c>
      <c r="Y46" s="275">
        <v>48520</v>
      </c>
      <c r="Z46" s="275">
        <v>10375.087321999999</v>
      </c>
      <c r="AA46" s="275">
        <v>213831.14843363559</v>
      </c>
      <c r="AB46" s="278">
        <v>188820</v>
      </c>
      <c r="AC46" s="278">
        <v>40289.836194000003</v>
      </c>
      <c r="AD46" s="278">
        <v>213376.95262154439</v>
      </c>
      <c r="AE46" s="275">
        <v>123822.6666666667</v>
      </c>
      <c r="AF46" s="275">
        <v>79343.046197553107</v>
      </c>
      <c r="AG46" s="275">
        <v>213620.23731822969</v>
      </c>
      <c r="AH46" s="275">
        <v>42989.333333333343</v>
      </c>
      <c r="AI46" s="275">
        <v>27609.358738250739</v>
      </c>
      <c r="AJ46" s="275">
        <v>214096.52516539651</v>
      </c>
      <c r="AK46" s="279">
        <v>166812</v>
      </c>
      <c r="AL46" s="279">
        <v>106952.4049358038</v>
      </c>
      <c r="AM46" s="279">
        <v>213742.95257677959</v>
      </c>
    </row>
    <row r="47" spans="2:39" ht="17.25" x14ac:dyDescent="0.25">
      <c r="B47" s="427" t="s">
        <v>517</v>
      </c>
      <c r="C47" s="269" t="s">
        <v>886</v>
      </c>
      <c r="D47" s="275">
        <v>341934</v>
      </c>
      <c r="E47" s="275">
        <v>72356.499968622898</v>
      </c>
      <c r="F47" s="275">
        <v>211609.55028930411</v>
      </c>
      <c r="G47" s="275">
        <v>270335</v>
      </c>
      <c r="H47" s="275">
        <v>56629.127503694202</v>
      </c>
      <c r="I47" s="275">
        <v>209477.6018780187</v>
      </c>
      <c r="J47" s="276">
        <v>612269</v>
      </c>
      <c r="K47" s="276">
        <v>128985.62747231709</v>
      </c>
      <c r="L47" s="276">
        <v>210668.23156540189</v>
      </c>
      <c r="M47" s="275">
        <v>343718</v>
      </c>
      <c r="N47" s="275">
        <v>72536.204324622959</v>
      </c>
      <c r="O47" s="275">
        <v>211034.05793302349</v>
      </c>
      <c r="P47" s="275">
        <v>272059</v>
      </c>
      <c r="Q47" s="275">
        <v>56839.470202857527</v>
      </c>
      <c r="R47" s="275">
        <v>208923.32252510489</v>
      </c>
      <c r="S47" s="277">
        <v>615777</v>
      </c>
      <c r="T47" s="277">
        <v>129375.6745274805</v>
      </c>
      <c r="U47" s="277">
        <v>210101.50513494411</v>
      </c>
      <c r="V47" s="275">
        <v>321473</v>
      </c>
      <c r="W47" s="275">
        <v>67708.274197000006</v>
      </c>
      <c r="X47" s="275">
        <v>210618.8519626843</v>
      </c>
      <c r="Y47" s="275">
        <v>265985</v>
      </c>
      <c r="Z47" s="275">
        <v>55475.689484000002</v>
      </c>
      <c r="AA47" s="275">
        <v>208566.98492020229</v>
      </c>
      <c r="AB47" s="278">
        <v>587458</v>
      </c>
      <c r="AC47" s="278">
        <v>123183.96368099999</v>
      </c>
      <c r="AD47" s="278">
        <v>209689.82238900481</v>
      </c>
      <c r="AE47" s="275">
        <v>335708.33333333331</v>
      </c>
      <c r="AF47" s="275">
        <v>212600.97849024591</v>
      </c>
      <c r="AG47" s="275">
        <v>211087.4867283373</v>
      </c>
      <c r="AH47" s="275">
        <v>269459.66666666669</v>
      </c>
      <c r="AI47" s="275">
        <v>168944.28719055169</v>
      </c>
      <c r="AJ47" s="275">
        <v>208989.30310777531</v>
      </c>
      <c r="AK47" s="279">
        <v>605168</v>
      </c>
      <c r="AL47" s="279">
        <v>381545.26568079757</v>
      </c>
      <c r="AM47" s="279">
        <v>210153.18636311701</v>
      </c>
    </row>
    <row r="48" spans="2:39" ht="17.25" x14ac:dyDescent="0.25">
      <c r="B48" s="427" t="s">
        <v>517</v>
      </c>
      <c r="C48" s="269" t="s">
        <v>842</v>
      </c>
      <c r="D48" s="275">
        <v>44018</v>
      </c>
      <c r="E48" s="275">
        <v>10941.90215553031</v>
      </c>
      <c r="F48" s="275">
        <v>248577.90348335481</v>
      </c>
      <c r="G48" s="275">
        <v>19070</v>
      </c>
      <c r="H48" s="275">
        <v>4853.8868369730944</v>
      </c>
      <c r="I48" s="275">
        <v>254529.98620729381</v>
      </c>
      <c r="J48" s="276">
        <v>63088</v>
      </c>
      <c r="K48" s="276">
        <v>15795.788992503411</v>
      </c>
      <c r="L48" s="276">
        <v>250377.07634579329</v>
      </c>
      <c r="M48" s="275">
        <v>43866</v>
      </c>
      <c r="N48" s="275">
        <v>10885.212850037031</v>
      </c>
      <c r="O48" s="275">
        <v>248146.92130663909</v>
      </c>
      <c r="P48" s="275">
        <v>18935</v>
      </c>
      <c r="Q48" s="275">
        <v>4814.8697880992922</v>
      </c>
      <c r="R48" s="275">
        <v>254284.11872718731</v>
      </c>
      <c r="S48" s="277">
        <v>62801</v>
      </c>
      <c r="T48" s="277">
        <v>15700.08263813632</v>
      </c>
      <c r="U48" s="277">
        <v>249997.3350446063</v>
      </c>
      <c r="V48" s="275">
        <v>43739</v>
      </c>
      <c r="W48" s="275">
        <v>10847.156849000001</v>
      </c>
      <c r="X48" s="275">
        <v>247997.36731521069</v>
      </c>
      <c r="Y48" s="275">
        <v>18801</v>
      </c>
      <c r="Z48" s="275">
        <v>4780.6329539999997</v>
      </c>
      <c r="AA48" s="275">
        <v>254275.46162438171</v>
      </c>
      <c r="AB48" s="278">
        <v>62540</v>
      </c>
      <c r="AC48" s="278">
        <v>15627.789803</v>
      </c>
      <c r="AD48" s="278">
        <v>249884.71063319471</v>
      </c>
      <c r="AE48" s="275">
        <v>43874.333333333343</v>
      </c>
      <c r="AF48" s="275">
        <v>32674.271854567349</v>
      </c>
      <c r="AG48" s="275">
        <v>248240.73070173489</v>
      </c>
      <c r="AH48" s="275">
        <v>18935.333333333328</v>
      </c>
      <c r="AI48" s="275">
        <v>14449.389579072389</v>
      </c>
      <c r="AJ48" s="275">
        <v>254363.18885295431</v>
      </c>
      <c r="AK48" s="279">
        <v>62809.666666666657</v>
      </c>
      <c r="AL48" s="279">
        <v>47123.661433639732</v>
      </c>
      <c r="AM48" s="279">
        <v>250086.3740078648</v>
      </c>
    </row>
    <row r="49" spans="2:39" x14ac:dyDescent="0.25">
      <c r="B49" s="427" t="s">
        <v>517</v>
      </c>
      <c r="C49" s="269" t="s">
        <v>847</v>
      </c>
      <c r="D49" s="275">
        <v>35061</v>
      </c>
      <c r="E49" s="275">
        <v>7534.4396552652888</v>
      </c>
      <c r="F49" s="275">
        <v>214895.17284918539</v>
      </c>
      <c r="G49" s="275">
        <v>28117</v>
      </c>
      <c r="H49" s="275">
        <v>6043.135743342159</v>
      </c>
      <c r="I49" s="275">
        <v>214928.18377999641</v>
      </c>
      <c r="J49" s="276">
        <v>63178</v>
      </c>
      <c r="K49" s="276">
        <v>13577.575398607451</v>
      </c>
      <c r="L49" s="276">
        <v>214909.8641711901</v>
      </c>
      <c r="M49" s="275">
        <v>35230</v>
      </c>
      <c r="N49" s="275">
        <v>7551.8168494653282</v>
      </c>
      <c r="O49" s="275">
        <v>214357.56030273429</v>
      </c>
      <c r="P49" s="275">
        <v>28289</v>
      </c>
      <c r="Q49" s="275">
        <v>6064.4860538278426</v>
      </c>
      <c r="R49" s="275">
        <v>214376.11982847899</v>
      </c>
      <c r="S49" s="277">
        <v>63519</v>
      </c>
      <c r="T49" s="277">
        <v>13616.30290329317</v>
      </c>
      <c r="U49" s="277">
        <v>214365.8260251763</v>
      </c>
      <c r="V49" s="275">
        <v>35407</v>
      </c>
      <c r="W49" s="275">
        <v>7583.3069910000004</v>
      </c>
      <c r="X49" s="275">
        <v>214175.3605501737</v>
      </c>
      <c r="Y49" s="275">
        <v>28397</v>
      </c>
      <c r="Z49" s="275">
        <v>6082.3119710000001</v>
      </c>
      <c r="AA49" s="275">
        <v>214188.54002183329</v>
      </c>
      <c r="AB49" s="278">
        <v>63804</v>
      </c>
      <c r="AC49" s="278">
        <v>13665.618962</v>
      </c>
      <c r="AD49" s="278">
        <v>214181.2262867532</v>
      </c>
      <c r="AE49" s="275">
        <v>35232.666666666657</v>
      </c>
      <c r="AF49" s="275">
        <v>22669.563495730621</v>
      </c>
      <c r="AG49" s="275">
        <v>214476.03123403111</v>
      </c>
      <c r="AH49" s="275">
        <v>28267.666666666672</v>
      </c>
      <c r="AI49" s="275">
        <v>18189.933768170002</v>
      </c>
      <c r="AJ49" s="275">
        <v>214497.61454343621</v>
      </c>
      <c r="AK49" s="279">
        <v>63500.333333333343</v>
      </c>
      <c r="AL49" s="279">
        <v>40859.497263900623</v>
      </c>
      <c r="AM49" s="279">
        <v>214485.63882770651</v>
      </c>
    </row>
    <row r="50" spans="2:39" x14ac:dyDescent="0.25">
      <c r="B50" s="427" t="s">
        <v>517</v>
      </c>
      <c r="C50" s="269" t="s">
        <v>848</v>
      </c>
      <c r="D50" s="275">
        <v>16276</v>
      </c>
      <c r="E50" s="275">
        <v>2971.9619866203971</v>
      </c>
      <c r="F50" s="275">
        <v>182597.81190835571</v>
      </c>
      <c r="G50" s="275">
        <v>15439</v>
      </c>
      <c r="H50" s="275">
        <v>2633.0295372935202</v>
      </c>
      <c r="I50" s="275">
        <v>170544.04671892739</v>
      </c>
      <c r="J50" s="276">
        <v>31715</v>
      </c>
      <c r="K50" s="276">
        <v>5604.9915239139173</v>
      </c>
      <c r="L50" s="276">
        <v>176729.98656515591</v>
      </c>
      <c r="M50" s="275">
        <v>16375</v>
      </c>
      <c r="N50" s="275">
        <v>2977.534502579691</v>
      </c>
      <c r="O50" s="275">
        <v>181834.16809646969</v>
      </c>
      <c r="P50" s="275">
        <v>15544</v>
      </c>
      <c r="Q50" s="275">
        <v>2640.90878376917</v>
      </c>
      <c r="R50" s="275">
        <v>169898.9181529317</v>
      </c>
      <c r="S50" s="277">
        <v>31919</v>
      </c>
      <c r="T50" s="277">
        <v>5618.443286348861</v>
      </c>
      <c r="U50" s="277">
        <v>176021.90815341519</v>
      </c>
      <c r="V50" s="275">
        <v>16426</v>
      </c>
      <c r="W50" s="275">
        <v>2978.8908379999998</v>
      </c>
      <c r="X50" s="275">
        <v>181352.1756970656</v>
      </c>
      <c r="Y50" s="275">
        <v>15648</v>
      </c>
      <c r="Z50" s="275">
        <v>2652.7697750000002</v>
      </c>
      <c r="AA50" s="275">
        <v>169527.72079498979</v>
      </c>
      <c r="AB50" s="278">
        <v>32074</v>
      </c>
      <c r="AC50" s="278">
        <v>5631.660613</v>
      </c>
      <c r="AD50" s="278">
        <v>175583.35764170359</v>
      </c>
      <c r="AE50" s="275">
        <v>16359</v>
      </c>
      <c r="AF50" s="275">
        <v>8928.3873272000874</v>
      </c>
      <c r="AG50" s="275">
        <v>181928.05190063029</v>
      </c>
      <c r="AH50" s="275">
        <v>15543.66666666667</v>
      </c>
      <c r="AI50" s="275">
        <v>7926.7080960626899</v>
      </c>
      <c r="AJ50" s="275">
        <v>169990.22855561631</v>
      </c>
      <c r="AK50" s="279">
        <v>31902.666666666672</v>
      </c>
      <c r="AL50" s="279">
        <v>16855.095423262781</v>
      </c>
      <c r="AM50" s="279">
        <v>176111.7507867582</v>
      </c>
    </row>
    <row r="51" spans="2:39" ht="17.25" x14ac:dyDescent="0.25">
      <c r="B51" s="428" t="s">
        <v>517</v>
      </c>
      <c r="C51" s="269" t="s">
        <v>887</v>
      </c>
      <c r="D51" s="275">
        <v>552640</v>
      </c>
      <c r="E51" s="275">
        <v>118504.0643502429</v>
      </c>
      <c r="F51" s="275">
        <v>214432.65842183499</v>
      </c>
      <c r="G51" s="275">
        <v>373112</v>
      </c>
      <c r="H51" s="275">
        <v>78771.794376385937</v>
      </c>
      <c r="I51" s="275">
        <v>211121.04241189221</v>
      </c>
      <c r="J51" s="276">
        <v>925752</v>
      </c>
      <c r="K51" s="276">
        <v>197275.85872662879</v>
      </c>
      <c r="L51" s="276">
        <v>213097.95574476619</v>
      </c>
      <c r="M51" s="275">
        <v>555006</v>
      </c>
      <c r="N51" s="275">
        <v>118679.8052680541</v>
      </c>
      <c r="O51" s="275">
        <v>213835.17523784269</v>
      </c>
      <c r="P51" s="275">
        <v>375124</v>
      </c>
      <c r="Q51" s="275">
        <v>78981.391489721616</v>
      </c>
      <c r="R51" s="275">
        <v>210547.42295806619</v>
      </c>
      <c r="S51" s="277">
        <v>930130</v>
      </c>
      <c r="T51" s="277">
        <v>197661.1967577757</v>
      </c>
      <c r="U51" s="277">
        <v>212509.21565563491</v>
      </c>
      <c r="V51" s="275">
        <v>557345</v>
      </c>
      <c r="W51" s="275">
        <v>119032.37774700001</v>
      </c>
      <c r="X51" s="275">
        <v>213570.36978352731</v>
      </c>
      <c r="Y51" s="275">
        <v>377351</v>
      </c>
      <c r="Z51" s="275">
        <v>79366.491506000006</v>
      </c>
      <c r="AA51" s="275">
        <v>210325.3774496424</v>
      </c>
      <c r="AB51" s="278">
        <v>934696</v>
      </c>
      <c r="AC51" s="278">
        <v>198398.86925300001</v>
      </c>
      <c r="AD51" s="278">
        <v>212260.3169939745</v>
      </c>
      <c r="AE51" s="275">
        <v>554997</v>
      </c>
      <c r="AF51" s="275">
        <v>356216.24736529711</v>
      </c>
      <c r="AG51" s="275">
        <v>213946.0678144017</v>
      </c>
      <c r="AH51" s="275">
        <v>375195.66666666669</v>
      </c>
      <c r="AI51" s="275">
        <v>237119.6773721076</v>
      </c>
      <c r="AJ51" s="275">
        <v>210664.61427320031</v>
      </c>
      <c r="AK51" s="279">
        <v>930192.66666666663</v>
      </c>
      <c r="AL51" s="279">
        <v>593335.92473740457</v>
      </c>
      <c r="AM51" s="279">
        <v>212622.49613145861</v>
      </c>
    </row>
    <row r="52" spans="2:39" ht="17.25" x14ac:dyDescent="0.25">
      <c r="B52" s="426" t="s">
        <v>831</v>
      </c>
      <c r="C52" s="269" t="s">
        <v>840</v>
      </c>
      <c r="D52" s="275">
        <v>17779</v>
      </c>
      <c r="E52" s="275">
        <v>3794.3551080848219</v>
      </c>
      <c r="F52" s="275">
        <v>213417.80235585931</v>
      </c>
      <c r="G52" s="275">
        <v>6561</v>
      </c>
      <c r="H52" s="275">
        <v>1407.4324860174861</v>
      </c>
      <c r="I52" s="275">
        <v>214514.9346162912</v>
      </c>
      <c r="J52" s="276">
        <v>24340</v>
      </c>
      <c r="K52" s="276">
        <v>5201.7875941023094</v>
      </c>
      <c r="L52" s="276">
        <v>213713.5412531762</v>
      </c>
      <c r="M52" s="275">
        <v>17867</v>
      </c>
      <c r="N52" s="275">
        <v>3802.453738268985</v>
      </c>
      <c r="O52" s="275">
        <v>212819.93274019059</v>
      </c>
      <c r="P52" s="275">
        <v>6583</v>
      </c>
      <c r="Q52" s="275">
        <v>1408.5837209901831</v>
      </c>
      <c r="R52" s="275">
        <v>213972.9182728517</v>
      </c>
      <c r="S52" s="277">
        <v>24450</v>
      </c>
      <c r="T52" s="277">
        <v>5211.037459259167</v>
      </c>
      <c r="U52" s="277">
        <v>213130.36643186779</v>
      </c>
      <c r="V52" s="275">
        <v>23082</v>
      </c>
      <c r="W52" s="275">
        <v>4907.6485210000001</v>
      </c>
      <c r="X52" s="275">
        <v>212617.99328481071</v>
      </c>
      <c r="Y52" s="275">
        <v>8381</v>
      </c>
      <c r="Z52" s="275">
        <v>1792.4761040000001</v>
      </c>
      <c r="AA52" s="275">
        <v>213873.77448991771</v>
      </c>
      <c r="AB52" s="278">
        <v>31463</v>
      </c>
      <c r="AC52" s="278">
        <v>6700.1246250000004</v>
      </c>
      <c r="AD52" s="278">
        <v>212952.50373454529</v>
      </c>
      <c r="AE52" s="275">
        <v>19576</v>
      </c>
      <c r="AF52" s="275">
        <v>12504.457367353811</v>
      </c>
      <c r="AG52" s="275">
        <v>212951.90946028681</v>
      </c>
      <c r="AH52" s="275">
        <v>7175</v>
      </c>
      <c r="AI52" s="275">
        <v>4608.4923110076688</v>
      </c>
      <c r="AJ52" s="275">
        <v>214120.54245968681</v>
      </c>
      <c r="AK52" s="279">
        <v>26751</v>
      </c>
      <c r="AL52" s="279">
        <v>17112.94967836147</v>
      </c>
      <c r="AM52" s="279">
        <v>213265.47047319639</v>
      </c>
    </row>
    <row r="53" spans="2:39" ht="17.25" x14ac:dyDescent="0.25">
      <c r="B53" s="427" t="s">
        <v>831</v>
      </c>
      <c r="C53" s="269" t="s">
        <v>886</v>
      </c>
      <c r="D53" s="275">
        <v>48277</v>
      </c>
      <c r="E53" s="275">
        <v>10226.56159531857</v>
      </c>
      <c r="F53" s="275">
        <v>211830.9256026384</v>
      </c>
      <c r="G53" s="275">
        <v>45820</v>
      </c>
      <c r="H53" s="275">
        <v>9558.6125159346448</v>
      </c>
      <c r="I53" s="275">
        <v>208612.23299726419</v>
      </c>
      <c r="J53" s="276">
        <v>94097</v>
      </c>
      <c r="K53" s="276">
        <v>19785.174111253222</v>
      </c>
      <c r="L53" s="276">
        <v>210263.60150964669</v>
      </c>
      <c r="M53" s="275">
        <v>48416</v>
      </c>
      <c r="N53" s="275">
        <v>10227.61326679294</v>
      </c>
      <c r="O53" s="275">
        <v>211244.49080454689</v>
      </c>
      <c r="P53" s="275">
        <v>45961</v>
      </c>
      <c r="Q53" s="275">
        <v>9564.1980176926863</v>
      </c>
      <c r="R53" s="275">
        <v>208093.77554214851</v>
      </c>
      <c r="S53" s="277">
        <v>94377</v>
      </c>
      <c r="T53" s="277">
        <v>19791.81128448563</v>
      </c>
      <c r="U53" s="277">
        <v>209710.1124689875</v>
      </c>
      <c r="V53" s="275">
        <v>43426</v>
      </c>
      <c r="W53" s="275">
        <v>9153.8450009999997</v>
      </c>
      <c r="X53" s="275">
        <v>210791.80677474331</v>
      </c>
      <c r="Y53" s="275">
        <v>44357</v>
      </c>
      <c r="Z53" s="275">
        <v>9209.7707609999998</v>
      </c>
      <c r="AA53" s="275">
        <v>207628.3509029015</v>
      </c>
      <c r="AB53" s="278">
        <v>87783</v>
      </c>
      <c r="AC53" s="278">
        <v>18363.615762000001</v>
      </c>
      <c r="AD53" s="278">
        <v>209193.30350979121</v>
      </c>
      <c r="AE53" s="275">
        <v>46706.333333333343</v>
      </c>
      <c r="AF53" s="275">
        <v>29608.01986311152</v>
      </c>
      <c r="AG53" s="275">
        <v>211289.07439397619</v>
      </c>
      <c r="AH53" s="275">
        <v>45379.333333333343</v>
      </c>
      <c r="AI53" s="275">
        <v>28332.581294627329</v>
      </c>
      <c r="AJ53" s="275">
        <v>208111.45314743801</v>
      </c>
      <c r="AK53" s="279">
        <v>92085.666666666672</v>
      </c>
      <c r="AL53" s="279">
        <v>57940.601157738864</v>
      </c>
      <c r="AM53" s="279">
        <v>209722.33916280841</v>
      </c>
    </row>
    <row r="54" spans="2:39" ht="17.25" x14ac:dyDescent="0.25">
      <c r="B54" s="427" t="s">
        <v>831</v>
      </c>
      <c r="C54" s="269" t="s">
        <v>842</v>
      </c>
      <c r="D54" s="275">
        <v>6058</v>
      </c>
      <c r="E54" s="275">
        <v>1487.619311006365</v>
      </c>
      <c r="F54" s="275">
        <v>245562.77831072381</v>
      </c>
      <c r="G54" s="275">
        <v>3494</v>
      </c>
      <c r="H54" s="275">
        <v>883.12857462106956</v>
      </c>
      <c r="I54" s="275">
        <v>252755.74545537191</v>
      </c>
      <c r="J54" s="276">
        <v>9552</v>
      </c>
      <c r="K54" s="276">
        <v>2370.7478856274352</v>
      </c>
      <c r="L54" s="276">
        <v>248193.87412347519</v>
      </c>
      <c r="M54" s="275">
        <v>6041</v>
      </c>
      <c r="N54" s="275">
        <v>1481.1451093040739</v>
      </c>
      <c r="O54" s="275">
        <v>245182.1071518083</v>
      </c>
      <c r="P54" s="275">
        <v>3473</v>
      </c>
      <c r="Q54" s="275">
        <v>876.66697215835541</v>
      </c>
      <c r="R54" s="275">
        <v>252423.54510750229</v>
      </c>
      <c r="S54" s="277">
        <v>9514</v>
      </c>
      <c r="T54" s="277">
        <v>2357.812081462429</v>
      </c>
      <c r="U54" s="277">
        <v>247825.52884826879</v>
      </c>
      <c r="V54" s="275">
        <v>6029</v>
      </c>
      <c r="W54" s="275">
        <v>1476.829019</v>
      </c>
      <c r="X54" s="275">
        <v>244954.22441532591</v>
      </c>
      <c r="Y54" s="275">
        <v>3448</v>
      </c>
      <c r="Z54" s="275">
        <v>870.328394</v>
      </c>
      <c r="AA54" s="275">
        <v>252415.42749419951</v>
      </c>
      <c r="AB54" s="278">
        <v>9477</v>
      </c>
      <c r="AC54" s="278">
        <v>2347.1574129999999</v>
      </c>
      <c r="AD54" s="278">
        <v>247668.82061833909</v>
      </c>
      <c r="AE54" s="275">
        <v>6042.666666666667</v>
      </c>
      <c r="AF54" s="275">
        <v>4445.593439310439</v>
      </c>
      <c r="AG54" s="275">
        <v>245233.03662595269</v>
      </c>
      <c r="AH54" s="275">
        <v>3471.666666666667</v>
      </c>
      <c r="AI54" s="275">
        <v>2630.1239407794251</v>
      </c>
      <c r="AJ54" s="275">
        <v>252531.57268569121</v>
      </c>
      <c r="AK54" s="279">
        <v>9514.3333333333339</v>
      </c>
      <c r="AL54" s="279">
        <v>7075.7173800898636</v>
      </c>
      <c r="AM54" s="279">
        <v>247896.07453002769</v>
      </c>
    </row>
    <row r="55" spans="2:39" x14ac:dyDescent="0.25">
      <c r="B55" s="427" t="s">
        <v>831</v>
      </c>
      <c r="C55" s="269" t="s">
        <v>847</v>
      </c>
      <c r="D55" s="275">
        <v>5836</v>
      </c>
      <c r="E55" s="275">
        <v>1253.8180447795171</v>
      </c>
      <c r="F55" s="275">
        <v>214842.02275180211</v>
      </c>
      <c r="G55" s="275">
        <v>4541</v>
      </c>
      <c r="H55" s="275">
        <v>975.27057890126866</v>
      </c>
      <c r="I55" s="275">
        <v>214770.00196020011</v>
      </c>
      <c r="J55" s="276">
        <v>10377</v>
      </c>
      <c r="K55" s="276">
        <v>2229.088623680786</v>
      </c>
      <c r="L55" s="276">
        <v>214810.50628127449</v>
      </c>
      <c r="M55" s="275">
        <v>5849</v>
      </c>
      <c r="N55" s="275">
        <v>1253.4110314230429</v>
      </c>
      <c r="O55" s="275">
        <v>214294.9275813034</v>
      </c>
      <c r="P55" s="275">
        <v>4553</v>
      </c>
      <c r="Q55" s="275">
        <v>975.35894882901277</v>
      </c>
      <c r="R55" s="275">
        <v>214223.3579681557</v>
      </c>
      <c r="S55" s="277">
        <v>10402</v>
      </c>
      <c r="T55" s="277">
        <v>2228.769980252056</v>
      </c>
      <c r="U55" s="277">
        <v>214263.6012547641</v>
      </c>
      <c r="V55" s="275">
        <v>5860</v>
      </c>
      <c r="W55" s="275">
        <v>1254.4870880000001</v>
      </c>
      <c r="X55" s="275">
        <v>214076.29488054611</v>
      </c>
      <c r="Y55" s="275">
        <v>4582</v>
      </c>
      <c r="Z55" s="275">
        <v>980.71822399999996</v>
      </c>
      <c r="AA55" s="275">
        <v>214037.15058926231</v>
      </c>
      <c r="AB55" s="278">
        <v>10442</v>
      </c>
      <c r="AC55" s="278">
        <v>2235.205312</v>
      </c>
      <c r="AD55" s="278">
        <v>214059.11817659461</v>
      </c>
      <c r="AE55" s="275">
        <v>5848.333333333333</v>
      </c>
      <c r="AF55" s="275">
        <v>3761.7161642025599</v>
      </c>
      <c r="AG55" s="275">
        <v>214404.4150712172</v>
      </c>
      <c r="AH55" s="275">
        <v>4558.666666666667</v>
      </c>
      <c r="AI55" s="275">
        <v>2931.3477517302808</v>
      </c>
      <c r="AJ55" s="275">
        <v>214343.50350587271</v>
      </c>
      <c r="AK55" s="279">
        <v>10407</v>
      </c>
      <c r="AL55" s="279">
        <v>6693.0639159328421</v>
      </c>
      <c r="AM55" s="279">
        <v>214377.74190421111</v>
      </c>
    </row>
    <row r="56" spans="2:39" x14ac:dyDescent="0.25">
      <c r="B56" s="427" t="s">
        <v>831</v>
      </c>
      <c r="C56" s="269" t="s">
        <v>848</v>
      </c>
      <c r="D56" s="275">
        <v>3544</v>
      </c>
      <c r="E56" s="275">
        <v>638.75897748357704</v>
      </c>
      <c r="F56" s="275">
        <v>180236.73179559171</v>
      </c>
      <c r="G56" s="275">
        <v>3418</v>
      </c>
      <c r="H56" s="275">
        <v>568.94504739989918</v>
      </c>
      <c r="I56" s="275">
        <v>166455.54341717361</v>
      </c>
      <c r="J56" s="276">
        <v>6962</v>
      </c>
      <c r="K56" s="276">
        <v>1207.704024883476</v>
      </c>
      <c r="L56" s="276">
        <v>173470.8452863367</v>
      </c>
      <c r="M56" s="275">
        <v>3544</v>
      </c>
      <c r="N56" s="275">
        <v>637.82464626596686</v>
      </c>
      <c r="O56" s="275">
        <v>179973.0943188394</v>
      </c>
      <c r="P56" s="275">
        <v>3432</v>
      </c>
      <c r="Q56" s="275">
        <v>569.54254953555062</v>
      </c>
      <c r="R56" s="275">
        <v>165950.6263215474</v>
      </c>
      <c r="S56" s="277">
        <v>6976</v>
      </c>
      <c r="T56" s="277">
        <v>1207.367195801517</v>
      </c>
      <c r="U56" s="277">
        <v>173074.42600365789</v>
      </c>
      <c r="V56" s="275">
        <v>3542</v>
      </c>
      <c r="W56" s="275">
        <v>636.47948099999996</v>
      </c>
      <c r="X56" s="275">
        <v>179694.9409937888</v>
      </c>
      <c r="Y56" s="275">
        <v>3446</v>
      </c>
      <c r="Z56" s="275">
        <v>570.36862499999995</v>
      </c>
      <c r="AA56" s="275">
        <v>165516.14190365639</v>
      </c>
      <c r="AB56" s="278">
        <v>6988</v>
      </c>
      <c r="AC56" s="278">
        <v>1206.8481059999999</v>
      </c>
      <c r="AD56" s="278">
        <v>172702.93445907271</v>
      </c>
      <c r="AE56" s="275">
        <v>3543.333333333333</v>
      </c>
      <c r="AF56" s="275">
        <v>1913.063104749544</v>
      </c>
      <c r="AG56" s="275">
        <v>179968.25570273999</v>
      </c>
      <c r="AH56" s="275">
        <v>3432</v>
      </c>
      <c r="AI56" s="275">
        <v>1708.8562219354501</v>
      </c>
      <c r="AJ56" s="275">
        <v>165974.10388079239</v>
      </c>
      <c r="AK56" s="279">
        <v>6975.333333333333</v>
      </c>
      <c r="AL56" s="279">
        <v>3621.9193266849929</v>
      </c>
      <c r="AM56" s="279">
        <v>173082.73524968911</v>
      </c>
    </row>
    <row r="57" spans="2:39" ht="17.25" x14ac:dyDescent="0.25">
      <c r="B57" s="428" t="s">
        <v>831</v>
      </c>
      <c r="C57" s="269" t="s">
        <v>887</v>
      </c>
      <c r="D57" s="275">
        <v>81494</v>
      </c>
      <c r="E57" s="275">
        <v>17401.113036672861</v>
      </c>
      <c r="F57" s="275">
        <v>213526.30913530881</v>
      </c>
      <c r="G57" s="275">
        <v>63834</v>
      </c>
      <c r="H57" s="275">
        <v>13393.38920287437</v>
      </c>
      <c r="I57" s="275">
        <v>209815.91632788751</v>
      </c>
      <c r="J57" s="276">
        <v>145328</v>
      </c>
      <c r="K57" s="276">
        <v>30794.50223954723</v>
      </c>
      <c r="L57" s="276">
        <v>211896.55289790829</v>
      </c>
      <c r="M57" s="275">
        <v>81717</v>
      </c>
      <c r="N57" s="275">
        <v>17402.447792055009</v>
      </c>
      <c r="O57" s="275">
        <v>212959.9445899264</v>
      </c>
      <c r="P57" s="275">
        <v>64002</v>
      </c>
      <c r="Q57" s="275">
        <v>13394.35020920579</v>
      </c>
      <c r="R57" s="275">
        <v>209280.18201315249</v>
      </c>
      <c r="S57" s="277">
        <v>145719</v>
      </c>
      <c r="T57" s="277">
        <v>30796.798001260799</v>
      </c>
      <c r="U57" s="277">
        <v>211343.73692696769</v>
      </c>
      <c r="V57" s="275">
        <v>81939</v>
      </c>
      <c r="W57" s="275">
        <v>17429.289110000002</v>
      </c>
      <c r="X57" s="275">
        <v>212710.54211059451</v>
      </c>
      <c r="Y57" s="275">
        <v>64214</v>
      </c>
      <c r="Z57" s="275">
        <v>13423.662108</v>
      </c>
      <c r="AA57" s="275">
        <v>209045.7237985486</v>
      </c>
      <c r="AB57" s="278">
        <v>146153</v>
      </c>
      <c r="AC57" s="278">
        <v>30852.951217999998</v>
      </c>
      <c r="AD57" s="278">
        <v>211100.36207262249</v>
      </c>
      <c r="AE57" s="275">
        <v>81716.666666666672</v>
      </c>
      <c r="AF57" s="275">
        <v>52232.849938727872</v>
      </c>
      <c r="AG57" s="275">
        <v>213065.59861194319</v>
      </c>
      <c r="AH57" s="275">
        <v>64016.666666666657</v>
      </c>
      <c r="AI57" s="275">
        <v>40211.401520080159</v>
      </c>
      <c r="AJ57" s="275">
        <v>209380.60737986289</v>
      </c>
      <c r="AK57" s="279">
        <v>145733.33333333331</v>
      </c>
      <c r="AL57" s="279">
        <v>92444.251458808023</v>
      </c>
      <c r="AM57" s="279">
        <v>211446.88396583279</v>
      </c>
    </row>
    <row r="58" spans="2:39" ht="17.25" x14ac:dyDescent="0.25">
      <c r="B58" s="426" t="s">
        <v>511</v>
      </c>
      <c r="C58" s="269" t="s">
        <v>840</v>
      </c>
      <c r="D58" s="275">
        <v>24487</v>
      </c>
      <c r="E58" s="275">
        <v>5222.6244235544445</v>
      </c>
      <c r="F58" s="275">
        <v>213281.513601276</v>
      </c>
      <c r="G58" s="275">
        <v>10263</v>
      </c>
      <c r="H58" s="275">
        <v>2203.598948872464</v>
      </c>
      <c r="I58" s="275">
        <v>214712.94444825721</v>
      </c>
      <c r="J58" s="276">
        <v>34750</v>
      </c>
      <c r="K58" s="276">
        <v>7426.2233724269099</v>
      </c>
      <c r="L58" s="276">
        <v>213704.26971012689</v>
      </c>
      <c r="M58" s="275">
        <v>24553</v>
      </c>
      <c r="N58" s="275">
        <v>5221.6937459379569</v>
      </c>
      <c r="O58" s="275">
        <v>212670.2947068772</v>
      </c>
      <c r="P58" s="275">
        <v>10284</v>
      </c>
      <c r="Q58" s="275">
        <v>2202.4226878638428</v>
      </c>
      <c r="R58" s="275">
        <v>214160.12134031931</v>
      </c>
      <c r="S58" s="277">
        <v>34837</v>
      </c>
      <c r="T58" s="277">
        <v>7424.1164338017998</v>
      </c>
      <c r="U58" s="277">
        <v>213110.09655830869</v>
      </c>
      <c r="V58" s="275">
        <v>29754</v>
      </c>
      <c r="W58" s="275">
        <v>6319.5979170000001</v>
      </c>
      <c r="X58" s="275">
        <v>212394.90209719699</v>
      </c>
      <c r="Y58" s="275">
        <v>13566</v>
      </c>
      <c r="Z58" s="275">
        <v>2903.6024900000002</v>
      </c>
      <c r="AA58" s="275">
        <v>214035.27126640131</v>
      </c>
      <c r="AB58" s="278">
        <v>43320</v>
      </c>
      <c r="AC58" s="278">
        <v>9223.2004070000003</v>
      </c>
      <c r="AD58" s="278">
        <v>212908.59665281631</v>
      </c>
      <c r="AE58" s="275">
        <v>26264.666666666672</v>
      </c>
      <c r="AF58" s="275">
        <v>16763.916086492402</v>
      </c>
      <c r="AG58" s="275">
        <v>212782.23680178341</v>
      </c>
      <c r="AH58" s="275">
        <v>11371</v>
      </c>
      <c r="AI58" s="275">
        <v>7309.6241267363084</v>
      </c>
      <c r="AJ58" s="275">
        <v>214302.77901832591</v>
      </c>
      <c r="AK58" s="279">
        <v>37635.666666666657</v>
      </c>
      <c r="AL58" s="279">
        <v>24073.540213228709</v>
      </c>
      <c r="AM58" s="279">
        <v>213240.9876404173</v>
      </c>
    </row>
    <row r="59" spans="2:39" ht="17.25" x14ac:dyDescent="0.25">
      <c r="B59" s="427" t="s">
        <v>511</v>
      </c>
      <c r="C59" s="269" t="s">
        <v>886</v>
      </c>
      <c r="D59" s="275">
        <v>53877</v>
      </c>
      <c r="E59" s="275">
        <v>11434.675236376899</v>
      </c>
      <c r="F59" s="275">
        <v>212236.67309569751</v>
      </c>
      <c r="G59" s="275">
        <v>51300</v>
      </c>
      <c r="H59" s="275">
        <v>10886.69852158327</v>
      </c>
      <c r="I59" s="275">
        <v>212216.3454499662</v>
      </c>
      <c r="J59" s="276">
        <v>105177</v>
      </c>
      <c r="K59" s="276">
        <v>22321.373757960169</v>
      </c>
      <c r="L59" s="276">
        <v>212226.758302292</v>
      </c>
      <c r="M59" s="275">
        <v>54028</v>
      </c>
      <c r="N59" s="275">
        <v>11437.02101699127</v>
      </c>
      <c r="O59" s="275">
        <v>211686.92191069949</v>
      </c>
      <c r="P59" s="275">
        <v>51419</v>
      </c>
      <c r="Q59" s="275">
        <v>10882.943699180099</v>
      </c>
      <c r="R59" s="275">
        <v>211652.1849740388</v>
      </c>
      <c r="S59" s="277">
        <v>105447</v>
      </c>
      <c r="T59" s="277">
        <v>22319.964716171369</v>
      </c>
      <c r="U59" s="277">
        <v>211669.98317800759</v>
      </c>
      <c r="V59" s="275">
        <v>49067</v>
      </c>
      <c r="W59" s="275">
        <v>10368.001319999999</v>
      </c>
      <c r="X59" s="275">
        <v>211302.93924633661</v>
      </c>
      <c r="Y59" s="275">
        <v>48303</v>
      </c>
      <c r="Z59" s="275">
        <v>10204.070463</v>
      </c>
      <c r="AA59" s="275">
        <v>211251.27762250791</v>
      </c>
      <c r="AB59" s="278">
        <v>97370</v>
      </c>
      <c r="AC59" s="278">
        <v>20572.071782999999</v>
      </c>
      <c r="AD59" s="278">
        <v>211277.31111225221</v>
      </c>
      <c r="AE59" s="275">
        <v>52324</v>
      </c>
      <c r="AF59" s="275">
        <v>33239.697573368168</v>
      </c>
      <c r="AG59" s="275">
        <v>211742.17808424449</v>
      </c>
      <c r="AH59" s="275">
        <v>50340.666666666657</v>
      </c>
      <c r="AI59" s="275">
        <v>31973.71268376337</v>
      </c>
      <c r="AJ59" s="275">
        <v>211706.60268217101</v>
      </c>
      <c r="AK59" s="279">
        <v>102664.6666666667</v>
      </c>
      <c r="AL59" s="279">
        <v>65213.410257131538</v>
      </c>
      <c r="AM59" s="279">
        <v>211724.68419751729</v>
      </c>
    </row>
    <row r="60" spans="2:39" ht="17.25" x14ac:dyDescent="0.25">
      <c r="B60" s="427" t="s">
        <v>511</v>
      </c>
      <c r="C60" s="269" t="s">
        <v>842</v>
      </c>
      <c r="D60" s="275">
        <v>6295</v>
      </c>
      <c r="E60" s="275">
        <v>1549.5624321836449</v>
      </c>
      <c r="F60" s="275">
        <v>246157.6540402931</v>
      </c>
      <c r="G60" s="275">
        <v>5139</v>
      </c>
      <c r="H60" s="275">
        <v>1283.4186258087291</v>
      </c>
      <c r="I60" s="275">
        <v>249740.92738056611</v>
      </c>
      <c r="J60" s="276">
        <v>11434</v>
      </c>
      <c r="K60" s="276">
        <v>2832.9810579923751</v>
      </c>
      <c r="L60" s="276">
        <v>247768.15270179941</v>
      </c>
      <c r="M60" s="275">
        <v>6277</v>
      </c>
      <c r="N60" s="275">
        <v>1542.3668747100289</v>
      </c>
      <c r="O60" s="275">
        <v>245717.20164250911</v>
      </c>
      <c r="P60" s="275">
        <v>5104</v>
      </c>
      <c r="Q60" s="275">
        <v>1272.0148654410859</v>
      </c>
      <c r="R60" s="275">
        <v>249219.21344848859</v>
      </c>
      <c r="S60" s="277">
        <v>11381</v>
      </c>
      <c r="T60" s="277">
        <v>2814.3817401511151</v>
      </c>
      <c r="U60" s="277">
        <v>247287.7374704433</v>
      </c>
      <c r="V60" s="275">
        <v>6262</v>
      </c>
      <c r="W60" s="275">
        <v>1537.923996</v>
      </c>
      <c r="X60" s="275">
        <v>245596.29447460879</v>
      </c>
      <c r="Y60" s="275">
        <v>5074</v>
      </c>
      <c r="Z60" s="275">
        <v>1264.260297</v>
      </c>
      <c r="AA60" s="275">
        <v>249164.42589672841</v>
      </c>
      <c r="AB60" s="278">
        <v>11336</v>
      </c>
      <c r="AC60" s="278">
        <v>2802.1842929999998</v>
      </c>
      <c r="AD60" s="278">
        <v>247193.3921136203</v>
      </c>
      <c r="AE60" s="275">
        <v>6278</v>
      </c>
      <c r="AF60" s="275">
        <v>4629.8533028936736</v>
      </c>
      <c r="AG60" s="275">
        <v>245823.71671913701</v>
      </c>
      <c r="AH60" s="275">
        <v>5105.666666666667</v>
      </c>
      <c r="AI60" s="275">
        <v>3819.693788249815</v>
      </c>
      <c r="AJ60" s="275">
        <v>249374.85557526111</v>
      </c>
      <c r="AK60" s="279">
        <v>11383.66666666667</v>
      </c>
      <c r="AL60" s="279">
        <v>8449.5470911434895</v>
      </c>
      <c r="AM60" s="279">
        <v>247416.42742862101</v>
      </c>
    </row>
    <row r="61" spans="2:39" x14ac:dyDescent="0.25">
      <c r="B61" s="427" t="s">
        <v>511</v>
      </c>
      <c r="C61" s="269" t="s">
        <v>847</v>
      </c>
      <c r="D61" s="275">
        <v>7754</v>
      </c>
      <c r="E61" s="275">
        <v>1665.586732986033</v>
      </c>
      <c r="F61" s="275">
        <v>214803.55081068259</v>
      </c>
      <c r="G61" s="275">
        <v>6089</v>
      </c>
      <c r="H61" s="275">
        <v>1307.572385588536</v>
      </c>
      <c r="I61" s="275">
        <v>214743.3709293046</v>
      </c>
      <c r="J61" s="276">
        <v>13843</v>
      </c>
      <c r="K61" s="276">
        <v>2973.1591185745679</v>
      </c>
      <c r="L61" s="276">
        <v>214777.08000972099</v>
      </c>
      <c r="M61" s="275">
        <v>7753</v>
      </c>
      <c r="N61" s="275">
        <v>1660.9453411813711</v>
      </c>
      <c r="O61" s="275">
        <v>214232.59914631379</v>
      </c>
      <c r="P61" s="275">
        <v>6092</v>
      </c>
      <c r="Q61" s="275">
        <v>1304.8835405405659</v>
      </c>
      <c r="R61" s="275">
        <v>214196.24762648821</v>
      </c>
      <c r="S61" s="277">
        <v>13845</v>
      </c>
      <c r="T61" s="277">
        <v>2965.8288817219368</v>
      </c>
      <c r="U61" s="277">
        <v>214216.60395246919</v>
      </c>
      <c r="V61" s="275">
        <v>7746</v>
      </c>
      <c r="W61" s="275">
        <v>1658.1370139999999</v>
      </c>
      <c r="X61" s="275">
        <v>214063.64756003089</v>
      </c>
      <c r="Y61" s="275">
        <v>6087</v>
      </c>
      <c r="Z61" s="275">
        <v>1302.667786</v>
      </c>
      <c r="AA61" s="275">
        <v>214008.17907014949</v>
      </c>
      <c r="AB61" s="278">
        <v>13833</v>
      </c>
      <c r="AC61" s="278">
        <v>2960.8047999999999</v>
      </c>
      <c r="AD61" s="278">
        <v>214039.239499747</v>
      </c>
      <c r="AE61" s="275">
        <v>7751</v>
      </c>
      <c r="AF61" s="275">
        <v>4984.669088167404</v>
      </c>
      <c r="AG61" s="275">
        <v>214366.59917234251</v>
      </c>
      <c r="AH61" s="275">
        <v>6089.333333333333</v>
      </c>
      <c r="AI61" s="275">
        <v>3915.123712129101</v>
      </c>
      <c r="AJ61" s="275">
        <v>214315.9325419807</v>
      </c>
      <c r="AK61" s="279">
        <v>13840.33333333333</v>
      </c>
      <c r="AL61" s="279">
        <v>8899.7928002965054</v>
      </c>
      <c r="AM61" s="279">
        <v>214344.30782064571</v>
      </c>
    </row>
    <row r="62" spans="2:39" x14ac:dyDescent="0.25">
      <c r="B62" s="427" t="s">
        <v>511</v>
      </c>
      <c r="C62" s="269" t="s">
        <v>848</v>
      </c>
      <c r="D62" s="275">
        <v>3365</v>
      </c>
      <c r="E62" s="275">
        <v>625.93366761062771</v>
      </c>
      <c r="F62" s="275">
        <v>186012.97700167241</v>
      </c>
      <c r="G62" s="275">
        <v>3827</v>
      </c>
      <c r="H62" s="275">
        <v>667.92295997344559</v>
      </c>
      <c r="I62" s="275">
        <v>174529.12463377201</v>
      </c>
      <c r="J62" s="276">
        <v>7192</v>
      </c>
      <c r="K62" s="276">
        <v>1293.8566275840731</v>
      </c>
      <c r="L62" s="276">
        <v>179902.20072081109</v>
      </c>
      <c r="M62" s="275">
        <v>3363</v>
      </c>
      <c r="N62" s="275">
        <v>624.48710835242809</v>
      </c>
      <c r="O62" s="275">
        <v>185693.46070544989</v>
      </c>
      <c r="P62" s="275">
        <v>3818</v>
      </c>
      <c r="Q62" s="275">
        <v>664.83550554725878</v>
      </c>
      <c r="R62" s="275">
        <v>174131.8767803192</v>
      </c>
      <c r="S62" s="277">
        <v>7181</v>
      </c>
      <c r="T62" s="277">
        <v>1289.322613899687</v>
      </c>
      <c r="U62" s="277">
        <v>179546.38823279299</v>
      </c>
      <c r="V62" s="275">
        <v>3354</v>
      </c>
      <c r="W62" s="275">
        <v>621.22189200000003</v>
      </c>
      <c r="X62" s="275">
        <v>185218.2146690519</v>
      </c>
      <c r="Y62" s="275">
        <v>3810</v>
      </c>
      <c r="Z62" s="275">
        <v>661.44773499999997</v>
      </c>
      <c r="AA62" s="275">
        <v>173608.32939632551</v>
      </c>
      <c r="AB62" s="278">
        <v>7164</v>
      </c>
      <c r="AC62" s="278">
        <v>1282.669627</v>
      </c>
      <c r="AD62" s="278">
        <v>179043.77819653819</v>
      </c>
      <c r="AE62" s="275">
        <v>3360.666666666667</v>
      </c>
      <c r="AF62" s="275">
        <v>1871.6426679630561</v>
      </c>
      <c r="AG62" s="275">
        <v>185641.55079205809</v>
      </c>
      <c r="AH62" s="275">
        <v>3818.333333333333</v>
      </c>
      <c r="AI62" s="275">
        <v>1994.206200520704</v>
      </c>
      <c r="AJ62" s="275">
        <v>174089.7769368056</v>
      </c>
      <c r="AK62" s="279">
        <v>7179</v>
      </c>
      <c r="AL62" s="279">
        <v>3865.8488684837598</v>
      </c>
      <c r="AM62" s="279">
        <v>179497.45571671409</v>
      </c>
    </row>
    <row r="63" spans="2:39" ht="17.25" x14ac:dyDescent="0.25">
      <c r="B63" s="428" t="s">
        <v>511</v>
      </c>
      <c r="C63" s="269" t="s">
        <v>887</v>
      </c>
      <c r="D63" s="275">
        <v>95778</v>
      </c>
      <c r="E63" s="275">
        <v>20498.382492711651</v>
      </c>
      <c r="F63" s="275">
        <v>214019.73827717901</v>
      </c>
      <c r="G63" s="275">
        <v>76618</v>
      </c>
      <c r="H63" s="275">
        <v>16349.211441826439</v>
      </c>
      <c r="I63" s="275">
        <v>213386.03776953771</v>
      </c>
      <c r="J63" s="276">
        <v>172396</v>
      </c>
      <c r="K63" s="276">
        <v>36847.59393453809</v>
      </c>
      <c r="L63" s="276">
        <v>213738.10259250851</v>
      </c>
      <c r="M63" s="275">
        <v>95974</v>
      </c>
      <c r="N63" s="275">
        <v>20486.514087173058</v>
      </c>
      <c r="O63" s="275">
        <v>213459.00022061239</v>
      </c>
      <c r="P63" s="275">
        <v>76717</v>
      </c>
      <c r="Q63" s="275">
        <v>16327.100298572859</v>
      </c>
      <c r="R63" s="275">
        <v>212822.45523903251</v>
      </c>
      <c r="S63" s="277">
        <v>172691</v>
      </c>
      <c r="T63" s="277">
        <v>36813.61438574591</v>
      </c>
      <c r="U63" s="277">
        <v>213176.21871287969</v>
      </c>
      <c r="V63" s="275">
        <v>96183</v>
      </c>
      <c r="W63" s="275">
        <v>20504.882139000001</v>
      </c>
      <c r="X63" s="275">
        <v>213186.13620910139</v>
      </c>
      <c r="Y63" s="275">
        <v>76840</v>
      </c>
      <c r="Z63" s="275">
        <v>16336.048771</v>
      </c>
      <c r="AA63" s="275">
        <v>212598.24012233209</v>
      </c>
      <c r="AB63" s="278">
        <v>173023</v>
      </c>
      <c r="AC63" s="278">
        <v>36840.930910000003</v>
      </c>
      <c r="AD63" s="278">
        <v>212925.04990665981</v>
      </c>
      <c r="AE63" s="275">
        <v>95978.333333333328</v>
      </c>
      <c r="AF63" s="275">
        <v>61489.778718884707</v>
      </c>
      <c r="AG63" s="275">
        <v>213554.95823563091</v>
      </c>
      <c r="AH63" s="275">
        <v>76725</v>
      </c>
      <c r="AI63" s="275">
        <v>49012.360511399304</v>
      </c>
      <c r="AJ63" s="275">
        <v>212935.5777103008</v>
      </c>
      <c r="AK63" s="279">
        <v>172703.33333333331</v>
      </c>
      <c r="AL63" s="279">
        <v>110502.139230284</v>
      </c>
      <c r="AM63" s="279">
        <v>213279.79040401601</v>
      </c>
    </row>
    <row r="64" spans="2:39" ht="17.25" x14ac:dyDescent="0.25">
      <c r="B64" s="426" t="s">
        <v>802</v>
      </c>
      <c r="C64" s="269" t="s">
        <v>840</v>
      </c>
      <c r="D64" s="275">
        <v>15279</v>
      </c>
      <c r="E64" s="275">
        <v>3256.5865271958878</v>
      </c>
      <c r="F64" s="275">
        <v>213141.3395638385</v>
      </c>
      <c r="G64" s="275">
        <v>6475</v>
      </c>
      <c r="H64" s="275">
        <v>1391.377318880438</v>
      </c>
      <c r="I64" s="275">
        <v>214884.52801242279</v>
      </c>
      <c r="J64" s="276">
        <v>21754</v>
      </c>
      <c r="K64" s="276">
        <v>4647.9638460763263</v>
      </c>
      <c r="L64" s="276">
        <v>213660.19334726149</v>
      </c>
      <c r="M64" s="275">
        <v>15325</v>
      </c>
      <c r="N64" s="275">
        <v>3256.774706057105</v>
      </c>
      <c r="O64" s="275">
        <v>212513.84705103459</v>
      </c>
      <c r="P64" s="275">
        <v>6481</v>
      </c>
      <c r="Q64" s="275">
        <v>1389.118352477909</v>
      </c>
      <c r="R64" s="275">
        <v>214337.03941951989</v>
      </c>
      <c r="S64" s="277">
        <v>21806</v>
      </c>
      <c r="T64" s="277">
        <v>4645.8930585350136</v>
      </c>
      <c r="U64" s="277">
        <v>213055.72129391061</v>
      </c>
      <c r="V64" s="275">
        <v>17610</v>
      </c>
      <c r="W64" s="275">
        <v>3736.521037</v>
      </c>
      <c r="X64" s="275">
        <v>212181.77382169219</v>
      </c>
      <c r="Y64" s="275">
        <v>8568</v>
      </c>
      <c r="Z64" s="275">
        <v>1834.987707</v>
      </c>
      <c r="AA64" s="275">
        <v>214167.5661764706</v>
      </c>
      <c r="AB64" s="278">
        <v>26178</v>
      </c>
      <c r="AC64" s="278">
        <v>5571.5087439999998</v>
      </c>
      <c r="AD64" s="278">
        <v>212831.71915348759</v>
      </c>
      <c r="AE64" s="275">
        <v>16071.33333333333</v>
      </c>
      <c r="AF64" s="275">
        <v>10249.882270252991</v>
      </c>
      <c r="AG64" s="275">
        <v>212612.32014552181</v>
      </c>
      <c r="AH64" s="275">
        <v>7174.666666666667</v>
      </c>
      <c r="AI64" s="275">
        <v>4615.4833783583463</v>
      </c>
      <c r="AJ64" s="275">
        <v>214463.04453613781</v>
      </c>
      <c r="AK64" s="279">
        <v>23246</v>
      </c>
      <c r="AL64" s="279">
        <v>14865.36564861134</v>
      </c>
      <c r="AM64" s="279">
        <v>213182.54459821989</v>
      </c>
    </row>
    <row r="65" spans="2:39" ht="17.25" x14ac:dyDescent="0.25">
      <c r="B65" s="427" t="s">
        <v>802</v>
      </c>
      <c r="C65" s="269" t="s">
        <v>886</v>
      </c>
      <c r="D65" s="275">
        <v>24841</v>
      </c>
      <c r="E65" s="275">
        <v>5258.2707731154123</v>
      </c>
      <c r="F65" s="275">
        <v>211677.09726321051</v>
      </c>
      <c r="G65" s="275">
        <v>23162</v>
      </c>
      <c r="H65" s="275">
        <v>4889.6159819546456</v>
      </c>
      <c r="I65" s="275">
        <v>211105.0851374944</v>
      </c>
      <c r="J65" s="276">
        <v>48003</v>
      </c>
      <c r="K65" s="276">
        <v>10147.88675507006</v>
      </c>
      <c r="L65" s="276">
        <v>211401.09482886599</v>
      </c>
      <c r="M65" s="275">
        <v>24897</v>
      </c>
      <c r="N65" s="275">
        <v>5256.3082890187234</v>
      </c>
      <c r="O65" s="275">
        <v>211122.15483868431</v>
      </c>
      <c r="P65" s="275">
        <v>23214</v>
      </c>
      <c r="Q65" s="275">
        <v>4888.1691415473442</v>
      </c>
      <c r="R65" s="275">
        <v>210569.8777266884</v>
      </c>
      <c r="S65" s="277">
        <v>48111</v>
      </c>
      <c r="T65" s="277">
        <v>10144.47743056607</v>
      </c>
      <c r="U65" s="277">
        <v>210855.67605258821</v>
      </c>
      <c r="V65" s="275">
        <v>22724</v>
      </c>
      <c r="W65" s="275">
        <v>4790.2190620000001</v>
      </c>
      <c r="X65" s="275">
        <v>210799.9939271255</v>
      </c>
      <c r="Y65" s="275">
        <v>21182</v>
      </c>
      <c r="Z65" s="275">
        <v>4447.7013779999997</v>
      </c>
      <c r="AA65" s="275">
        <v>209975.51590973471</v>
      </c>
      <c r="AB65" s="278">
        <v>43906</v>
      </c>
      <c r="AC65" s="278">
        <v>9237.9204399999999</v>
      </c>
      <c r="AD65" s="278">
        <v>210402.23295221609</v>
      </c>
      <c r="AE65" s="275">
        <v>24154</v>
      </c>
      <c r="AF65" s="275">
        <v>15304.79812413414</v>
      </c>
      <c r="AG65" s="275">
        <v>211199.7486763401</v>
      </c>
      <c r="AH65" s="275">
        <v>22519.333333333328</v>
      </c>
      <c r="AI65" s="275">
        <v>14225.48650150199</v>
      </c>
      <c r="AJ65" s="275">
        <v>210550.1595913058</v>
      </c>
      <c r="AK65" s="279">
        <v>46673.333333333343</v>
      </c>
      <c r="AL65" s="279">
        <v>29530.284625636119</v>
      </c>
      <c r="AM65" s="279">
        <v>210886.3346112234</v>
      </c>
    </row>
    <row r="66" spans="2:39" ht="17.25" x14ac:dyDescent="0.25">
      <c r="B66" s="427" t="s">
        <v>802</v>
      </c>
      <c r="C66" s="269" t="s">
        <v>842</v>
      </c>
      <c r="D66" s="275">
        <v>2370</v>
      </c>
      <c r="E66" s="275">
        <v>583.44447702458024</v>
      </c>
      <c r="F66" s="275">
        <v>246179.1042297807</v>
      </c>
      <c r="G66" s="275">
        <v>2150</v>
      </c>
      <c r="H66" s="275">
        <v>538.81850793963258</v>
      </c>
      <c r="I66" s="275">
        <v>250613.25950680589</v>
      </c>
      <c r="J66" s="276">
        <v>4520</v>
      </c>
      <c r="K66" s="276">
        <v>1122.262984964213</v>
      </c>
      <c r="L66" s="276">
        <v>248288.27100978151</v>
      </c>
      <c r="M66" s="275">
        <v>2366</v>
      </c>
      <c r="N66" s="275">
        <v>581.04428059888073</v>
      </c>
      <c r="O66" s="275">
        <v>245580.8455616571</v>
      </c>
      <c r="P66" s="275">
        <v>2142</v>
      </c>
      <c r="Q66" s="275">
        <v>536.14321309012314</v>
      </c>
      <c r="R66" s="275">
        <v>250300.28622321339</v>
      </c>
      <c r="S66" s="277">
        <v>4508</v>
      </c>
      <c r="T66" s="277">
        <v>1117.187493689004</v>
      </c>
      <c r="U66" s="277">
        <v>247823.31270829719</v>
      </c>
      <c r="V66" s="275">
        <v>2359</v>
      </c>
      <c r="W66" s="275">
        <v>578.67842800000005</v>
      </c>
      <c r="X66" s="275">
        <v>245306.66723187789</v>
      </c>
      <c r="Y66" s="275">
        <v>2127</v>
      </c>
      <c r="Z66" s="275">
        <v>532.28322300000002</v>
      </c>
      <c r="AA66" s="275">
        <v>250250.6925246827</v>
      </c>
      <c r="AB66" s="278">
        <v>4486</v>
      </c>
      <c r="AC66" s="278">
        <v>1110.9616510000001</v>
      </c>
      <c r="AD66" s="278">
        <v>247650.8361569327</v>
      </c>
      <c r="AE66" s="275">
        <v>2365</v>
      </c>
      <c r="AF66" s="275">
        <v>1743.1671856234609</v>
      </c>
      <c r="AG66" s="275">
        <v>245688.87234110519</v>
      </c>
      <c r="AH66" s="275">
        <v>2139.666666666667</v>
      </c>
      <c r="AI66" s="275">
        <v>1607.244944029756</v>
      </c>
      <c r="AJ66" s="275">
        <v>250388.079418234</v>
      </c>
      <c r="AK66" s="279">
        <v>4504.666666666667</v>
      </c>
      <c r="AL66" s="279">
        <v>3350.4121296532171</v>
      </c>
      <c r="AM66" s="279">
        <v>247920.80662500381</v>
      </c>
    </row>
    <row r="67" spans="2:39" x14ac:dyDescent="0.25">
      <c r="B67" s="427" t="s">
        <v>802</v>
      </c>
      <c r="C67" s="269" t="s">
        <v>847</v>
      </c>
      <c r="D67" s="275">
        <v>6658</v>
      </c>
      <c r="E67" s="275">
        <v>1430.653328287013</v>
      </c>
      <c r="F67" s="275">
        <v>214877.33978477211</v>
      </c>
      <c r="G67" s="275">
        <v>4808</v>
      </c>
      <c r="H67" s="275">
        <v>1033.874267723216</v>
      </c>
      <c r="I67" s="275">
        <v>215032.08563294829</v>
      </c>
      <c r="J67" s="276">
        <v>11466</v>
      </c>
      <c r="K67" s="276">
        <v>2464.5275960102281</v>
      </c>
      <c r="L67" s="276">
        <v>214942.2288514066</v>
      </c>
      <c r="M67" s="275">
        <v>6652</v>
      </c>
      <c r="N67" s="275">
        <v>1425.7204594872439</v>
      </c>
      <c r="O67" s="275">
        <v>214329.59402995251</v>
      </c>
      <c r="P67" s="275">
        <v>4801</v>
      </c>
      <c r="Q67" s="275">
        <v>1029.738090822274</v>
      </c>
      <c r="R67" s="275">
        <v>214484.0847369869</v>
      </c>
      <c r="S67" s="277">
        <v>11453</v>
      </c>
      <c r="T67" s="277">
        <v>2455.4585503095168</v>
      </c>
      <c r="U67" s="277">
        <v>214394.3552178047</v>
      </c>
      <c r="V67" s="275">
        <v>6644</v>
      </c>
      <c r="W67" s="275">
        <v>1422.7558529999999</v>
      </c>
      <c r="X67" s="275">
        <v>214141.45891029501</v>
      </c>
      <c r="Y67" s="275">
        <v>4801</v>
      </c>
      <c r="Z67" s="275">
        <v>1028.835096</v>
      </c>
      <c r="AA67" s="275">
        <v>214296</v>
      </c>
      <c r="AB67" s="278">
        <v>11445</v>
      </c>
      <c r="AC67" s="278">
        <v>2451.5909489999999</v>
      </c>
      <c r="AD67" s="278">
        <v>214206.28650065529</v>
      </c>
      <c r="AE67" s="275">
        <v>6651.333333333333</v>
      </c>
      <c r="AF67" s="275">
        <v>4279.1296407742557</v>
      </c>
      <c r="AG67" s="275">
        <v>214449.46424167321</v>
      </c>
      <c r="AH67" s="275">
        <v>4803.333333333333</v>
      </c>
      <c r="AI67" s="275">
        <v>3092.44745454549</v>
      </c>
      <c r="AJ67" s="275">
        <v>214604.05678997841</v>
      </c>
      <c r="AK67" s="279">
        <v>11454.66666666667</v>
      </c>
      <c r="AL67" s="279">
        <v>7371.5770953197452</v>
      </c>
      <c r="AM67" s="279">
        <v>214514.2901899555</v>
      </c>
    </row>
    <row r="68" spans="2:39" x14ac:dyDescent="0.25">
      <c r="B68" s="427" t="s">
        <v>802</v>
      </c>
      <c r="C68" s="269" t="s">
        <v>848</v>
      </c>
      <c r="D68" s="275">
        <v>2571</v>
      </c>
      <c r="E68" s="275">
        <v>481.31815599788212</v>
      </c>
      <c r="F68" s="275">
        <v>187210.48463550449</v>
      </c>
      <c r="G68" s="275">
        <v>2870</v>
      </c>
      <c r="H68" s="275">
        <v>514.00947406272246</v>
      </c>
      <c r="I68" s="275">
        <v>179097.37772220289</v>
      </c>
      <c r="J68" s="276">
        <v>5441</v>
      </c>
      <c r="K68" s="276">
        <v>995.32763006060452</v>
      </c>
      <c r="L68" s="276">
        <v>182931.01085473341</v>
      </c>
      <c r="M68" s="275">
        <v>2566</v>
      </c>
      <c r="N68" s="275">
        <v>478.43288492312507</v>
      </c>
      <c r="O68" s="275">
        <v>186450.85148991621</v>
      </c>
      <c r="P68" s="275">
        <v>2859</v>
      </c>
      <c r="Q68" s="275">
        <v>510.44057601110097</v>
      </c>
      <c r="R68" s="275">
        <v>178538.15180521199</v>
      </c>
      <c r="S68" s="277">
        <v>5425</v>
      </c>
      <c r="T68" s="277">
        <v>988.87346093422616</v>
      </c>
      <c r="U68" s="277">
        <v>182280.82229202331</v>
      </c>
      <c r="V68" s="275">
        <v>2569</v>
      </c>
      <c r="W68" s="275">
        <v>478.05066299999999</v>
      </c>
      <c r="X68" s="275">
        <v>186084.33748540291</v>
      </c>
      <c r="Y68" s="275">
        <v>2856</v>
      </c>
      <c r="Z68" s="275">
        <v>509.75366000000002</v>
      </c>
      <c r="AA68" s="275">
        <v>178485.175070028</v>
      </c>
      <c r="AB68" s="278">
        <v>5425</v>
      </c>
      <c r="AC68" s="278">
        <v>987.80432299999995</v>
      </c>
      <c r="AD68" s="278">
        <v>182083.7461751152</v>
      </c>
      <c r="AE68" s="275">
        <v>2568.666666666667</v>
      </c>
      <c r="AF68" s="275">
        <v>1437.8017039210069</v>
      </c>
      <c r="AG68" s="275">
        <v>186581.8912036079</v>
      </c>
      <c r="AH68" s="275">
        <v>2861.666666666667</v>
      </c>
      <c r="AI68" s="275">
        <v>1534.203710073823</v>
      </c>
      <c r="AJ68" s="275">
        <v>178706.90153248099</v>
      </c>
      <c r="AK68" s="279">
        <v>5430.333333333333</v>
      </c>
      <c r="AL68" s="279">
        <v>2972.0054139948311</v>
      </c>
      <c r="AM68" s="279">
        <v>182431.85977395729</v>
      </c>
    </row>
    <row r="69" spans="2:39" ht="17.25" x14ac:dyDescent="0.25">
      <c r="B69" s="428" t="s">
        <v>802</v>
      </c>
      <c r="C69" s="269" t="s">
        <v>887</v>
      </c>
      <c r="D69" s="275">
        <v>51719</v>
      </c>
      <c r="E69" s="275">
        <v>11010.27326162077</v>
      </c>
      <c r="F69" s="275">
        <v>212886.42977669279</v>
      </c>
      <c r="G69" s="275">
        <v>39465</v>
      </c>
      <c r="H69" s="275">
        <v>8367.6955505606529</v>
      </c>
      <c r="I69" s="275">
        <v>212028.26683290649</v>
      </c>
      <c r="J69" s="276">
        <v>91184</v>
      </c>
      <c r="K69" s="276">
        <v>19377.968812181429</v>
      </c>
      <c r="L69" s="276">
        <v>212515.01153910151</v>
      </c>
      <c r="M69" s="275">
        <v>51806</v>
      </c>
      <c r="N69" s="275">
        <v>10998.280620085079</v>
      </c>
      <c r="O69" s="275">
        <v>212297.42925694081</v>
      </c>
      <c r="P69" s="275">
        <v>39497</v>
      </c>
      <c r="Q69" s="275">
        <v>8353.6093739487496</v>
      </c>
      <c r="R69" s="275">
        <v>211499.84489831509</v>
      </c>
      <c r="S69" s="277">
        <v>91303</v>
      </c>
      <c r="T69" s="277">
        <v>19351.889994033831</v>
      </c>
      <c r="U69" s="277">
        <v>211952.4001843732</v>
      </c>
      <c r="V69" s="275">
        <v>51906</v>
      </c>
      <c r="W69" s="275">
        <v>11006.225043</v>
      </c>
      <c r="X69" s="275">
        <v>212041.47965553109</v>
      </c>
      <c r="Y69" s="275">
        <v>39534</v>
      </c>
      <c r="Z69" s="275">
        <v>8353.5610639999995</v>
      </c>
      <c r="AA69" s="275">
        <v>211300.67951636561</v>
      </c>
      <c r="AB69" s="278">
        <v>91440</v>
      </c>
      <c r="AC69" s="278">
        <v>19359.786107</v>
      </c>
      <c r="AD69" s="278">
        <v>211721.195395888</v>
      </c>
      <c r="AE69" s="275">
        <v>51810.333333333343</v>
      </c>
      <c r="AF69" s="275">
        <v>33014.778924705854</v>
      </c>
      <c r="AG69" s="275">
        <v>212408.44622972159</v>
      </c>
      <c r="AH69" s="275">
        <v>39498.666666666657</v>
      </c>
      <c r="AI69" s="275">
        <v>25074.865988509398</v>
      </c>
      <c r="AJ69" s="275">
        <v>211609.59708252901</v>
      </c>
      <c r="AK69" s="279">
        <v>91309</v>
      </c>
      <c r="AL69" s="279">
        <v>58089.644913215263</v>
      </c>
      <c r="AM69" s="279">
        <v>212062.86903978759</v>
      </c>
    </row>
    <row r="70" spans="2:39" ht="17.25" x14ac:dyDescent="0.25">
      <c r="B70" s="426" t="s">
        <v>910</v>
      </c>
      <c r="C70" s="269" t="s">
        <v>840</v>
      </c>
      <c r="D70" s="275">
        <v>37348</v>
      </c>
      <c r="E70" s="275">
        <v>7988.0285530399951</v>
      </c>
      <c r="F70" s="275">
        <v>213881.0258391345</v>
      </c>
      <c r="G70" s="275">
        <v>11243</v>
      </c>
      <c r="H70" s="275">
        <v>2414.769298228935</v>
      </c>
      <c r="I70" s="275">
        <v>214779.8006073944</v>
      </c>
      <c r="J70" s="276">
        <v>48591</v>
      </c>
      <c r="K70" s="276">
        <v>10402.79785126893</v>
      </c>
      <c r="L70" s="276">
        <v>214088.9846117374</v>
      </c>
      <c r="M70" s="275">
        <v>37419</v>
      </c>
      <c r="N70" s="275">
        <v>7980.6675329138097</v>
      </c>
      <c r="O70" s="275">
        <v>213278.4823996849</v>
      </c>
      <c r="P70" s="275">
        <v>11204</v>
      </c>
      <c r="Q70" s="275">
        <v>2400.5144368832111</v>
      </c>
      <c r="R70" s="275">
        <v>214255.12646226451</v>
      </c>
      <c r="S70" s="277">
        <v>48623</v>
      </c>
      <c r="T70" s="277">
        <v>10381.18196979702</v>
      </c>
      <c r="U70" s="277">
        <v>213503.52651619649</v>
      </c>
      <c r="V70" s="275">
        <v>44848</v>
      </c>
      <c r="W70" s="275">
        <v>9552.8201659999995</v>
      </c>
      <c r="X70" s="275">
        <v>213004.3740189083</v>
      </c>
      <c r="Y70" s="275">
        <v>14296</v>
      </c>
      <c r="Z70" s="275">
        <v>3060.4709029999999</v>
      </c>
      <c r="AA70" s="275">
        <v>214078.82645495239</v>
      </c>
      <c r="AB70" s="278">
        <v>59144</v>
      </c>
      <c r="AC70" s="278">
        <v>12613.291069000001</v>
      </c>
      <c r="AD70" s="278">
        <v>213264.08543554711</v>
      </c>
      <c r="AE70" s="275">
        <v>39871.666666666657</v>
      </c>
      <c r="AF70" s="275">
        <v>25521.51625195381</v>
      </c>
      <c r="AG70" s="275">
        <v>213387.96075257589</v>
      </c>
      <c r="AH70" s="275">
        <v>12247.66666666667</v>
      </c>
      <c r="AI70" s="275">
        <v>7875.7546381121456</v>
      </c>
      <c r="AJ70" s="275">
        <v>214371.25117487041</v>
      </c>
      <c r="AK70" s="279">
        <v>52119.333333333343</v>
      </c>
      <c r="AL70" s="279">
        <v>33397.270890065949</v>
      </c>
      <c r="AM70" s="279">
        <v>213618.8655211603</v>
      </c>
    </row>
    <row r="71" spans="2:39" ht="17.25" x14ac:dyDescent="0.25">
      <c r="B71" s="427" t="s">
        <v>832</v>
      </c>
      <c r="C71" s="269" t="s">
        <v>886</v>
      </c>
      <c r="D71" s="275">
        <v>76702</v>
      </c>
      <c r="E71" s="275">
        <v>16244.299112895589</v>
      </c>
      <c r="F71" s="275">
        <v>211784.55728528049</v>
      </c>
      <c r="G71" s="275">
        <v>68861</v>
      </c>
      <c r="H71" s="275">
        <v>14404.850703485081</v>
      </c>
      <c r="I71" s="275">
        <v>209187.3586425565</v>
      </c>
      <c r="J71" s="276">
        <v>145563</v>
      </c>
      <c r="K71" s="276">
        <v>30649.149816380668</v>
      </c>
      <c r="L71" s="276">
        <v>210555.9092377917</v>
      </c>
      <c r="M71" s="275">
        <v>76924</v>
      </c>
      <c r="N71" s="275">
        <v>16246.20905466711</v>
      </c>
      <c r="O71" s="275">
        <v>211198.18333247249</v>
      </c>
      <c r="P71" s="275">
        <v>68942</v>
      </c>
      <c r="Q71" s="275">
        <v>14382.82554401645</v>
      </c>
      <c r="R71" s="275">
        <v>208622.1105279286</v>
      </c>
      <c r="S71" s="277">
        <v>145866</v>
      </c>
      <c r="T71" s="277">
        <v>30629.03459868356</v>
      </c>
      <c r="U71" s="277">
        <v>209980.63015838899</v>
      </c>
      <c r="V71" s="275">
        <v>69917</v>
      </c>
      <c r="W71" s="275">
        <v>14734.517899</v>
      </c>
      <c r="X71" s="275">
        <v>210742.99382124521</v>
      </c>
      <c r="Y71" s="275">
        <v>66127</v>
      </c>
      <c r="Z71" s="275">
        <v>13763.879322000001</v>
      </c>
      <c r="AA71" s="275">
        <v>208143.10829162071</v>
      </c>
      <c r="AB71" s="278">
        <v>136044</v>
      </c>
      <c r="AC71" s="278">
        <v>28498.397220999999</v>
      </c>
      <c r="AD71" s="278">
        <v>209479.2656861016</v>
      </c>
      <c r="AE71" s="275">
        <v>74514.333333333328</v>
      </c>
      <c r="AF71" s="275">
        <v>47225.026066562699</v>
      </c>
      <c r="AG71" s="275">
        <v>211241.9114796661</v>
      </c>
      <c r="AH71" s="275">
        <v>67976.666666666672</v>
      </c>
      <c r="AI71" s="275">
        <v>42551.555569501543</v>
      </c>
      <c r="AJ71" s="275">
        <v>208650.85915403519</v>
      </c>
      <c r="AK71" s="279">
        <v>142491</v>
      </c>
      <c r="AL71" s="279">
        <v>89776.581636064235</v>
      </c>
      <c r="AM71" s="279">
        <v>210005.2683607607</v>
      </c>
    </row>
    <row r="72" spans="2:39" ht="17.25" x14ac:dyDescent="0.25">
      <c r="B72" s="427" t="s">
        <v>832</v>
      </c>
      <c r="C72" s="269" t="s">
        <v>842</v>
      </c>
      <c r="D72" s="275">
        <v>8122</v>
      </c>
      <c r="E72" s="275">
        <v>2006.322427078059</v>
      </c>
      <c r="F72" s="275">
        <v>247023.19959099471</v>
      </c>
      <c r="G72" s="275">
        <v>4956</v>
      </c>
      <c r="H72" s="275">
        <v>1241.4598428840891</v>
      </c>
      <c r="I72" s="275">
        <v>250496.33633657961</v>
      </c>
      <c r="J72" s="276">
        <v>13078</v>
      </c>
      <c r="K72" s="276">
        <v>3247.7822699621479</v>
      </c>
      <c r="L72" s="276">
        <v>248339.36916670349</v>
      </c>
      <c r="M72" s="275">
        <v>8093</v>
      </c>
      <c r="N72" s="275">
        <v>1995.9949648873239</v>
      </c>
      <c r="O72" s="275">
        <v>246632.27046673969</v>
      </c>
      <c r="P72" s="275">
        <v>4928</v>
      </c>
      <c r="Q72" s="275">
        <v>1232.5882055333379</v>
      </c>
      <c r="R72" s="275">
        <v>250119.35988907021</v>
      </c>
      <c r="S72" s="277">
        <v>13021</v>
      </c>
      <c r="T72" s="277">
        <v>3228.583170420663</v>
      </c>
      <c r="U72" s="277">
        <v>247952.01370253149</v>
      </c>
      <c r="V72" s="275">
        <v>8070</v>
      </c>
      <c r="W72" s="275">
        <v>1988.9124670000001</v>
      </c>
      <c r="X72" s="275">
        <v>246457.5547707559</v>
      </c>
      <c r="Y72" s="275">
        <v>4888</v>
      </c>
      <c r="Z72" s="275">
        <v>1221.8202369999999</v>
      </c>
      <c r="AA72" s="275">
        <v>249963.22360883799</v>
      </c>
      <c r="AB72" s="278">
        <v>12958</v>
      </c>
      <c r="AC72" s="278">
        <v>3210.732704</v>
      </c>
      <c r="AD72" s="278">
        <v>247779.9586355919</v>
      </c>
      <c r="AE72" s="275">
        <v>8095</v>
      </c>
      <c r="AF72" s="275">
        <v>5991.2298589653838</v>
      </c>
      <c r="AG72" s="275">
        <v>246704.3416094968</v>
      </c>
      <c r="AH72" s="275">
        <v>4924</v>
      </c>
      <c r="AI72" s="275">
        <v>3695.8682854174272</v>
      </c>
      <c r="AJ72" s="275">
        <v>250192.97327816259</v>
      </c>
      <c r="AK72" s="279">
        <v>13019</v>
      </c>
      <c r="AL72" s="279">
        <v>9687.0981443828114</v>
      </c>
      <c r="AM72" s="279">
        <v>248023.780501609</v>
      </c>
    </row>
    <row r="73" spans="2:39" x14ac:dyDescent="0.25">
      <c r="B73" s="427" t="s">
        <v>832</v>
      </c>
      <c r="C73" s="269" t="s">
        <v>847</v>
      </c>
      <c r="D73" s="275">
        <v>13351</v>
      </c>
      <c r="E73" s="275">
        <v>2869.0271398944069</v>
      </c>
      <c r="F73" s="275">
        <v>214892.3031903533</v>
      </c>
      <c r="G73" s="275">
        <v>9364</v>
      </c>
      <c r="H73" s="275">
        <v>2012.587700004801</v>
      </c>
      <c r="I73" s="275">
        <v>214928.20375959011</v>
      </c>
      <c r="J73" s="276">
        <v>22715</v>
      </c>
      <c r="K73" s="276">
        <v>4881.6148398992091</v>
      </c>
      <c r="L73" s="276">
        <v>214907.10279107239</v>
      </c>
      <c r="M73" s="275">
        <v>13355</v>
      </c>
      <c r="N73" s="275">
        <v>2862.573472299588</v>
      </c>
      <c r="O73" s="275">
        <v>214344.70028450681</v>
      </c>
      <c r="P73" s="275">
        <v>9384</v>
      </c>
      <c r="Q73" s="275">
        <v>2011.748380324899</v>
      </c>
      <c r="R73" s="275">
        <v>214380.6884404197</v>
      </c>
      <c r="S73" s="277">
        <v>22739</v>
      </c>
      <c r="T73" s="277">
        <v>4874.3218526244864</v>
      </c>
      <c r="U73" s="277">
        <v>214359.55198665231</v>
      </c>
      <c r="V73" s="275">
        <v>13355</v>
      </c>
      <c r="W73" s="275">
        <v>2860.2114889999998</v>
      </c>
      <c r="X73" s="275">
        <v>214167.83893672781</v>
      </c>
      <c r="Y73" s="275">
        <v>9399</v>
      </c>
      <c r="Z73" s="275">
        <v>2013.278568</v>
      </c>
      <c r="AA73" s="275">
        <v>214201.35844238751</v>
      </c>
      <c r="AB73" s="278">
        <v>22754</v>
      </c>
      <c r="AC73" s="278">
        <v>4873.490057</v>
      </c>
      <c r="AD73" s="278">
        <v>214181.6848466204</v>
      </c>
      <c r="AE73" s="275">
        <v>13353.66666666667</v>
      </c>
      <c r="AF73" s="275">
        <v>8591.8121011939947</v>
      </c>
      <c r="AG73" s="275">
        <v>214468.28080386261</v>
      </c>
      <c r="AH73" s="275">
        <v>9382.3333333333339</v>
      </c>
      <c r="AI73" s="275">
        <v>6037.6146483296998</v>
      </c>
      <c r="AJ73" s="275">
        <v>214503.41688079911</v>
      </c>
      <c r="AK73" s="279">
        <v>22736</v>
      </c>
      <c r="AL73" s="279">
        <v>14629.4267495237</v>
      </c>
      <c r="AM73" s="279">
        <v>214482.7798747817</v>
      </c>
    </row>
    <row r="74" spans="2:39" x14ac:dyDescent="0.25">
      <c r="B74" s="427" t="s">
        <v>832</v>
      </c>
      <c r="C74" s="269" t="s">
        <v>848</v>
      </c>
      <c r="D74" s="275">
        <v>4470</v>
      </c>
      <c r="E74" s="275">
        <v>798.64955985170639</v>
      </c>
      <c r="F74" s="275">
        <v>178668.8053359522</v>
      </c>
      <c r="G74" s="275">
        <v>5467</v>
      </c>
      <c r="H74" s="275">
        <v>940.32033119667483</v>
      </c>
      <c r="I74" s="275">
        <v>171999.32891836009</v>
      </c>
      <c r="J74" s="276">
        <v>9937</v>
      </c>
      <c r="K74" s="276">
        <v>1738.969891048381</v>
      </c>
      <c r="L74" s="276">
        <v>174999.48586579261</v>
      </c>
      <c r="M74" s="275">
        <v>4486</v>
      </c>
      <c r="N74" s="275">
        <v>797.95887769343688</v>
      </c>
      <c r="O74" s="275">
        <v>177877.59199586199</v>
      </c>
      <c r="P74" s="275">
        <v>5480</v>
      </c>
      <c r="Q74" s="275">
        <v>938.95032548879362</v>
      </c>
      <c r="R74" s="275">
        <v>171341.3002716777</v>
      </c>
      <c r="S74" s="277">
        <v>9966</v>
      </c>
      <c r="T74" s="277">
        <v>1736.9092031822311</v>
      </c>
      <c r="U74" s="277">
        <v>174283.48416438201</v>
      </c>
      <c r="V74" s="275">
        <v>4483</v>
      </c>
      <c r="W74" s="275">
        <v>796.203622</v>
      </c>
      <c r="X74" s="275">
        <v>177605.09078741909</v>
      </c>
      <c r="Y74" s="275">
        <v>5457</v>
      </c>
      <c r="Z74" s="275">
        <v>934.81122800000003</v>
      </c>
      <c r="AA74" s="275">
        <v>171304.97122961341</v>
      </c>
      <c r="AB74" s="278">
        <v>9940</v>
      </c>
      <c r="AC74" s="278">
        <v>1731.01485</v>
      </c>
      <c r="AD74" s="278">
        <v>174146.36317907451</v>
      </c>
      <c r="AE74" s="275">
        <v>4479.666666666667</v>
      </c>
      <c r="AF74" s="275">
        <v>2392.8120595451428</v>
      </c>
      <c r="AG74" s="275">
        <v>178050.49603974441</v>
      </c>
      <c r="AH74" s="275">
        <v>5468</v>
      </c>
      <c r="AI74" s="275">
        <v>2814.081884685469</v>
      </c>
      <c r="AJ74" s="275">
        <v>171548.53347321699</v>
      </c>
      <c r="AK74" s="279">
        <v>9947.6666666666661</v>
      </c>
      <c r="AL74" s="279">
        <v>5206.8939442306119</v>
      </c>
      <c r="AM74" s="279">
        <v>174476.44440308301</v>
      </c>
    </row>
    <row r="75" spans="2:39" ht="17.25" x14ac:dyDescent="0.25">
      <c r="B75" s="428" t="s">
        <v>832</v>
      </c>
      <c r="C75" s="269" t="s">
        <v>887</v>
      </c>
      <c r="D75" s="275">
        <v>139993</v>
      </c>
      <c r="E75" s="275">
        <v>29906.326792759752</v>
      </c>
      <c r="F75" s="275">
        <v>213627.3013133496</v>
      </c>
      <c r="G75" s="275">
        <v>99891</v>
      </c>
      <c r="H75" s="275">
        <v>21013.987875799579</v>
      </c>
      <c r="I75" s="275">
        <v>210369.18116546611</v>
      </c>
      <c r="J75" s="276">
        <v>239884</v>
      </c>
      <c r="K75" s="276">
        <v>50920.314668559338</v>
      </c>
      <c r="L75" s="276">
        <v>212270.57523035861</v>
      </c>
      <c r="M75" s="275">
        <v>140277</v>
      </c>
      <c r="N75" s="275">
        <v>29883.403902461268</v>
      </c>
      <c r="O75" s="275">
        <v>213031.38720147469</v>
      </c>
      <c r="P75" s="275">
        <v>99938</v>
      </c>
      <c r="Q75" s="275">
        <v>20966.626892246699</v>
      </c>
      <c r="R75" s="275">
        <v>209796.34265491299</v>
      </c>
      <c r="S75" s="277">
        <v>240215</v>
      </c>
      <c r="T75" s="277">
        <v>50850.030794707956</v>
      </c>
      <c r="U75" s="277">
        <v>211685.49339012121</v>
      </c>
      <c r="V75" s="275">
        <v>140673</v>
      </c>
      <c r="W75" s="275">
        <v>29932.665643</v>
      </c>
      <c r="X75" s="275">
        <v>212781.8816901609</v>
      </c>
      <c r="Y75" s="275">
        <v>100167</v>
      </c>
      <c r="Z75" s="275">
        <v>20994.260257999998</v>
      </c>
      <c r="AA75" s="275">
        <v>209592.582966446</v>
      </c>
      <c r="AB75" s="278">
        <v>240840</v>
      </c>
      <c r="AC75" s="278">
        <v>50926.925901000002</v>
      </c>
      <c r="AD75" s="278">
        <v>211455.43058046841</v>
      </c>
      <c r="AE75" s="275">
        <v>140314.33333333331</v>
      </c>
      <c r="AF75" s="275">
        <v>89722.39633822102</v>
      </c>
      <c r="AG75" s="275">
        <v>213146.85673499509</v>
      </c>
      <c r="AH75" s="275">
        <v>99998.666666666672</v>
      </c>
      <c r="AI75" s="275">
        <v>62974.875026046269</v>
      </c>
      <c r="AJ75" s="275">
        <v>209919.36892894169</v>
      </c>
      <c r="AK75" s="279">
        <v>240313</v>
      </c>
      <c r="AL75" s="279">
        <v>152697.2713642673</v>
      </c>
      <c r="AM75" s="279">
        <v>211803.83306698271</v>
      </c>
    </row>
    <row r="76" spans="2:39" ht="17.25" x14ac:dyDescent="0.25">
      <c r="B76" s="426" t="s">
        <v>513</v>
      </c>
      <c r="C76" s="269" t="s">
        <v>840</v>
      </c>
      <c r="D76" s="275">
        <v>10180</v>
      </c>
      <c r="E76" s="275">
        <v>2172.895066083277</v>
      </c>
      <c r="F76" s="275">
        <v>213447.45246397611</v>
      </c>
      <c r="G76" s="275">
        <v>4322</v>
      </c>
      <c r="H76" s="275">
        <v>927.8505152302929</v>
      </c>
      <c r="I76" s="275">
        <v>214680.8225891469</v>
      </c>
      <c r="J76" s="276">
        <v>14502</v>
      </c>
      <c r="K76" s="276">
        <v>3100.7455813135689</v>
      </c>
      <c r="L76" s="276">
        <v>213815.0311207812</v>
      </c>
      <c r="M76" s="275">
        <v>10192</v>
      </c>
      <c r="N76" s="275">
        <v>2169.4419625055889</v>
      </c>
      <c r="O76" s="275">
        <v>212857.33541067399</v>
      </c>
      <c r="P76" s="275">
        <v>4328</v>
      </c>
      <c r="Q76" s="275">
        <v>926.91495046400973</v>
      </c>
      <c r="R76" s="275">
        <v>214167.04031053829</v>
      </c>
      <c r="S76" s="277">
        <v>14520</v>
      </c>
      <c r="T76" s="277">
        <v>3096.3569129695979</v>
      </c>
      <c r="U76" s="277">
        <v>213247.72127889801</v>
      </c>
      <c r="V76" s="275">
        <v>11896</v>
      </c>
      <c r="W76" s="275">
        <v>2526.744784</v>
      </c>
      <c r="X76" s="275">
        <v>212402.89038332211</v>
      </c>
      <c r="Y76" s="275">
        <v>5391</v>
      </c>
      <c r="Z76" s="275">
        <v>1153.925356</v>
      </c>
      <c r="AA76" s="275">
        <v>214046.62511593389</v>
      </c>
      <c r="AB76" s="278">
        <v>17287</v>
      </c>
      <c r="AC76" s="278">
        <v>3680.6701400000002</v>
      </c>
      <c r="AD76" s="278">
        <v>212915.49372360739</v>
      </c>
      <c r="AE76" s="275">
        <v>10756</v>
      </c>
      <c r="AF76" s="275">
        <v>6869.0818125888654</v>
      </c>
      <c r="AG76" s="275">
        <v>212902.5594193241</v>
      </c>
      <c r="AH76" s="275">
        <v>4680.333333333333</v>
      </c>
      <c r="AI76" s="275">
        <v>3008.690821694302</v>
      </c>
      <c r="AJ76" s="275">
        <v>214298.16267187311</v>
      </c>
      <c r="AK76" s="279">
        <v>15436.33333333333</v>
      </c>
      <c r="AL76" s="279">
        <v>9877.7726342831684</v>
      </c>
      <c r="AM76" s="279">
        <v>213326.08204109551</v>
      </c>
    </row>
    <row r="77" spans="2:39" ht="17.25" x14ac:dyDescent="0.25">
      <c r="B77" s="427" t="s">
        <v>513</v>
      </c>
      <c r="C77" s="269" t="s">
        <v>886</v>
      </c>
      <c r="D77" s="275">
        <v>18860</v>
      </c>
      <c r="E77" s="275">
        <v>3995.673233868652</v>
      </c>
      <c r="F77" s="275">
        <v>211859.66245326889</v>
      </c>
      <c r="G77" s="275">
        <v>17134</v>
      </c>
      <c r="H77" s="275">
        <v>3624.5519936996061</v>
      </c>
      <c r="I77" s="275">
        <v>211541.49607211421</v>
      </c>
      <c r="J77" s="276">
        <v>35994</v>
      </c>
      <c r="K77" s="276">
        <v>7620.2252275682577</v>
      </c>
      <c r="L77" s="276">
        <v>211708.20768928871</v>
      </c>
      <c r="M77" s="275">
        <v>18910</v>
      </c>
      <c r="N77" s="275">
        <v>3995.7651773533739</v>
      </c>
      <c r="O77" s="275">
        <v>211304.34570879821</v>
      </c>
      <c r="P77" s="275">
        <v>17178</v>
      </c>
      <c r="Q77" s="275">
        <v>3624.5294664529279</v>
      </c>
      <c r="R77" s="275">
        <v>210998.33894824359</v>
      </c>
      <c r="S77" s="277">
        <v>36088</v>
      </c>
      <c r="T77" s="277">
        <v>7620.2946438063027</v>
      </c>
      <c r="U77" s="277">
        <v>211158.68554107469</v>
      </c>
      <c r="V77" s="275">
        <v>17295</v>
      </c>
      <c r="W77" s="275">
        <v>3648.7293399999999</v>
      </c>
      <c r="X77" s="275">
        <v>210970.1844463718</v>
      </c>
      <c r="Y77" s="275">
        <v>16191</v>
      </c>
      <c r="Z77" s="275">
        <v>3409.4738390000002</v>
      </c>
      <c r="AA77" s="275">
        <v>210578.33605089251</v>
      </c>
      <c r="AB77" s="278">
        <v>33486</v>
      </c>
      <c r="AC77" s="278">
        <v>7058.2031790000001</v>
      </c>
      <c r="AD77" s="278">
        <v>210780.71967389359</v>
      </c>
      <c r="AE77" s="275">
        <v>18355</v>
      </c>
      <c r="AF77" s="275">
        <v>11640.16775122203</v>
      </c>
      <c r="AG77" s="275">
        <v>211378.064202813</v>
      </c>
      <c r="AH77" s="275">
        <v>16834.333333333328</v>
      </c>
      <c r="AI77" s="275">
        <v>10658.555299152529</v>
      </c>
      <c r="AJ77" s="275">
        <v>211039.39035708341</v>
      </c>
      <c r="AK77" s="279">
        <v>35189.333333333343</v>
      </c>
      <c r="AL77" s="279">
        <v>22298.72305037456</v>
      </c>
      <c r="AM77" s="279">
        <v>211215.87096808571</v>
      </c>
    </row>
    <row r="78" spans="2:39" ht="17.25" x14ac:dyDescent="0.25">
      <c r="B78" s="427" t="s">
        <v>513</v>
      </c>
      <c r="C78" s="269" t="s">
        <v>842</v>
      </c>
      <c r="D78" s="275">
        <v>2202</v>
      </c>
      <c r="E78" s="275">
        <v>539.64527508199717</v>
      </c>
      <c r="F78" s="275">
        <v>245070.5154777462</v>
      </c>
      <c r="G78" s="275">
        <v>1827</v>
      </c>
      <c r="H78" s="275">
        <v>454.9277629018315</v>
      </c>
      <c r="I78" s="275">
        <v>249002.60695228871</v>
      </c>
      <c r="J78" s="276">
        <v>4029</v>
      </c>
      <c r="K78" s="276">
        <v>994.57303798382861</v>
      </c>
      <c r="L78" s="276">
        <v>246853.57110544271</v>
      </c>
      <c r="M78" s="275">
        <v>2195</v>
      </c>
      <c r="N78" s="275">
        <v>536.82151890801617</v>
      </c>
      <c r="O78" s="275">
        <v>244565.61225877731</v>
      </c>
      <c r="P78" s="275">
        <v>1817</v>
      </c>
      <c r="Q78" s="275">
        <v>451.6509273696463</v>
      </c>
      <c r="R78" s="275">
        <v>248569.5802804878</v>
      </c>
      <c r="S78" s="277">
        <v>4012</v>
      </c>
      <c r="T78" s="277">
        <v>988.47244627766247</v>
      </c>
      <c r="U78" s="277">
        <v>246378.9746454792</v>
      </c>
      <c r="V78" s="275">
        <v>2190</v>
      </c>
      <c r="W78" s="275">
        <v>535.04630399999996</v>
      </c>
      <c r="X78" s="275">
        <v>244313.38082191779</v>
      </c>
      <c r="Y78" s="275">
        <v>1806</v>
      </c>
      <c r="Z78" s="275">
        <v>449.04922299999998</v>
      </c>
      <c r="AA78" s="275">
        <v>248642.98062015499</v>
      </c>
      <c r="AB78" s="278">
        <v>3996</v>
      </c>
      <c r="AC78" s="278">
        <v>984.09552699999995</v>
      </c>
      <c r="AD78" s="278">
        <v>246270.1519019019</v>
      </c>
      <c r="AE78" s="275">
        <v>2195.666666666667</v>
      </c>
      <c r="AF78" s="275">
        <v>1611.513097990013</v>
      </c>
      <c r="AG78" s="275">
        <v>244649.83618614709</v>
      </c>
      <c r="AH78" s="275">
        <v>1816.666666666667</v>
      </c>
      <c r="AI78" s="275">
        <v>1355.6279132714781</v>
      </c>
      <c r="AJ78" s="275">
        <v>248738.38928431051</v>
      </c>
      <c r="AK78" s="279">
        <v>4012.333333333333</v>
      </c>
      <c r="AL78" s="279">
        <v>2967.1410112614908</v>
      </c>
      <c r="AM78" s="279">
        <v>246500.89921760789</v>
      </c>
    </row>
    <row r="79" spans="2:39" x14ac:dyDescent="0.25">
      <c r="B79" s="427" t="s">
        <v>513</v>
      </c>
      <c r="C79" s="269" t="s">
        <v>847</v>
      </c>
      <c r="D79" s="275">
        <v>3467</v>
      </c>
      <c r="E79" s="275">
        <v>744.88725477987521</v>
      </c>
      <c r="F79" s="275">
        <v>214850.66477642779</v>
      </c>
      <c r="G79" s="275">
        <v>2466</v>
      </c>
      <c r="H79" s="275">
        <v>530.12035792610698</v>
      </c>
      <c r="I79" s="275">
        <v>214971.75909412291</v>
      </c>
      <c r="J79" s="276">
        <v>5933</v>
      </c>
      <c r="K79" s="276">
        <v>1275.007612705982</v>
      </c>
      <c r="L79" s="276">
        <v>214900.9965794677</v>
      </c>
      <c r="M79" s="275">
        <v>3473</v>
      </c>
      <c r="N79" s="275">
        <v>744.27584312860336</v>
      </c>
      <c r="O79" s="275">
        <v>214303.4388507352</v>
      </c>
      <c r="P79" s="275">
        <v>2481</v>
      </c>
      <c r="Q79" s="275">
        <v>532.1350142324643</v>
      </c>
      <c r="R79" s="275">
        <v>214484.08473698681</v>
      </c>
      <c r="S79" s="277">
        <v>5954</v>
      </c>
      <c r="T79" s="277">
        <v>1276.4108573610681</v>
      </c>
      <c r="U79" s="277">
        <v>214378.71302671611</v>
      </c>
      <c r="V79" s="275">
        <v>3462</v>
      </c>
      <c r="W79" s="275">
        <v>741.26591900000005</v>
      </c>
      <c r="X79" s="275">
        <v>214114.93905257079</v>
      </c>
      <c r="Y79" s="275">
        <v>2497</v>
      </c>
      <c r="Z79" s="275">
        <v>535.09711200000004</v>
      </c>
      <c r="AA79" s="275">
        <v>214296</v>
      </c>
      <c r="AB79" s="278">
        <v>5959</v>
      </c>
      <c r="AC79" s="278">
        <v>1276.3630310000001</v>
      </c>
      <c r="AD79" s="278">
        <v>214190.8090283605</v>
      </c>
      <c r="AE79" s="275">
        <v>3467.333333333333</v>
      </c>
      <c r="AF79" s="275">
        <v>2230.4290169084788</v>
      </c>
      <c r="AG79" s="275">
        <v>214423.01422657791</v>
      </c>
      <c r="AH79" s="275">
        <v>2481.333333333333</v>
      </c>
      <c r="AI79" s="275">
        <v>1597.3524841585711</v>
      </c>
      <c r="AJ79" s="275">
        <v>214583.94794370321</v>
      </c>
      <c r="AK79" s="279">
        <v>5948.666666666667</v>
      </c>
      <c r="AL79" s="279">
        <v>3827.7815010670502</v>
      </c>
      <c r="AM79" s="279">
        <v>214490.17287818139</v>
      </c>
    </row>
    <row r="80" spans="2:39" x14ac:dyDescent="0.25">
      <c r="B80" s="427" t="s">
        <v>513</v>
      </c>
      <c r="C80" s="269" t="s">
        <v>848</v>
      </c>
      <c r="D80" s="275">
        <v>1412</v>
      </c>
      <c r="E80" s="275">
        <v>268.88504001033817</v>
      </c>
      <c r="F80" s="275">
        <v>190428.49859089099</v>
      </c>
      <c r="G80" s="275">
        <v>1854</v>
      </c>
      <c r="H80" s="275">
        <v>327.41274372437567</v>
      </c>
      <c r="I80" s="275">
        <v>176598.02789880021</v>
      </c>
      <c r="J80" s="276">
        <v>3266</v>
      </c>
      <c r="K80" s="276">
        <v>596.2977837347139</v>
      </c>
      <c r="L80" s="276">
        <v>182577.39857155969</v>
      </c>
      <c r="M80" s="275">
        <v>1418</v>
      </c>
      <c r="N80" s="275">
        <v>268.91583586409098</v>
      </c>
      <c r="O80" s="275">
        <v>189644.45406494429</v>
      </c>
      <c r="P80" s="275">
        <v>1863</v>
      </c>
      <c r="Q80" s="275">
        <v>328.12227799883931</v>
      </c>
      <c r="R80" s="275">
        <v>176125.75308579669</v>
      </c>
      <c r="S80" s="277">
        <v>3281</v>
      </c>
      <c r="T80" s="277">
        <v>597.03811386293023</v>
      </c>
      <c r="U80" s="277">
        <v>181968.33705057311</v>
      </c>
      <c r="V80" s="275">
        <v>1417</v>
      </c>
      <c r="W80" s="275">
        <v>268.43611399999998</v>
      </c>
      <c r="X80" s="275">
        <v>189439.7417078334</v>
      </c>
      <c r="Y80" s="275">
        <v>1859</v>
      </c>
      <c r="Z80" s="275">
        <v>326.76457699999997</v>
      </c>
      <c r="AA80" s="275">
        <v>175774.38246369021</v>
      </c>
      <c r="AB80" s="278">
        <v>3276</v>
      </c>
      <c r="AC80" s="278">
        <v>595.20069100000001</v>
      </c>
      <c r="AD80" s="278">
        <v>181685.1926129426</v>
      </c>
      <c r="AE80" s="275">
        <v>1415.666666666667</v>
      </c>
      <c r="AF80" s="275">
        <v>806.23698987442913</v>
      </c>
      <c r="AG80" s="275">
        <v>189837.5647878896</v>
      </c>
      <c r="AH80" s="275">
        <v>1858.666666666667</v>
      </c>
      <c r="AI80" s="275">
        <v>982.29959872321501</v>
      </c>
      <c r="AJ80" s="275">
        <v>176166.05448276241</v>
      </c>
      <c r="AK80" s="279">
        <v>3274.333333333333</v>
      </c>
      <c r="AL80" s="279">
        <v>1788.5365885976439</v>
      </c>
      <c r="AM80" s="279">
        <v>182076.97607835839</v>
      </c>
    </row>
    <row r="81" spans="2:39" ht="17.25" x14ac:dyDescent="0.25">
      <c r="B81" s="428" t="s">
        <v>513</v>
      </c>
      <c r="C81" s="269" t="s">
        <v>887</v>
      </c>
      <c r="D81" s="275">
        <v>36121</v>
      </c>
      <c r="E81" s="275">
        <v>7721.9858698241378</v>
      </c>
      <c r="F81" s="275">
        <v>213781.06558024799</v>
      </c>
      <c r="G81" s="275">
        <v>27603</v>
      </c>
      <c r="H81" s="275">
        <v>5864.8633734822124</v>
      </c>
      <c r="I81" s="275">
        <v>212471.95498613239</v>
      </c>
      <c r="J81" s="276">
        <v>63724</v>
      </c>
      <c r="K81" s="276">
        <v>13586.849243306349</v>
      </c>
      <c r="L81" s="276">
        <v>213214.00482245861</v>
      </c>
      <c r="M81" s="275">
        <v>36188</v>
      </c>
      <c r="N81" s="275">
        <v>7715.2203377596743</v>
      </c>
      <c r="O81" s="275">
        <v>213198.30711174081</v>
      </c>
      <c r="P81" s="275">
        <v>27667</v>
      </c>
      <c r="Q81" s="275">
        <v>5863.3526365178886</v>
      </c>
      <c r="R81" s="275">
        <v>211925.8552252824</v>
      </c>
      <c r="S81" s="277">
        <v>63855</v>
      </c>
      <c r="T81" s="277">
        <v>13578.57297427756</v>
      </c>
      <c r="U81" s="277">
        <v>212646.98103950449</v>
      </c>
      <c r="V81" s="275">
        <v>36260</v>
      </c>
      <c r="W81" s="275">
        <v>7720.2224610000003</v>
      </c>
      <c r="X81" s="275">
        <v>212912.9194980695</v>
      </c>
      <c r="Y81" s="275">
        <v>27744</v>
      </c>
      <c r="Z81" s="275">
        <v>5874.3101070000002</v>
      </c>
      <c r="AA81" s="275">
        <v>211732.6307309689</v>
      </c>
      <c r="AB81" s="278">
        <v>64004</v>
      </c>
      <c r="AC81" s="278">
        <v>13594.532568000001</v>
      </c>
      <c r="AD81" s="278">
        <v>212401.29629398161</v>
      </c>
      <c r="AE81" s="275">
        <v>36189.666666666657</v>
      </c>
      <c r="AF81" s="275">
        <v>23157.428668583809</v>
      </c>
      <c r="AG81" s="275">
        <v>213297.43073001941</v>
      </c>
      <c r="AH81" s="275">
        <v>27671.333333333328</v>
      </c>
      <c r="AI81" s="275">
        <v>17602.526117000099</v>
      </c>
      <c r="AJ81" s="275">
        <v>212043.4803141279</v>
      </c>
      <c r="AK81" s="279">
        <v>63861</v>
      </c>
      <c r="AL81" s="279">
        <v>40759.954785583912</v>
      </c>
      <c r="AM81" s="279">
        <v>212754.09405198161</v>
      </c>
    </row>
    <row r="82" spans="2:39" ht="17.25" x14ac:dyDescent="0.25">
      <c r="B82" s="426" t="s">
        <v>518</v>
      </c>
      <c r="C82" s="269" t="s">
        <v>840</v>
      </c>
      <c r="D82" s="275">
        <v>30771</v>
      </c>
      <c r="E82" s="275">
        <v>6570.5372903891503</v>
      </c>
      <c r="F82" s="275">
        <v>213530.1839520701</v>
      </c>
      <c r="G82" s="275">
        <v>15067</v>
      </c>
      <c r="H82" s="275">
        <v>3237.2297602095941</v>
      </c>
      <c r="I82" s="275">
        <v>214855.62887167951</v>
      </c>
      <c r="J82" s="276">
        <v>45838</v>
      </c>
      <c r="K82" s="276">
        <v>9807.7670505987444</v>
      </c>
      <c r="L82" s="276">
        <v>213965.8591255889</v>
      </c>
      <c r="M82" s="275">
        <v>30795</v>
      </c>
      <c r="N82" s="275">
        <v>6557.8226280492572</v>
      </c>
      <c r="O82" s="275">
        <v>212950.8890420282</v>
      </c>
      <c r="P82" s="275">
        <v>15088</v>
      </c>
      <c r="Q82" s="275">
        <v>3233.4839720168238</v>
      </c>
      <c r="R82" s="275">
        <v>214308.32264162411</v>
      </c>
      <c r="S82" s="277">
        <v>45883</v>
      </c>
      <c r="T82" s="277">
        <v>9791.306600066082</v>
      </c>
      <c r="U82" s="277">
        <v>213397.26260414711</v>
      </c>
      <c r="V82" s="275">
        <v>35079</v>
      </c>
      <c r="W82" s="275">
        <v>7458.0293860000002</v>
      </c>
      <c r="X82" s="275">
        <v>212606.67025855929</v>
      </c>
      <c r="Y82" s="275">
        <v>19118</v>
      </c>
      <c r="Z82" s="275">
        <v>4094.265073</v>
      </c>
      <c r="AA82" s="275">
        <v>214157.60398577261</v>
      </c>
      <c r="AB82" s="278">
        <v>54197</v>
      </c>
      <c r="AC82" s="278">
        <v>11552.294459000001</v>
      </c>
      <c r="AD82" s="278">
        <v>213153.76236692071</v>
      </c>
      <c r="AE82" s="275">
        <v>32215</v>
      </c>
      <c r="AF82" s="275">
        <v>20586.389304438409</v>
      </c>
      <c r="AG82" s="275">
        <v>213029.24775088581</v>
      </c>
      <c r="AH82" s="275">
        <v>16424.333333333328</v>
      </c>
      <c r="AI82" s="275">
        <v>10564.978805226419</v>
      </c>
      <c r="AJ82" s="275">
        <v>214440.518499692</v>
      </c>
      <c r="AK82" s="279">
        <v>48639.333333333343</v>
      </c>
      <c r="AL82" s="279">
        <v>31151.368109664829</v>
      </c>
      <c r="AM82" s="279">
        <v>213505.6280322189</v>
      </c>
    </row>
    <row r="83" spans="2:39" ht="17.25" x14ac:dyDescent="0.25">
      <c r="B83" s="427" t="s">
        <v>518</v>
      </c>
      <c r="C83" s="269" t="s">
        <v>886</v>
      </c>
      <c r="D83" s="275">
        <v>42621</v>
      </c>
      <c r="E83" s="275">
        <v>9035.612295258321</v>
      </c>
      <c r="F83" s="275">
        <v>211999.06842303841</v>
      </c>
      <c r="G83" s="275">
        <v>39565</v>
      </c>
      <c r="H83" s="275">
        <v>8385.7738782661509</v>
      </c>
      <c r="I83" s="275">
        <v>211949.29554571339</v>
      </c>
      <c r="J83" s="276">
        <v>82186</v>
      </c>
      <c r="K83" s="276">
        <v>17421.386173524472</v>
      </c>
      <c r="L83" s="276">
        <v>211975.1073604321</v>
      </c>
      <c r="M83" s="275">
        <v>42731</v>
      </c>
      <c r="N83" s="275">
        <v>9035.3051855847953</v>
      </c>
      <c r="O83" s="275">
        <v>211446.1441479206</v>
      </c>
      <c r="P83" s="275">
        <v>39664</v>
      </c>
      <c r="Q83" s="275">
        <v>8384.6400092399035</v>
      </c>
      <c r="R83" s="275">
        <v>211391.69043061469</v>
      </c>
      <c r="S83" s="277">
        <v>82395</v>
      </c>
      <c r="T83" s="277">
        <v>17419.945194824701</v>
      </c>
      <c r="U83" s="277">
        <v>211419.93075823411</v>
      </c>
      <c r="V83" s="275">
        <v>38606</v>
      </c>
      <c r="W83" s="275">
        <v>8151.0824419999999</v>
      </c>
      <c r="X83" s="275">
        <v>211135.11998135</v>
      </c>
      <c r="Y83" s="275">
        <v>35782</v>
      </c>
      <c r="Z83" s="275">
        <v>7545.3921609999998</v>
      </c>
      <c r="AA83" s="275">
        <v>210871.1687720083</v>
      </c>
      <c r="AB83" s="278">
        <v>74388</v>
      </c>
      <c r="AC83" s="278">
        <v>15696.474603000001</v>
      </c>
      <c r="AD83" s="278">
        <v>211008.15458138409</v>
      </c>
      <c r="AE83" s="275">
        <v>41319.333333333343</v>
      </c>
      <c r="AF83" s="275">
        <v>26221.999922843119</v>
      </c>
      <c r="AG83" s="275">
        <v>211526.77751743639</v>
      </c>
      <c r="AH83" s="275">
        <v>38337</v>
      </c>
      <c r="AI83" s="275">
        <v>24315.80604850606</v>
      </c>
      <c r="AJ83" s="275">
        <v>211404.0515827788</v>
      </c>
      <c r="AK83" s="279">
        <v>79656.333333333328</v>
      </c>
      <c r="AL83" s="279">
        <v>50537.805971349168</v>
      </c>
      <c r="AM83" s="279">
        <v>211467.73090001679</v>
      </c>
    </row>
    <row r="84" spans="2:39" ht="17.25" x14ac:dyDescent="0.25">
      <c r="B84" s="427" t="s">
        <v>518</v>
      </c>
      <c r="C84" s="269" t="s">
        <v>842</v>
      </c>
      <c r="D84" s="275">
        <v>4677</v>
      </c>
      <c r="E84" s="275">
        <v>1152.195804292717</v>
      </c>
      <c r="F84" s="275">
        <v>246353.60365463281</v>
      </c>
      <c r="G84" s="275">
        <v>4041</v>
      </c>
      <c r="H84" s="275">
        <v>1004.123659128154</v>
      </c>
      <c r="I84" s="275">
        <v>248483.954250966</v>
      </c>
      <c r="J84" s="276">
        <v>8718</v>
      </c>
      <c r="K84" s="276">
        <v>2156.3194634208712</v>
      </c>
      <c r="L84" s="276">
        <v>247341.0717390308</v>
      </c>
      <c r="M84" s="275">
        <v>4668</v>
      </c>
      <c r="N84" s="275">
        <v>1147.615692693543</v>
      </c>
      <c r="O84" s="275">
        <v>245847.40631823981</v>
      </c>
      <c r="P84" s="275">
        <v>4020</v>
      </c>
      <c r="Q84" s="275">
        <v>997.05270845530447</v>
      </c>
      <c r="R84" s="275">
        <v>248023.0618048021</v>
      </c>
      <c r="S84" s="277">
        <v>8688</v>
      </c>
      <c r="T84" s="277">
        <v>2144.6684011488478</v>
      </c>
      <c r="U84" s="277">
        <v>246854.09773812711</v>
      </c>
      <c r="V84" s="275">
        <v>4659</v>
      </c>
      <c r="W84" s="275">
        <v>1144.1486649999999</v>
      </c>
      <c r="X84" s="275">
        <v>245578.1637690491</v>
      </c>
      <c r="Y84" s="275">
        <v>3987</v>
      </c>
      <c r="Z84" s="275">
        <v>988.28411800000003</v>
      </c>
      <c r="AA84" s="275">
        <v>247876.628542764</v>
      </c>
      <c r="AB84" s="278">
        <v>8646</v>
      </c>
      <c r="AC84" s="278">
        <v>2132.4327830000002</v>
      </c>
      <c r="AD84" s="278">
        <v>246638.07344436739</v>
      </c>
      <c r="AE84" s="275">
        <v>4668</v>
      </c>
      <c r="AF84" s="275">
        <v>3443.960161986261</v>
      </c>
      <c r="AG84" s="275">
        <v>245926.39124730721</v>
      </c>
      <c r="AH84" s="275">
        <v>4016</v>
      </c>
      <c r="AI84" s="275">
        <v>2989.4604855834582</v>
      </c>
      <c r="AJ84" s="275">
        <v>248127.88153284401</v>
      </c>
      <c r="AK84" s="279">
        <v>8684</v>
      </c>
      <c r="AL84" s="279">
        <v>6433.4206475697192</v>
      </c>
      <c r="AM84" s="279">
        <v>246944.41430717509</v>
      </c>
    </row>
    <row r="85" spans="2:39" x14ac:dyDescent="0.25">
      <c r="B85" s="427" t="s">
        <v>518</v>
      </c>
      <c r="C85" s="269" t="s">
        <v>847</v>
      </c>
      <c r="D85" s="275">
        <v>8385</v>
      </c>
      <c r="E85" s="275">
        <v>1802.2323605439551</v>
      </c>
      <c r="F85" s="275">
        <v>214935.28450136611</v>
      </c>
      <c r="G85" s="275">
        <v>6619</v>
      </c>
      <c r="H85" s="275">
        <v>1422.8510790702539</v>
      </c>
      <c r="I85" s="275">
        <v>214964.65917362951</v>
      </c>
      <c r="J85" s="276">
        <v>15004</v>
      </c>
      <c r="K85" s="276">
        <v>3225.0834396142091</v>
      </c>
      <c r="L85" s="276">
        <v>214948.2431094514</v>
      </c>
      <c r="M85" s="275">
        <v>8414</v>
      </c>
      <c r="N85" s="275">
        <v>1803.8594800171591</v>
      </c>
      <c r="O85" s="275">
        <v>214387.86308737329</v>
      </c>
      <c r="P85" s="275">
        <v>6616</v>
      </c>
      <c r="Q85" s="275">
        <v>1418.581546252972</v>
      </c>
      <c r="R85" s="275">
        <v>214416.7996150199</v>
      </c>
      <c r="S85" s="277">
        <v>15030</v>
      </c>
      <c r="T85" s="277">
        <v>3222.4410262701308</v>
      </c>
      <c r="U85" s="277">
        <v>214400.60055024159</v>
      </c>
      <c r="V85" s="275">
        <v>8413</v>
      </c>
      <c r="W85" s="275">
        <v>1802.063349</v>
      </c>
      <c r="X85" s="275">
        <v>214199.85130155709</v>
      </c>
      <c r="Y85" s="275">
        <v>6622</v>
      </c>
      <c r="Z85" s="275">
        <v>1418.6233440000001</v>
      </c>
      <c r="AA85" s="275">
        <v>214228.8347931139</v>
      </c>
      <c r="AB85" s="278">
        <v>15035</v>
      </c>
      <c r="AC85" s="278">
        <v>3220.6866930000001</v>
      </c>
      <c r="AD85" s="278">
        <v>214212.61676089131</v>
      </c>
      <c r="AE85" s="275">
        <v>8404</v>
      </c>
      <c r="AF85" s="275">
        <v>5408.1551895611137</v>
      </c>
      <c r="AG85" s="275">
        <v>214507.6662967655</v>
      </c>
      <c r="AH85" s="275">
        <v>6619</v>
      </c>
      <c r="AI85" s="275">
        <v>4260.0559693232262</v>
      </c>
      <c r="AJ85" s="275">
        <v>214536.76452725439</v>
      </c>
      <c r="AK85" s="279">
        <v>15023</v>
      </c>
      <c r="AL85" s="279">
        <v>9668.21115888434</v>
      </c>
      <c r="AM85" s="279">
        <v>214520.48680686139</v>
      </c>
    </row>
    <row r="86" spans="2:39" x14ac:dyDescent="0.25">
      <c r="B86" s="427" t="s">
        <v>518</v>
      </c>
      <c r="C86" s="269" t="s">
        <v>848</v>
      </c>
      <c r="D86" s="275">
        <v>2497</v>
      </c>
      <c r="E86" s="275">
        <v>467.28939855149218</v>
      </c>
      <c r="F86" s="275">
        <v>187140.32781397371</v>
      </c>
      <c r="G86" s="275">
        <v>3689</v>
      </c>
      <c r="H86" s="275">
        <v>666.25886152607438</v>
      </c>
      <c r="I86" s="275">
        <v>180606.90201303179</v>
      </c>
      <c r="J86" s="276">
        <v>6186</v>
      </c>
      <c r="K86" s="276">
        <v>1133.548260077567</v>
      </c>
      <c r="L86" s="276">
        <v>183244.1416226264</v>
      </c>
      <c r="M86" s="275">
        <v>2496</v>
      </c>
      <c r="N86" s="275">
        <v>465.45803505689543</v>
      </c>
      <c r="O86" s="275">
        <v>186481.58455805111</v>
      </c>
      <c r="P86" s="275">
        <v>3674</v>
      </c>
      <c r="Q86" s="275">
        <v>662.89716978770798</v>
      </c>
      <c r="R86" s="275">
        <v>180429.2786575144</v>
      </c>
      <c r="S86" s="277">
        <v>6170</v>
      </c>
      <c r="T86" s="277">
        <v>1128.3552048446029</v>
      </c>
      <c r="U86" s="277">
        <v>182877.66691160511</v>
      </c>
      <c r="V86" s="275">
        <v>2473</v>
      </c>
      <c r="W86" s="275">
        <v>460.73886099999999</v>
      </c>
      <c r="X86" s="275">
        <v>186307.66720582289</v>
      </c>
      <c r="Y86" s="275">
        <v>3665</v>
      </c>
      <c r="Z86" s="275">
        <v>660.62320599999998</v>
      </c>
      <c r="AA86" s="275">
        <v>180251.89795361529</v>
      </c>
      <c r="AB86" s="278">
        <v>6138</v>
      </c>
      <c r="AC86" s="278">
        <v>1121.362067</v>
      </c>
      <c r="AD86" s="278">
        <v>182691.76718800911</v>
      </c>
      <c r="AE86" s="275">
        <v>2488.666666666667</v>
      </c>
      <c r="AF86" s="275">
        <v>1393.4862946083881</v>
      </c>
      <c r="AG86" s="275">
        <v>186643.19319261581</v>
      </c>
      <c r="AH86" s="275">
        <v>3676</v>
      </c>
      <c r="AI86" s="275">
        <v>1989.779237313782</v>
      </c>
      <c r="AJ86" s="275">
        <v>180429.35954138721</v>
      </c>
      <c r="AK86" s="279">
        <v>6164.666666666667</v>
      </c>
      <c r="AL86" s="279">
        <v>3383.2655319221699</v>
      </c>
      <c r="AM86" s="279">
        <v>182937.85857408019</v>
      </c>
    </row>
    <row r="87" spans="2:39" ht="17.25" x14ac:dyDescent="0.25">
      <c r="B87" s="428" t="s">
        <v>518</v>
      </c>
      <c r="C87" s="269" t="s">
        <v>887</v>
      </c>
      <c r="D87" s="275">
        <v>88951</v>
      </c>
      <c r="E87" s="275">
        <v>19027.867149035639</v>
      </c>
      <c r="F87" s="275">
        <v>213914.0329960949</v>
      </c>
      <c r="G87" s="275">
        <v>68981</v>
      </c>
      <c r="H87" s="275">
        <v>14716.23723820023</v>
      </c>
      <c r="I87" s="275">
        <v>213337.5456748993</v>
      </c>
      <c r="J87" s="276">
        <v>157932</v>
      </c>
      <c r="K87" s="276">
        <v>33744.104387235857</v>
      </c>
      <c r="L87" s="276">
        <v>213662.2368312683</v>
      </c>
      <c r="M87" s="275">
        <v>89104</v>
      </c>
      <c r="N87" s="275">
        <v>19010.061021401649</v>
      </c>
      <c r="O87" s="275">
        <v>213346.88702417011</v>
      </c>
      <c r="P87" s="275">
        <v>69062</v>
      </c>
      <c r="Q87" s="275">
        <v>14696.65540575271</v>
      </c>
      <c r="R87" s="275">
        <v>212803.79087997321</v>
      </c>
      <c r="S87" s="277">
        <v>158166</v>
      </c>
      <c r="T87" s="277">
        <v>33706.716427154359</v>
      </c>
      <c r="U87" s="277">
        <v>213109.7481579755</v>
      </c>
      <c r="V87" s="275">
        <v>89230</v>
      </c>
      <c r="W87" s="275">
        <v>19016.062703</v>
      </c>
      <c r="X87" s="275">
        <v>213112.8847136613</v>
      </c>
      <c r="Y87" s="275">
        <v>69174</v>
      </c>
      <c r="Z87" s="275">
        <v>14707.187902</v>
      </c>
      <c r="AA87" s="275">
        <v>212611.50001445631</v>
      </c>
      <c r="AB87" s="278">
        <v>158404</v>
      </c>
      <c r="AC87" s="278">
        <v>33723.250605000001</v>
      </c>
      <c r="AD87" s="278">
        <v>212893.9332655741</v>
      </c>
      <c r="AE87" s="275">
        <v>89095</v>
      </c>
      <c r="AF87" s="275">
        <v>57053.990873437288</v>
      </c>
      <c r="AG87" s="275">
        <v>213457.93491130881</v>
      </c>
      <c r="AH87" s="275">
        <v>69072.333333333328</v>
      </c>
      <c r="AI87" s="275">
        <v>44120.080545952937</v>
      </c>
      <c r="AJ87" s="275">
        <v>212917.61218977629</v>
      </c>
      <c r="AK87" s="279">
        <v>158167.33333333331</v>
      </c>
      <c r="AL87" s="279">
        <v>101174.07141939019</v>
      </c>
      <c r="AM87" s="279">
        <v>213221.97275160599</v>
      </c>
    </row>
    <row r="88" spans="2:39" ht="17.25" x14ac:dyDescent="0.25">
      <c r="B88" s="426" t="s">
        <v>514</v>
      </c>
      <c r="C88" s="269" t="s">
        <v>840</v>
      </c>
      <c r="D88" s="275">
        <v>21748</v>
      </c>
      <c r="E88" s="275">
        <v>4652.9782119690963</v>
      </c>
      <c r="F88" s="275">
        <v>213949.70627042011</v>
      </c>
      <c r="G88" s="275">
        <v>10956</v>
      </c>
      <c r="H88" s="275">
        <v>2353.6905549409939</v>
      </c>
      <c r="I88" s="275">
        <v>214831.19340461801</v>
      </c>
      <c r="J88" s="276">
        <v>32704</v>
      </c>
      <c r="K88" s="276">
        <v>7006.6687669100911</v>
      </c>
      <c r="L88" s="276">
        <v>214245.00877293569</v>
      </c>
      <c r="M88" s="275">
        <v>21768</v>
      </c>
      <c r="N88" s="275">
        <v>4643.9689182236916</v>
      </c>
      <c r="O88" s="275">
        <v>213339.25570671129</v>
      </c>
      <c r="P88" s="275">
        <v>10984</v>
      </c>
      <c r="Q88" s="275">
        <v>2353.697820597195</v>
      </c>
      <c r="R88" s="275">
        <v>214284.2152765108</v>
      </c>
      <c r="S88" s="277">
        <v>32752</v>
      </c>
      <c r="T88" s="277">
        <v>6997.6667388208862</v>
      </c>
      <c r="U88" s="277">
        <v>213656.1656943358</v>
      </c>
      <c r="V88" s="275">
        <v>25220</v>
      </c>
      <c r="W88" s="275">
        <v>5371.9757870000003</v>
      </c>
      <c r="X88" s="275">
        <v>213004.59107850911</v>
      </c>
      <c r="Y88" s="275">
        <v>13603</v>
      </c>
      <c r="Z88" s="275">
        <v>2912.8794560000001</v>
      </c>
      <c r="AA88" s="275">
        <v>214135.07726236861</v>
      </c>
      <c r="AB88" s="278">
        <v>38823</v>
      </c>
      <c r="AC88" s="278">
        <v>8284.855243</v>
      </c>
      <c r="AD88" s="278">
        <v>213400.69657161989</v>
      </c>
      <c r="AE88" s="275">
        <v>22912</v>
      </c>
      <c r="AF88" s="275">
        <v>14668.922917192789</v>
      </c>
      <c r="AG88" s="275">
        <v>213431.18435188019</v>
      </c>
      <c r="AH88" s="275">
        <v>11847.66666666667</v>
      </c>
      <c r="AI88" s="275">
        <v>7620.2678315381891</v>
      </c>
      <c r="AJ88" s="275">
        <v>214416.82864783239</v>
      </c>
      <c r="AK88" s="279">
        <v>34759.666666666657</v>
      </c>
      <c r="AL88" s="279">
        <v>22289.19074873098</v>
      </c>
      <c r="AM88" s="279">
        <v>213767.29034629709</v>
      </c>
    </row>
    <row r="89" spans="2:39" ht="17.25" x14ac:dyDescent="0.25">
      <c r="B89" s="427" t="s">
        <v>514</v>
      </c>
      <c r="C89" s="269" t="s">
        <v>886</v>
      </c>
      <c r="D89" s="275">
        <v>35014</v>
      </c>
      <c r="E89" s="275">
        <v>7424.4940035495056</v>
      </c>
      <c r="F89" s="275">
        <v>212043.58266834711</v>
      </c>
      <c r="G89" s="275">
        <v>31730</v>
      </c>
      <c r="H89" s="275">
        <v>6715.8846070754953</v>
      </c>
      <c r="I89" s="275">
        <v>211657.25203515589</v>
      </c>
      <c r="J89" s="276">
        <v>66744</v>
      </c>
      <c r="K89" s="276">
        <v>14140.378610625001</v>
      </c>
      <c r="L89" s="276">
        <v>211859.92165026069</v>
      </c>
      <c r="M89" s="275">
        <v>35140</v>
      </c>
      <c r="N89" s="275">
        <v>7430.4663621618347</v>
      </c>
      <c r="O89" s="275">
        <v>211453.2260148502</v>
      </c>
      <c r="P89" s="275">
        <v>31824</v>
      </c>
      <c r="Q89" s="275">
        <v>6717.021276047727</v>
      </c>
      <c r="R89" s="275">
        <v>211067.78770889039</v>
      </c>
      <c r="S89" s="277">
        <v>66964</v>
      </c>
      <c r="T89" s="277">
        <v>14147.487638209561</v>
      </c>
      <c r="U89" s="277">
        <v>211270.05014947671</v>
      </c>
      <c r="V89" s="275">
        <v>31832</v>
      </c>
      <c r="W89" s="275">
        <v>6720.0913559999999</v>
      </c>
      <c r="X89" s="275">
        <v>211111.18861522991</v>
      </c>
      <c r="Y89" s="275">
        <v>29376</v>
      </c>
      <c r="Z89" s="275">
        <v>6185.3190549999999</v>
      </c>
      <c r="AA89" s="275">
        <v>210556.8850422113</v>
      </c>
      <c r="AB89" s="278">
        <v>61208</v>
      </c>
      <c r="AC89" s="278">
        <v>12905.410411000001</v>
      </c>
      <c r="AD89" s="278">
        <v>210845.15767546729</v>
      </c>
      <c r="AE89" s="275">
        <v>33995.333333333343</v>
      </c>
      <c r="AF89" s="275">
        <v>21575.051721711341</v>
      </c>
      <c r="AG89" s="275">
        <v>211535.99909947571</v>
      </c>
      <c r="AH89" s="275">
        <v>30976.666666666672</v>
      </c>
      <c r="AI89" s="275">
        <v>19618.224938123221</v>
      </c>
      <c r="AJ89" s="275">
        <v>211093.97492875249</v>
      </c>
      <c r="AK89" s="279">
        <v>64972</v>
      </c>
      <c r="AL89" s="279">
        <v>41193.276659834562</v>
      </c>
      <c r="AM89" s="279">
        <v>211325.04315840159</v>
      </c>
    </row>
    <row r="90" spans="2:39" ht="17.25" x14ac:dyDescent="0.25">
      <c r="B90" s="427" t="s">
        <v>514</v>
      </c>
      <c r="C90" s="269" t="s">
        <v>842</v>
      </c>
      <c r="D90" s="275">
        <v>4688</v>
      </c>
      <c r="E90" s="275">
        <v>1156.771178453904</v>
      </c>
      <c r="F90" s="275">
        <v>246751.53124016721</v>
      </c>
      <c r="G90" s="275">
        <v>3698</v>
      </c>
      <c r="H90" s="275">
        <v>922.19836310388075</v>
      </c>
      <c r="I90" s="275">
        <v>249377.59954134151</v>
      </c>
      <c r="J90" s="276">
        <v>8386</v>
      </c>
      <c r="K90" s="276">
        <v>2078.9695415577839</v>
      </c>
      <c r="L90" s="276">
        <v>247909.5565892898</v>
      </c>
      <c r="M90" s="275">
        <v>4679</v>
      </c>
      <c r="N90" s="275">
        <v>1152.1981271081161</v>
      </c>
      <c r="O90" s="275">
        <v>246248.79827059541</v>
      </c>
      <c r="P90" s="275">
        <v>3681</v>
      </c>
      <c r="Q90" s="275">
        <v>916.15727187293055</v>
      </c>
      <c r="R90" s="275">
        <v>248888.14775140741</v>
      </c>
      <c r="S90" s="277">
        <v>8360</v>
      </c>
      <c r="T90" s="277">
        <v>2068.3553989810471</v>
      </c>
      <c r="U90" s="277">
        <v>247410.93289246969</v>
      </c>
      <c r="V90" s="275">
        <v>4665</v>
      </c>
      <c r="W90" s="275">
        <v>1147.784214</v>
      </c>
      <c r="X90" s="275">
        <v>246041.6321543408</v>
      </c>
      <c r="Y90" s="275">
        <v>3658</v>
      </c>
      <c r="Z90" s="275">
        <v>909.98169099999996</v>
      </c>
      <c r="AA90" s="275">
        <v>248764.81437944231</v>
      </c>
      <c r="AB90" s="278">
        <v>8323</v>
      </c>
      <c r="AC90" s="278">
        <v>2057.7659050000002</v>
      </c>
      <c r="AD90" s="278">
        <v>247238.4843205575</v>
      </c>
      <c r="AE90" s="275">
        <v>4677.333333333333</v>
      </c>
      <c r="AF90" s="275">
        <v>3456.7535195620189</v>
      </c>
      <c r="AG90" s="275">
        <v>246347.3205550345</v>
      </c>
      <c r="AH90" s="275">
        <v>3679</v>
      </c>
      <c r="AI90" s="275">
        <v>2748.3373259768109</v>
      </c>
      <c r="AJ90" s="275">
        <v>249010.1872240637</v>
      </c>
      <c r="AK90" s="279">
        <v>8356.3333333333339</v>
      </c>
      <c r="AL90" s="279">
        <v>6205.0908455388308</v>
      </c>
      <c r="AM90" s="279">
        <v>247519.65793410569</v>
      </c>
    </row>
    <row r="91" spans="2:39" x14ac:dyDescent="0.25">
      <c r="B91" s="427" t="s">
        <v>514</v>
      </c>
      <c r="C91" s="269" t="s">
        <v>847</v>
      </c>
      <c r="D91" s="275">
        <v>7274</v>
      </c>
      <c r="E91" s="275">
        <v>1563.8618270607301</v>
      </c>
      <c r="F91" s="275">
        <v>214993.3773798089</v>
      </c>
      <c r="G91" s="275">
        <v>5752</v>
      </c>
      <c r="H91" s="275">
        <v>1236.567026071232</v>
      </c>
      <c r="I91" s="275">
        <v>214980.35919179971</v>
      </c>
      <c r="J91" s="276">
        <v>13026</v>
      </c>
      <c r="K91" s="276">
        <v>2800.4288531319612</v>
      </c>
      <c r="L91" s="276">
        <v>214987.6288294151</v>
      </c>
      <c r="M91" s="275">
        <v>7303</v>
      </c>
      <c r="N91" s="275">
        <v>1566.096424555343</v>
      </c>
      <c r="O91" s="275">
        <v>214445.62844794511</v>
      </c>
      <c r="P91" s="275">
        <v>5768</v>
      </c>
      <c r="Q91" s="275">
        <v>1236.8474285183181</v>
      </c>
      <c r="R91" s="275">
        <v>214432.6332382659</v>
      </c>
      <c r="S91" s="277">
        <v>13071</v>
      </c>
      <c r="T91" s="277">
        <v>2802.9438530736611</v>
      </c>
      <c r="U91" s="277">
        <v>214439.8938928667</v>
      </c>
      <c r="V91" s="275">
        <v>7307</v>
      </c>
      <c r="W91" s="275">
        <v>1565.5802719999999</v>
      </c>
      <c r="X91" s="275">
        <v>214257.5984672232</v>
      </c>
      <c r="Y91" s="275">
        <v>5772</v>
      </c>
      <c r="Z91" s="275">
        <v>1236.6199999999999</v>
      </c>
      <c r="AA91" s="275">
        <v>214244.62924462921</v>
      </c>
      <c r="AB91" s="278">
        <v>13079</v>
      </c>
      <c r="AC91" s="278">
        <v>2802.200272</v>
      </c>
      <c r="AD91" s="278">
        <v>214251.8749139843</v>
      </c>
      <c r="AE91" s="275">
        <v>7294.666666666667</v>
      </c>
      <c r="AF91" s="275">
        <v>4695.5385236160728</v>
      </c>
      <c r="AG91" s="275">
        <v>214565.53476499239</v>
      </c>
      <c r="AH91" s="275">
        <v>5764</v>
      </c>
      <c r="AI91" s="275">
        <v>3710.03445458955</v>
      </c>
      <c r="AJ91" s="275">
        <v>214552.54055823159</v>
      </c>
      <c r="AK91" s="279">
        <v>13058.66666666667</v>
      </c>
      <c r="AL91" s="279">
        <v>8405.5729782056223</v>
      </c>
      <c r="AM91" s="279">
        <v>214559.79921208869</v>
      </c>
    </row>
    <row r="92" spans="2:39" x14ac:dyDescent="0.25">
      <c r="B92" s="427" t="s">
        <v>514</v>
      </c>
      <c r="C92" s="269" t="s">
        <v>848</v>
      </c>
      <c r="D92" s="275">
        <v>3141</v>
      </c>
      <c r="E92" s="275">
        <v>593.29721335245699</v>
      </c>
      <c r="F92" s="275">
        <v>188888.00170406149</v>
      </c>
      <c r="G92" s="275">
        <v>3415</v>
      </c>
      <c r="H92" s="275">
        <v>618.93652137671222</v>
      </c>
      <c r="I92" s="275">
        <v>181240.56262861259</v>
      </c>
      <c r="J92" s="276">
        <v>6556</v>
      </c>
      <c r="K92" s="276">
        <v>1212.2337347291691</v>
      </c>
      <c r="L92" s="276">
        <v>184904.4744858403</v>
      </c>
      <c r="M92" s="275">
        <v>3139</v>
      </c>
      <c r="N92" s="275">
        <v>591.03458426585473</v>
      </c>
      <c r="O92" s="275">
        <v>188287.53879128851</v>
      </c>
      <c r="P92" s="275">
        <v>3432</v>
      </c>
      <c r="Q92" s="275">
        <v>620.22868306696455</v>
      </c>
      <c r="R92" s="275">
        <v>180719.31324794999</v>
      </c>
      <c r="S92" s="277">
        <v>6571</v>
      </c>
      <c r="T92" s="277">
        <v>1211.2632673328189</v>
      </c>
      <c r="U92" s="277">
        <v>184334.6929436645</v>
      </c>
      <c r="V92" s="275">
        <v>3137</v>
      </c>
      <c r="W92" s="275">
        <v>590.16437499999995</v>
      </c>
      <c r="X92" s="275">
        <v>188130.18010838379</v>
      </c>
      <c r="Y92" s="275">
        <v>3413</v>
      </c>
      <c r="Z92" s="275">
        <v>615.60863300000005</v>
      </c>
      <c r="AA92" s="275">
        <v>180371.70612364489</v>
      </c>
      <c r="AB92" s="278">
        <v>6550</v>
      </c>
      <c r="AC92" s="278">
        <v>1205.7730079999999</v>
      </c>
      <c r="AD92" s="278">
        <v>184087.48213740459</v>
      </c>
      <c r="AE92" s="275">
        <v>3139</v>
      </c>
      <c r="AF92" s="275">
        <v>1774.4961726183119</v>
      </c>
      <c r="AG92" s="275">
        <v>188435.2402012446</v>
      </c>
      <c r="AH92" s="275">
        <v>3420</v>
      </c>
      <c r="AI92" s="275">
        <v>1854.7738374436769</v>
      </c>
      <c r="AJ92" s="275">
        <v>180777.1940000692</v>
      </c>
      <c r="AK92" s="279">
        <v>6559</v>
      </c>
      <c r="AL92" s="279">
        <v>3629.2700100619891</v>
      </c>
      <c r="AM92" s="279">
        <v>184442.21652230309</v>
      </c>
    </row>
    <row r="93" spans="2:39" ht="17.25" x14ac:dyDescent="0.25">
      <c r="B93" s="428" t="s">
        <v>514</v>
      </c>
      <c r="C93" s="269" t="s">
        <v>887</v>
      </c>
      <c r="D93" s="275">
        <v>71865</v>
      </c>
      <c r="E93" s="275">
        <v>15391.402434385691</v>
      </c>
      <c r="F93" s="275">
        <v>214171.04897217959</v>
      </c>
      <c r="G93" s="275">
        <v>55551</v>
      </c>
      <c r="H93" s="275">
        <v>11847.277072568309</v>
      </c>
      <c r="I93" s="275">
        <v>213268.475321206</v>
      </c>
      <c r="J93" s="276">
        <v>127416</v>
      </c>
      <c r="K93" s="276">
        <v>27238.679506954009</v>
      </c>
      <c r="L93" s="276">
        <v>213777.54369116921</v>
      </c>
      <c r="M93" s="275">
        <v>72029</v>
      </c>
      <c r="N93" s="275">
        <v>15383.76441631484</v>
      </c>
      <c r="O93" s="275">
        <v>213577.37045238499</v>
      </c>
      <c r="P93" s="275">
        <v>55689</v>
      </c>
      <c r="Q93" s="275">
        <v>11843.952480103129</v>
      </c>
      <c r="R93" s="275">
        <v>212680.28659345891</v>
      </c>
      <c r="S93" s="277">
        <v>127718</v>
      </c>
      <c r="T93" s="277">
        <v>27227.716896417969</v>
      </c>
      <c r="U93" s="277">
        <v>213186.21413127339</v>
      </c>
      <c r="V93" s="275">
        <v>72161</v>
      </c>
      <c r="W93" s="275">
        <v>15395.596004000001</v>
      </c>
      <c r="X93" s="275">
        <v>213350.64652651711</v>
      </c>
      <c r="Y93" s="275">
        <v>55822</v>
      </c>
      <c r="Z93" s="275">
        <v>11860.408835</v>
      </c>
      <c r="AA93" s="275">
        <v>212468.36077173869</v>
      </c>
      <c r="AB93" s="278">
        <v>127983</v>
      </c>
      <c r="AC93" s="278">
        <v>27256.004839000001</v>
      </c>
      <c r="AD93" s="278">
        <v>212965.8223279654</v>
      </c>
      <c r="AE93" s="275">
        <v>72018.333333333328</v>
      </c>
      <c r="AF93" s="275">
        <v>46170.76285470053</v>
      </c>
      <c r="AG93" s="275">
        <v>213699.68865036059</v>
      </c>
      <c r="AH93" s="275">
        <v>55687.333333333343</v>
      </c>
      <c r="AI93" s="275">
        <v>35551.638387671454</v>
      </c>
      <c r="AJ93" s="275">
        <v>212805.7075621346</v>
      </c>
      <c r="AK93" s="279">
        <v>127705.6666666667</v>
      </c>
      <c r="AL93" s="279">
        <v>81722.401242371983</v>
      </c>
      <c r="AM93" s="279">
        <v>213309.86005013599</v>
      </c>
    </row>
    <row r="94" spans="2:39" ht="17.25" x14ac:dyDescent="0.25">
      <c r="B94" s="426" t="s">
        <v>833</v>
      </c>
      <c r="C94" s="269" t="s">
        <v>840</v>
      </c>
      <c r="D94" s="275">
        <v>1924</v>
      </c>
      <c r="E94" s="275">
        <v>409.94102786334452</v>
      </c>
      <c r="F94" s="275">
        <v>213067.06229903561</v>
      </c>
      <c r="G94" s="275">
        <v>1129</v>
      </c>
      <c r="H94" s="275">
        <v>242.2742012973616</v>
      </c>
      <c r="I94" s="275">
        <v>214591.85234487301</v>
      </c>
      <c r="J94" s="276">
        <v>3053</v>
      </c>
      <c r="K94" s="276">
        <v>652.21522916070603</v>
      </c>
      <c r="L94" s="276">
        <v>213630.92995765019</v>
      </c>
      <c r="M94" s="275">
        <v>1929</v>
      </c>
      <c r="N94" s="275">
        <v>409.92637540132051</v>
      </c>
      <c r="O94" s="275">
        <v>212507.1930540801</v>
      </c>
      <c r="P94" s="275">
        <v>1133</v>
      </c>
      <c r="Q94" s="275">
        <v>242.56137418900909</v>
      </c>
      <c r="R94" s="275">
        <v>214087.70890468589</v>
      </c>
      <c r="S94" s="277">
        <v>3062</v>
      </c>
      <c r="T94" s="277">
        <v>652.48774959032949</v>
      </c>
      <c r="U94" s="277">
        <v>213092.01488906911</v>
      </c>
      <c r="V94" s="275">
        <v>2429</v>
      </c>
      <c r="W94" s="275">
        <v>515.60485900000003</v>
      </c>
      <c r="X94" s="275">
        <v>212270.42363112391</v>
      </c>
      <c r="Y94" s="275">
        <v>1590</v>
      </c>
      <c r="Z94" s="275">
        <v>340.28194000000002</v>
      </c>
      <c r="AA94" s="275">
        <v>214013.7987421384</v>
      </c>
      <c r="AB94" s="278">
        <v>4019</v>
      </c>
      <c r="AC94" s="278">
        <v>855.886799</v>
      </c>
      <c r="AD94" s="278">
        <v>212960.1390893257</v>
      </c>
      <c r="AE94" s="275">
        <v>2094</v>
      </c>
      <c r="AF94" s="275">
        <v>1335.472262264665</v>
      </c>
      <c r="AG94" s="275">
        <v>212614.89299474651</v>
      </c>
      <c r="AH94" s="275">
        <v>1284</v>
      </c>
      <c r="AI94" s="275">
        <v>825.11751548637062</v>
      </c>
      <c r="AJ94" s="275">
        <v>214231.1199972324</v>
      </c>
      <c r="AK94" s="279">
        <v>3378</v>
      </c>
      <c r="AL94" s="279">
        <v>2160.5897777510349</v>
      </c>
      <c r="AM94" s="279">
        <v>213227.6946453483</v>
      </c>
    </row>
    <row r="95" spans="2:39" ht="17.25" x14ac:dyDescent="0.25">
      <c r="B95" s="427" t="s">
        <v>833</v>
      </c>
      <c r="C95" s="269" t="s">
        <v>886</v>
      </c>
      <c r="D95" s="275">
        <v>3901</v>
      </c>
      <c r="E95" s="275">
        <v>826.40348150132434</v>
      </c>
      <c r="F95" s="275">
        <v>211844.00961325929</v>
      </c>
      <c r="G95" s="275">
        <v>3882</v>
      </c>
      <c r="H95" s="275">
        <v>822.2976486472952</v>
      </c>
      <c r="I95" s="275">
        <v>211823.1964573146</v>
      </c>
      <c r="J95" s="276">
        <v>7783</v>
      </c>
      <c r="K95" s="276">
        <v>1648.70113014862</v>
      </c>
      <c r="L95" s="276">
        <v>211833.62844001281</v>
      </c>
      <c r="M95" s="275">
        <v>3922</v>
      </c>
      <c r="N95" s="275">
        <v>828.78456926596107</v>
      </c>
      <c r="O95" s="275">
        <v>211316.82031258571</v>
      </c>
      <c r="P95" s="275">
        <v>3897</v>
      </c>
      <c r="Q95" s="275">
        <v>823.42715726037602</v>
      </c>
      <c r="R95" s="275">
        <v>211297.70522462821</v>
      </c>
      <c r="S95" s="277">
        <v>7819</v>
      </c>
      <c r="T95" s="277">
        <v>1652.2117265263371</v>
      </c>
      <c r="U95" s="277">
        <v>211307.29332732281</v>
      </c>
      <c r="V95" s="275">
        <v>3466</v>
      </c>
      <c r="W95" s="275">
        <v>730.71784400000001</v>
      </c>
      <c r="X95" s="275">
        <v>210824.53664166189</v>
      </c>
      <c r="Y95" s="275">
        <v>3475</v>
      </c>
      <c r="Z95" s="275">
        <v>732.292464</v>
      </c>
      <c r="AA95" s="275">
        <v>210731.64431654679</v>
      </c>
      <c r="AB95" s="278">
        <v>6941</v>
      </c>
      <c r="AC95" s="278">
        <v>1463.0103079999999</v>
      </c>
      <c r="AD95" s="278">
        <v>210778.03025500651</v>
      </c>
      <c r="AE95" s="275">
        <v>3763</v>
      </c>
      <c r="AF95" s="275">
        <v>2385.9058947672861</v>
      </c>
      <c r="AG95" s="275">
        <v>211328.45552250231</v>
      </c>
      <c r="AH95" s="275">
        <v>3751.333333333333</v>
      </c>
      <c r="AI95" s="275">
        <v>2378.0172699076711</v>
      </c>
      <c r="AJ95" s="275">
        <v>211284.1819994965</v>
      </c>
      <c r="AK95" s="279">
        <v>7514.333333333333</v>
      </c>
      <c r="AL95" s="279">
        <v>4763.9231646749568</v>
      </c>
      <c r="AM95" s="279">
        <v>211306.31734078069</v>
      </c>
    </row>
    <row r="96" spans="2:39" ht="17.25" x14ac:dyDescent="0.25">
      <c r="B96" s="427" t="s">
        <v>833</v>
      </c>
      <c r="C96" s="269" t="s">
        <v>842</v>
      </c>
      <c r="D96" s="275">
        <v>590</v>
      </c>
      <c r="E96" s="275">
        <v>144.85604800326769</v>
      </c>
      <c r="F96" s="275">
        <v>245518.72542926739</v>
      </c>
      <c r="G96" s="275">
        <v>553</v>
      </c>
      <c r="H96" s="275">
        <v>138.33610028824211</v>
      </c>
      <c r="I96" s="275">
        <v>250155.69672376511</v>
      </c>
      <c r="J96" s="276">
        <v>1143</v>
      </c>
      <c r="K96" s="276">
        <v>283.19214829150991</v>
      </c>
      <c r="L96" s="276">
        <v>247762.15948513549</v>
      </c>
      <c r="M96" s="275">
        <v>590</v>
      </c>
      <c r="N96" s="275">
        <v>144.57277732405049</v>
      </c>
      <c r="O96" s="275">
        <v>245038.6056339838</v>
      </c>
      <c r="P96" s="275">
        <v>549</v>
      </c>
      <c r="Q96" s="275">
        <v>137.16119297985091</v>
      </c>
      <c r="R96" s="275">
        <v>249838.2385789633</v>
      </c>
      <c r="S96" s="277">
        <v>1139</v>
      </c>
      <c r="T96" s="277">
        <v>281.73397030390129</v>
      </c>
      <c r="U96" s="277">
        <v>247352.03714126541</v>
      </c>
      <c r="V96" s="275">
        <v>588</v>
      </c>
      <c r="W96" s="275">
        <v>143.98913400000001</v>
      </c>
      <c r="X96" s="275">
        <v>244879.47959183669</v>
      </c>
      <c r="Y96" s="275">
        <v>546</v>
      </c>
      <c r="Z96" s="275">
        <v>136.28225900000001</v>
      </c>
      <c r="AA96" s="275">
        <v>249601.20695970699</v>
      </c>
      <c r="AB96" s="278">
        <v>1134</v>
      </c>
      <c r="AC96" s="278">
        <v>280.27139299999999</v>
      </c>
      <c r="AD96" s="278">
        <v>247152.90388007049</v>
      </c>
      <c r="AE96" s="275">
        <v>589.33333333333337</v>
      </c>
      <c r="AF96" s="275">
        <v>433.41795932731821</v>
      </c>
      <c r="AG96" s="275">
        <v>245145.603551696</v>
      </c>
      <c r="AH96" s="275">
        <v>549.33333333333337</v>
      </c>
      <c r="AI96" s="275">
        <v>411.77955226809303</v>
      </c>
      <c r="AJ96" s="275">
        <v>249865.04742081181</v>
      </c>
      <c r="AK96" s="279">
        <v>1138.666666666667</v>
      </c>
      <c r="AL96" s="279">
        <v>845.19751159541124</v>
      </c>
      <c r="AM96" s="279">
        <v>247422.36683549051</v>
      </c>
    </row>
    <row r="97" spans="2:39" x14ac:dyDescent="0.25">
      <c r="B97" s="427" t="s">
        <v>833</v>
      </c>
      <c r="C97" s="269" t="s">
        <v>847</v>
      </c>
      <c r="D97" s="275">
        <v>517</v>
      </c>
      <c r="E97" s="275">
        <v>111.1715882722343</v>
      </c>
      <c r="F97" s="275">
        <v>215032.08563294841</v>
      </c>
      <c r="G97" s="275">
        <v>426</v>
      </c>
      <c r="H97" s="275">
        <v>91.603668479635999</v>
      </c>
      <c r="I97" s="275">
        <v>215032.08563294841</v>
      </c>
      <c r="J97" s="276">
        <v>943</v>
      </c>
      <c r="K97" s="276">
        <v>202.7752567518703</v>
      </c>
      <c r="L97" s="276">
        <v>215032.08563294829</v>
      </c>
      <c r="M97" s="275">
        <v>519</v>
      </c>
      <c r="N97" s="275">
        <v>111.3172399784962</v>
      </c>
      <c r="O97" s="275">
        <v>214484.08473698681</v>
      </c>
      <c r="P97" s="275">
        <v>429</v>
      </c>
      <c r="Q97" s="275">
        <v>92.013672352167362</v>
      </c>
      <c r="R97" s="275">
        <v>214484.08473698681</v>
      </c>
      <c r="S97" s="277">
        <v>948</v>
      </c>
      <c r="T97" s="277">
        <v>203.33091233066349</v>
      </c>
      <c r="U97" s="277">
        <v>214484.08473698681</v>
      </c>
      <c r="V97" s="275">
        <v>519</v>
      </c>
      <c r="W97" s="275">
        <v>111.219624</v>
      </c>
      <c r="X97" s="275">
        <v>214296</v>
      </c>
      <c r="Y97" s="275">
        <v>434</v>
      </c>
      <c r="Z97" s="275">
        <v>93.004463999999999</v>
      </c>
      <c r="AA97" s="275">
        <v>214296</v>
      </c>
      <c r="AB97" s="278">
        <v>953</v>
      </c>
      <c r="AC97" s="278">
        <v>204.22408799999999</v>
      </c>
      <c r="AD97" s="278">
        <v>214296</v>
      </c>
      <c r="AE97" s="275">
        <v>518.33333333333337</v>
      </c>
      <c r="AF97" s="275">
        <v>333.70845225073049</v>
      </c>
      <c r="AG97" s="275">
        <v>214604.05678997841</v>
      </c>
      <c r="AH97" s="275">
        <v>429.66666666666669</v>
      </c>
      <c r="AI97" s="275">
        <v>276.62180483180339</v>
      </c>
      <c r="AJ97" s="275">
        <v>214604.05678997841</v>
      </c>
      <c r="AK97" s="279">
        <v>948</v>
      </c>
      <c r="AL97" s="279">
        <v>610.33025708253376</v>
      </c>
      <c r="AM97" s="279">
        <v>214604.05678997841</v>
      </c>
    </row>
    <row r="98" spans="2:39" x14ac:dyDescent="0.25">
      <c r="B98" s="427" t="s">
        <v>833</v>
      </c>
      <c r="C98" s="269" t="s">
        <v>848</v>
      </c>
      <c r="D98" s="275">
        <v>293</v>
      </c>
      <c r="E98" s="275">
        <v>54.289866991857878</v>
      </c>
      <c r="F98" s="275">
        <v>185289.64843637499</v>
      </c>
      <c r="G98" s="275">
        <v>352</v>
      </c>
      <c r="H98" s="275">
        <v>64.127241734828985</v>
      </c>
      <c r="I98" s="275">
        <v>182179.66401940049</v>
      </c>
      <c r="J98" s="276">
        <v>645</v>
      </c>
      <c r="K98" s="276">
        <v>118.41710872668691</v>
      </c>
      <c r="L98" s="276">
        <v>183592.41663052229</v>
      </c>
      <c r="M98" s="275">
        <v>290</v>
      </c>
      <c r="N98" s="275">
        <v>53.298183082031358</v>
      </c>
      <c r="O98" s="275">
        <v>183786.8382139013</v>
      </c>
      <c r="P98" s="275">
        <v>352</v>
      </c>
      <c r="Q98" s="275">
        <v>63.958287108317307</v>
      </c>
      <c r="R98" s="275">
        <v>181699.67928499231</v>
      </c>
      <c r="S98" s="277">
        <v>642</v>
      </c>
      <c r="T98" s="277">
        <v>117.25647019034869</v>
      </c>
      <c r="U98" s="277">
        <v>182642.4769320073</v>
      </c>
      <c r="V98" s="275">
        <v>288</v>
      </c>
      <c r="W98" s="275">
        <v>52.921328000000003</v>
      </c>
      <c r="X98" s="275">
        <v>183754.61111111109</v>
      </c>
      <c r="Y98" s="275">
        <v>352</v>
      </c>
      <c r="Z98" s="275">
        <v>63.74785</v>
      </c>
      <c r="AA98" s="275">
        <v>181101.84659090909</v>
      </c>
      <c r="AB98" s="278">
        <v>640</v>
      </c>
      <c r="AC98" s="278">
        <v>116.669178</v>
      </c>
      <c r="AD98" s="278">
        <v>182295.59062500001</v>
      </c>
      <c r="AE98" s="275">
        <v>290.33333333333331</v>
      </c>
      <c r="AF98" s="275">
        <v>160.50937807388931</v>
      </c>
      <c r="AG98" s="275">
        <v>184277.0325871291</v>
      </c>
      <c r="AH98" s="275">
        <v>352</v>
      </c>
      <c r="AI98" s="275">
        <v>191.83337884314631</v>
      </c>
      <c r="AJ98" s="275">
        <v>181660.3966317673</v>
      </c>
      <c r="AK98" s="279">
        <v>642.33333333333337</v>
      </c>
      <c r="AL98" s="279">
        <v>352.34275691703562</v>
      </c>
      <c r="AM98" s="279">
        <v>182843.49472917651</v>
      </c>
    </row>
    <row r="99" spans="2:39" ht="17.25" x14ac:dyDescent="0.25">
      <c r="B99" s="428" t="s">
        <v>833</v>
      </c>
      <c r="C99" s="269" t="s">
        <v>887</v>
      </c>
      <c r="D99" s="275">
        <v>7225</v>
      </c>
      <c r="E99" s="275">
        <v>1546.662012632029</v>
      </c>
      <c r="F99" s="275">
        <v>214070.86680028081</v>
      </c>
      <c r="G99" s="275">
        <v>6342</v>
      </c>
      <c r="H99" s="275">
        <v>1358.6388604473641</v>
      </c>
      <c r="I99" s="275">
        <v>214228.77017460801</v>
      </c>
      <c r="J99" s="276">
        <v>13567</v>
      </c>
      <c r="K99" s="276">
        <v>2905.3008730793931</v>
      </c>
      <c r="L99" s="276">
        <v>214144.67996457519</v>
      </c>
      <c r="M99" s="275">
        <v>7250</v>
      </c>
      <c r="N99" s="275">
        <v>1547.899145051859</v>
      </c>
      <c r="O99" s="275">
        <v>213503.33035198061</v>
      </c>
      <c r="P99" s="275">
        <v>6360</v>
      </c>
      <c r="Q99" s="275">
        <v>1359.121683889721</v>
      </c>
      <c r="R99" s="275">
        <v>213698.3779700819</v>
      </c>
      <c r="S99" s="277">
        <v>13610</v>
      </c>
      <c r="T99" s="277">
        <v>2907.02082894158</v>
      </c>
      <c r="U99" s="277">
        <v>213594.47677748569</v>
      </c>
      <c r="V99" s="275">
        <v>7290</v>
      </c>
      <c r="W99" s="275">
        <v>1554.4527889999999</v>
      </c>
      <c r="X99" s="275">
        <v>213230.8352537723</v>
      </c>
      <c r="Y99" s="275">
        <v>6397</v>
      </c>
      <c r="Z99" s="275">
        <v>1365.6089770000001</v>
      </c>
      <c r="AA99" s="275">
        <v>213476.46975144601</v>
      </c>
      <c r="AB99" s="278">
        <v>13687</v>
      </c>
      <c r="AC99" s="278">
        <v>2920.0617659999998</v>
      </c>
      <c r="AD99" s="278">
        <v>213345.63936582161</v>
      </c>
      <c r="AE99" s="275">
        <v>7255</v>
      </c>
      <c r="AF99" s="275">
        <v>4649.0139466838882</v>
      </c>
      <c r="AG99" s="275">
        <v>213601.6774686779</v>
      </c>
      <c r="AH99" s="275">
        <v>6366.333333333333</v>
      </c>
      <c r="AI99" s="275">
        <v>4083.3695213370852</v>
      </c>
      <c r="AJ99" s="275">
        <v>213801.20596537861</v>
      </c>
      <c r="AK99" s="279">
        <v>13621.33333333333</v>
      </c>
      <c r="AL99" s="279">
        <v>8732.3834680209729</v>
      </c>
      <c r="AM99" s="279">
        <v>213694.93203596081</v>
      </c>
    </row>
    <row r="100" spans="2:39" ht="17.25" x14ac:dyDescent="0.25">
      <c r="B100" s="426" t="s">
        <v>834</v>
      </c>
      <c r="C100" s="269" t="s">
        <v>840</v>
      </c>
      <c r="D100" s="275">
        <v>2383</v>
      </c>
      <c r="E100" s="275">
        <v>509.26234797007078</v>
      </c>
      <c r="F100" s="275">
        <v>213706.39864459541</v>
      </c>
      <c r="G100" s="275">
        <v>967</v>
      </c>
      <c r="H100" s="275">
        <v>207.15700610761041</v>
      </c>
      <c r="I100" s="275">
        <v>214226.4799458225</v>
      </c>
      <c r="J100" s="276">
        <v>3350</v>
      </c>
      <c r="K100" s="276">
        <v>716.41935407768119</v>
      </c>
      <c r="L100" s="276">
        <v>213856.52360527799</v>
      </c>
      <c r="M100" s="275">
        <v>2411</v>
      </c>
      <c r="N100" s="275">
        <v>513.70418892870202</v>
      </c>
      <c r="O100" s="275">
        <v>213066.8556319793</v>
      </c>
      <c r="P100" s="275">
        <v>975</v>
      </c>
      <c r="Q100" s="275">
        <v>208.50376649434219</v>
      </c>
      <c r="R100" s="275">
        <v>213850.0169172741</v>
      </c>
      <c r="S100" s="277">
        <v>3386</v>
      </c>
      <c r="T100" s="277">
        <v>722.20795542304427</v>
      </c>
      <c r="U100" s="277">
        <v>213292.36722476201</v>
      </c>
      <c r="V100" s="275">
        <v>3109</v>
      </c>
      <c r="W100" s="275">
        <v>660.90926200000001</v>
      </c>
      <c r="X100" s="275">
        <v>212579.37021550341</v>
      </c>
      <c r="Y100" s="275">
        <v>1186</v>
      </c>
      <c r="Z100" s="275">
        <v>253.56767099999999</v>
      </c>
      <c r="AA100" s="275">
        <v>213800.73440134909</v>
      </c>
      <c r="AB100" s="278">
        <v>4295</v>
      </c>
      <c r="AC100" s="278">
        <v>914.47693300000003</v>
      </c>
      <c r="AD100" s="278">
        <v>212916.63166472639</v>
      </c>
      <c r="AE100" s="275">
        <v>2634.333333333333</v>
      </c>
      <c r="AF100" s="275">
        <v>1683.8757988987729</v>
      </c>
      <c r="AG100" s="275">
        <v>213117.54149735931</v>
      </c>
      <c r="AH100" s="275">
        <v>1042.666666666667</v>
      </c>
      <c r="AI100" s="275">
        <v>669.22844360195256</v>
      </c>
      <c r="AJ100" s="275">
        <v>213959.0770881486</v>
      </c>
      <c r="AK100" s="279">
        <v>3677</v>
      </c>
      <c r="AL100" s="279">
        <v>2353.1042425007249</v>
      </c>
      <c r="AM100" s="279">
        <v>213355.17416492221</v>
      </c>
    </row>
    <row r="101" spans="2:39" ht="17.25" x14ac:dyDescent="0.25">
      <c r="B101" s="427" t="s">
        <v>834</v>
      </c>
      <c r="C101" s="269" t="s">
        <v>886</v>
      </c>
      <c r="D101" s="275">
        <v>8276</v>
      </c>
      <c r="E101" s="275">
        <v>1738.4022740139601</v>
      </c>
      <c r="F101" s="275">
        <v>210053.44055267761</v>
      </c>
      <c r="G101" s="275">
        <v>6612</v>
      </c>
      <c r="H101" s="275">
        <v>1378.263516456158</v>
      </c>
      <c r="I101" s="275">
        <v>208448.80769149389</v>
      </c>
      <c r="J101" s="276">
        <v>14888</v>
      </c>
      <c r="K101" s="276">
        <v>3116.6657904701178</v>
      </c>
      <c r="L101" s="276">
        <v>209340.7973179821</v>
      </c>
      <c r="M101" s="275">
        <v>8307</v>
      </c>
      <c r="N101" s="275">
        <v>1740.386107138366</v>
      </c>
      <c r="O101" s="275">
        <v>209508.3793353035</v>
      </c>
      <c r="P101" s="275">
        <v>6645</v>
      </c>
      <c r="Q101" s="275">
        <v>1381.008476790169</v>
      </c>
      <c r="R101" s="275">
        <v>207826.70832056721</v>
      </c>
      <c r="S101" s="277">
        <v>14952</v>
      </c>
      <c r="T101" s="277">
        <v>3121.3945839285352</v>
      </c>
      <c r="U101" s="277">
        <v>208761.00748585709</v>
      </c>
      <c r="V101" s="275">
        <v>7656</v>
      </c>
      <c r="W101" s="275">
        <v>1599.808184</v>
      </c>
      <c r="X101" s="275">
        <v>208961.36154649951</v>
      </c>
      <c r="Y101" s="275">
        <v>6444</v>
      </c>
      <c r="Z101" s="275">
        <v>1336.427837</v>
      </c>
      <c r="AA101" s="275">
        <v>207391.03615766601</v>
      </c>
      <c r="AB101" s="278">
        <v>14100</v>
      </c>
      <c r="AC101" s="278">
        <v>2936.2360210000002</v>
      </c>
      <c r="AD101" s="278">
        <v>208243.68943262409</v>
      </c>
      <c r="AE101" s="275">
        <v>8079.666666666667</v>
      </c>
      <c r="AF101" s="275">
        <v>5078.5965651523256</v>
      </c>
      <c r="AG101" s="275">
        <v>209507.72714482679</v>
      </c>
      <c r="AH101" s="275">
        <v>6567</v>
      </c>
      <c r="AI101" s="275">
        <v>4095.6998302463271</v>
      </c>
      <c r="AJ101" s="275">
        <v>207888.85072324239</v>
      </c>
      <c r="AK101" s="279">
        <v>14646.66666666667</v>
      </c>
      <c r="AL101" s="279">
        <v>9174.2963953986527</v>
      </c>
      <c r="AM101" s="279">
        <v>208781.83141215451</v>
      </c>
    </row>
    <row r="102" spans="2:39" ht="17.25" x14ac:dyDescent="0.25">
      <c r="B102" s="427" t="s">
        <v>834</v>
      </c>
      <c r="C102" s="269" t="s">
        <v>842</v>
      </c>
      <c r="D102" s="275">
        <v>1095</v>
      </c>
      <c r="E102" s="275">
        <v>270.6016853331916</v>
      </c>
      <c r="F102" s="275">
        <v>247124.8267883028</v>
      </c>
      <c r="G102" s="275">
        <v>661</v>
      </c>
      <c r="H102" s="275">
        <v>167.33436751101229</v>
      </c>
      <c r="I102" s="275">
        <v>253153.3547821668</v>
      </c>
      <c r="J102" s="276">
        <v>1756</v>
      </c>
      <c r="K102" s="276">
        <v>437.93605284420391</v>
      </c>
      <c r="L102" s="276">
        <v>249394.10754225729</v>
      </c>
      <c r="M102" s="275">
        <v>1090</v>
      </c>
      <c r="N102" s="275">
        <v>268.60590407964492</v>
      </c>
      <c r="O102" s="275">
        <v>246427.43493545399</v>
      </c>
      <c r="P102" s="275">
        <v>661</v>
      </c>
      <c r="Q102" s="275">
        <v>167.12201113018099</v>
      </c>
      <c r="R102" s="275">
        <v>252832.08945564451</v>
      </c>
      <c r="S102" s="277">
        <v>1751</v>
      </c>
      <c r="T102" s="277">
        <v>435.72791520982588</v>
      </c>
      <c r="U102" s="277">
        <v>248845.1828725448</v>
      </c>
      <c r="V102" s="275">
        <v>1087</v>
      </c>
      <c r="W102" s="275">
        <v>267.87151799999998</v>
      </c>
      <c r="X102" s="275">
        <v>246431.93928242871</v>
      </c>
      <c r="Y102" s="275">
        <v>654</v>
      </c>
      <c r="Z102" s="275">
        <v>164.98234400000001</v>
      </c>
      <c r="AA102" s="275">
        <v>252266.58103975531</v>
      </c>
      <c r="AB102" s="278">
        <v>1741</v>
      </c>
      <c r="AC102" s="278">
        <v>432.85386199999999</v>
      </c>
      <c r="AD102" s="278">
        <v>248623.70017231471</v>
      </c>
      <c r="AE102" s="275">
        <v>1090.666666666667</v>
      </c>
      <c r="AF102" s="275">
        <v>807.07910741283649</v>
      </c>
      <c r="AG102" s="275">
        <v>246661.40033539521</v>
      </c>
      <c r="AH102" s="275">
        <v>658.66666666666663</v>
      </c>
      <c r="AI102" s="275">
        <v>499.43872264119329</v>
      </c>
      <c r="AJ102" s="275">
        <v>252750.6750925222</v>
      </c>
      <c r="AK102" s="279">
        <v>1749.333333333333</v>
      </c>
      <c r="AL102" s="279">
        <v>1306.5178300540299</v>
      </c>
      <c r="AM102" s="279">
        <v>248954.33019570561</v>
      </c>
    </row>
    <row r="103" spans="2:39" x14ac:dyDescent="0.25">
      <c r="B103" s="427" t="s">
        <v>834</v>
      </c>
      <c r="C103" s="269" t="s">
        <v>847</v>
      </c>
      <c r="D103" s="275">
        <v>591</v>
      </c>
      <c r="E103" s="275">
        <v>127.0839626090725</v>
      </c>
      <c r="F103" s="275">
        <v>215032.08563294841</v>
      </c>
      <c r="G103" s="275">
        <v>539</v>
      </c>
      <c r="H103" s="275">
        <v>115.7535289114154</v>
      </c>
      <c r="I103" s="275">
        <v>214756.08332359081</v>
      </c>
      <c r="J103" s="276">
        <v>1130</v>
      </c>
      <c r="K103" s="276">
        <v>242.8374915204879</v>
      </c>
      <c r="L103" s="276">
        <v>214900.43497388309</v>
      </c>
      <c r="M103" s="275">
        <v>605</v>
      </c>
      <c r="N103" s="275">
        <v>129.76287126587701</v>
      </c>
      <c r="O103" s="275">
        <v>214484.08473698681</v>
      </c>
      <c r="P103" s="275">
        <v>540</v>
      </c>
      <c r="Q103" s="275">
        <v>115.6730196356619</v>
      </c>
      <c r="R103" s="275">
        <v>214209.29562159599</v>
      </c>
      <c r="S103" s="277">
        <v>1145</v>
      </c>
      <c r="T103" s="277">
        <v>245.4358909015389</v>
      </c>
      <c r="U103" s="277">
        <v>214354.4898703396</v>
      </c>
      <c r="V103" s="275">
        <v>609</v>
      </c>
      <c r="W103" s="275">
        <v>130.50626399999999</v>
      </c>
      <c r="X103" s="275">
        <v>214296</v>
      </c>
      <c r="Y103" s="275">
        <v>537</v>
      </c>
      <c r="Z103" s="275">
        <v>114.928696</v>
      </c>
      <c r="AA103" s="275">
        <v>214019.91806331469</v>
      </c>
      <c r="AB103" s="278">
        <v>1146</v>
      </c>
      <c r="AC103" s="278">
        <v>245.43495999999999</v>
      </c>
      <c r="AD103" s="278">
        <v>214166.63176265269</v>
      </c>
      <c r="AE103" s="275">
        <v>601.66666666666663</v>
      </c>
      <c r="AF103" s="275">
        <v>387.35309787494953</v>
      </c>
      <c r="AG103" s="275">
        <v>214604.05678997841</v>
      </c>
      <c r="AH103" s="275">
        <v>538.66666666666663</v>
      </c>
      <c r="AI103" s="275">
        <v>346.35524454707729</v>
      </c>
      <c r="AJ103" s="275">
        <v>214328.4323361672</v>
      </c>
      <c r="AK103" s="279">
        <v>1140.333333333333</v>
      </c>
      <c r="AL103" s="279">
        <v>733.70834242202682</v>
      </c>
      <c r="AM103" s="279">
        <v>214473.8522022918</v>
      </c>
    </row>
    <row r="104" spans="2:39" x14ac:dyDescent="0.25">
      <c r="B104" s="427" t="s">
        <v>834</v>
      </c>
      <c r="C104" s="269" t="s">
        <v>848</v>
      </c>
      <c r="D104" s="275">
        <v>423</v>
      </c>
      <c r="E104" s="275">
        <v>73.956613081026433</v>
      </c>
      <c r="F104" s="275">
        <v>174838.32879675279</v>
      </c>
      <c r="G104" s="275">
        <v>360</v>
      </c>
      <c r="H104" s="275">
        <v>60.741162701233613</v>
      </c>
      <c r="I104" s="275">
        <v>168725.4519478711</v>
      </c>
      <c r="J104" s="276">
        <v>783</v>
      </c>
      <c r="K104" s="276">
        <v>134.69777578226001</v>
      </c>
      <c r="L104" s="276">
        <v>172027.81070531299</v>
      </c>
      <c r="M104" s="275">
        <v>423</v>
      </c>
      <c r="N104" s="275">
        <v>73.687885158107505</v>
      </c>
      <c r="O104" s="275">
        <v>174203.03819883571</v>
      </c>
      <c r="P104" s="275">
        <v>362</v>
      </c>
      <c r="Q104" s="275">
        <v>60.721428652158018</v>
      </c>
      <c r="R104" s="275">
        <v>167738.75318275701</v>
      </c>
      <c r="S104" s="277">
        <v>785</v>
      </c>
      <c r="T104" s="277">
        <v>134.4093138102655</v>
      </c>
      <c r="U104" s="277">
        <v>171222.05580925549</v>
      </c>
      <c r="V104" s="275">
        <v>426</v>
      </c>
      <c r="W104" s="275">
        <v>73.594806000000005</v>
      </c>
      <c r="X104" s="275">
        <v>172757.76056338029</v>
      </c>
      <c r="Y104" s="275">
        <v>361</v>
      </c>
      <c r="Z104" s="275">
        <v>60.596285000000002</v>
      </c>
      <c r="AA104" s="275">
        <v>167856.74515235459</v>
      </c>
      <c r="AB104" s="278">
        <v>787</v>
      </c>
      <c r="AC104" s="278">
        <v>134.191091</v>
      </c>
      <c r="AD104" s="278">
        <v>170509.64548919949</v>
      </c>
      <c r="AE104" s="275">
        <v>424</v>
      </c>
      <c r="AF104" s="275">
        <v>221.23930423913399</v>
      </c>
      <c r="AG104" s="275">
        <v>173933.0425196563</v>
      </c>
      <c r="AH104" s="275">
        <v>361</v>
      </c>
      <c r="AI104" s="275">
        <v>182.05887635339161</v>
      </c>
      <c r="AJ104" s="275">
        <v>168106.98342766089</v>
      </c>
      <c r="AK104" s="279">
        <v>785</v>
      </c>
      <c r="AL104" s="279">
        <v>403.29818059252563</v>
      </c>
      <c r="AM104" s="279">
        <v>171253.17066792259</v>
      </c>
    </row>
    <row r="105" spans="2:39" ht="17.25" x14ac:dyDescent="0.25">
      <c r="B105" s="428" t="s">
        <v>834</v>
      </c>
      <c r="C105" s="269" t="s">
        <v>887</v>
      </c>
      <c r="D105" s="275">
        <v>12768</v>
      </c>
      <c r="E105" s="275">
        <v>2719.3068830073212</v>
      </c>
      <c r="F105" s="275">
        <v>212978.29597488421</v>
      </c>
      <c r="G105" s="275">
        <v>9139</v>
      </c>
      <c r="H105" s="275">
        <v>1929.2495816874291</v>
      </c>
      <c r="I105" s="275">
        <v>211100.73111800299</v>
      </c>
      <c r="J105" s="276">
        <v>21907</v>
      </c>
      <c r="K105" s="276">
        <v>4648.5564646947514</v>
      </c>
      <c r="L105" s="276">
        <v>212195.02737457209</v>
      </c>
      <c r="M105" s="275">
        <v>12836</v>
      </c>
      <c r="N105" s="275">
        <v>2726.146956570698</v>
      </c>
      <c r="O105" s="275">
        <v>212382.9040644046</v>
      </c>
      <c r="P105" s="275">
        <v>9183</v>
      </c>
      <c r="Q105" s="275">
        <v>1933.028702702512</v>
      </c>
      <c r="R105" s="275">
        <v>210500.78435179271</v>
      </c>
      <c r="S105" s="277">
        <v>22019</v>
      </c>
      <c r="T105" s="277">
        <v>4659.1756592732099</v>
      </c>
      <c r="U105" s="277">
        <v>211597.9680854358</v>
      </c>
      <c r="V105" s="275">
        <v>12887</v>
      </c>
      <c r="W105" s="275">
        <v>2732.6900340000002</v>
      </c>
      <c r="X105" s="275">
        <v>212050.13067432301</v>
      </c>
      <c r="Y105" s="275">
        <v>9182</v>
      </c>
      <c r="Z105" s="275">
        <v>1930.502833</v>
      </c>
      <c r="AA105" s="275">
        <v>210248.62045306031</v>
      </c>
      <c r="AB105" s="278">
        <v>22069</v>
      </c>
      <c r="AC105" s="278">
        <v>4663.1928669999998</v>
      </c>
      <c r="AD105" s="278">
        <v>211300.59662875519</v>
      </c>
      <c r="AE105" s="275">
        <v>12830.33333333333</v>
      </c>
      <c r="AF105" s="275">
        <v>8178.1438735780193</v>
      </c>
      <c r="AG105" s="275">
        <v>212470.44357120391</v>
      </c>
      <c r="AH105" s="275">
        <v>9168</v>
      </c>
      <c r="AI105" s="275">
        <v>5792.7811173899418</v>
      </c>
      <c r="AJ105" s="275">
        <v>210616.71197428531</v>
      </c>
      <c r="AK105" s="279">
        <v>21998.333333333328</v>
      </c>
      <c r="AL105" s="279">
        <v>13970.92499096796</v>
      </c>
      <c r="AM105" s="279">
        <v>211697.86402958771</v>
      </c>
    </row>
    <row r="106" spans="2:39" ht="17.25" x14ac:dyDescent="0.25">
      <c r="B106" s="426" t="s">
        <v>838</v>
      </c>
      <c r="C106" s="269" t="s">
        <v>840</v>
      </c>
      <c r="D106" s="275">
        <v>0</v>
      </c>
      <c r="E106" s="275">
        <v>0</v>
      </c>
      <c r="F106" s="275"/>
      <c r="G106" s="275">
        <v>0</v>
      </c>
      <c r="H106" s="275">
        <v>0</v>
      </c>
      <c r="I106" s="275"/>
      <c r="J106" s="276">
        <v>0</v>
      </c>
      <c r="K106" s="276">
        <v>0</v>
      </c>
      <c r="L106" s="276"/>
      <c r="M106" s="275">
        <v>0</v>
      </c>
      <c r="N106" s="275">
        <v>0</v>
      </c>
      <c r="O106" s="275"/>
      <c r="P106" s="275">
        <v>0</v>
      </c>
      <c r="Q106" s="275">
        <v>0</v>
      </c>
      <c r="R106" s="275"/>
      <c r="S106" s="277">
        <v>0</v>
      </c>
      <c r="T106" s="277">
        <v>0</v>
      </c>
      <c r="U106" s="277"/>
      <c r="V106" s="275">
        <v>0</v>
      </c>
      <c r="W106" s="275">
        <v>0</v>
      </c>
      <c r="X106" s="275"/>
      <c r="Y106" s="275">
        <v>0</v>
      </c>
      <c r="Z106" s="275">
        <v>0</v>
      </c>
      <c r="AA106" s="275"/>
      <c r="AB106" s="278">
        <v>0</v>
      </c>
      <c r="AC106" s="278">
        <v>0</v>
      </c>
      <c r="AD106" s="278"/>
      <c r="AE106" s="275">
        <v>0</v>
      </c>
      <c r="AF106" s="275">
        <v>0</v>
      </c>
      <c r="AG106" s="275"/>
      <c r="AH106" s="275">
        <v>0</v>
      </c>
      <c r="AI106" s="275">
        <v>0</v>
      </c>
      <c r="AJ106" s="275"/>
      <c r="AK106" s="279">
        <v>0</v>
      </c>
      <c r="AL106" s="279">
        <v>0</v>
      </c>
      <c r="AM106" s="279"/>
    </row>
    <row r="107" spans="2:39" ht="17.25" x14ac:dyDescent="0.25">
      <c r="B107" s="427"/>
      <c r="C107" s="269" t="s">
        <v>886</v>
      </c>
      <c r="D107" s="275">
        <v>0</v>
      </c>
      <c r="E107" s="275">
        <v>0</v>
      </c>
      <c r="F107" s="275"/>
      <c r="G107" s="275">
        <v>0</v>
      </c>
      <c r="H107" s="275">
        <v>0</v>
      </c>
      <c r="I107" s="275"/>
      <c r="J107" s="276">
        <v>0</v>
      </c>
      <c r="K107" s="276">
        <v>0</v>
      </c>
      <c r="L107" s="276"/>
      <c r="M107" s="275">
        <v>0</v>
      </c>
      <c r="N107" s="275">
        <v>0</v>
      </c>
      <c r="O107" s="275"/>
      <c r="P107" s="275">
        <v>0</v>
      </c>
      <c r="Q107" s="275">
        <v>0</v>
      </c>
      <c r="R107" s="275"/>
      <c r="S107" s="277">
        <v>0</v>
      </c>
      <c r="T107" s="277">
        <v>0</v>
      </c>
      <c r="U107" s="277"/>
      <c r="V107" s="275">
        <v>0</v>
      </c>
      <c r="W107" s="275">
        <v>0</v>
      </c>
      <c r="X107" s="275"/>
      <c r="Y107" s="275">
        <v>0</v>
      </c>
      <c r="Z107" s="275">
        <v>0</v>
      </c>
      <c r="AA107" s="275"/>
      <c r="AB107" s="278">
        <v>0</v>
      </c>
      <c r="AC107" s="278">
        <v>0</v>
      </c>
      <c r="AD107" s="278"/>
      <c r="AE107" s="275">
        <v>0</v>
      </c>
      <c r="AF107" s="275">
        <v>0</v>
      </c>
      <c r="AG107" s="275"/>
      <c r="AH107" s="275">
        <v>0</v>
      </c>
      <c r="AI107" s="275">
        <v>0</v>
      </c>
      <c r="AJ107" s="275"/>
      <c r="AK107" s="279">
        <v>0</v>
      </c>
      <c r="AL107" s="279">
        <v>0</v>
      </c>
      <c r="AM107" s="279"/>
    </row>
    <row r="108" spans="2:39" ht="17.25" x14ac:dyDescent="0.25">
      <c r="B108" s="427"/>
      <c r="C108" s="269" t="s">
        <v>842</v>
      </c>
      <c r="D108" s="275">
        <v>0</v>
      </c>
      <c r="E108" s="275">
        <v>0</v>
      </c>
      <c r="F108" s="275"/>
      <c r="G108" s="275">
        <v>0</v>
      </c>
      <c r="H108" s="275">
        <v>0</v>
      </c>
      <c r="I108" s="275"/>
      <c r="J108" s="276">
        <v>0</v>
      </c>
      <c r="K108" s="276">
        <v>0</v>
      </c>
      <c r="L108" s="276"/>
      <c r="M108" s="275">
        <v>0</v>
      </c>
      <c r="N108" s="275">
        <v>0</v>
      </c>
      <c r="O108" s="275"/>
      <c r="P108" s="275">
        <v>0</v>
      </c>
      <c r="Q108" s="275">
        <v>0</v>
      </c>
      <c r="R108" s="275"/>
      <c r="S108" s="277">
        <v>0</v>
      </c>
      <c r="T108" s="277">
        <v>0</v>
      </c>
      <c r="U108" s="277"/>
      <c r="V108" s="275">
        <v>0</v>
      </c>
      <c r="W108" s="275">
        <v>0</v>
      </c>
      <c r="X108" s="275"/>
      <c r="Y108" s="275">
        <v>0</v>
      </c>
      <c r="Z108" s="275">
        <v>0</v>
      </c>
      <c r="AA108" s="275"/>
      <c r="AB108" s="278">
        <v>0</v>
      </c>
      <c r="AC108" s="278">
        <v>0</v>
      </c>
      <c r="AD108" s="278"/>
      <c r="AE108" s="275">
        <v>0</v>
      </c>
      <c r="AF108" s="275">
        <v>0</v>
      </c>
      <c r="AG108" s="275"/>
      <c r="AH108" s="275">
        <v>0</v>
      </c>
      <c r="AI108" s="275">
        <v>0</v>
      </c>
      <c r="AJ108" s="275"/>
      <c r="AK108" s="279">
        <v>0</v>
      </c>
      <c r="AL108" s="279">
        <v>0</v>
      </c>
      <c r="AM108" s="279"/>
    </row>
    <row r="109" spans="2:39" x14ac:dyDescent="0.25">
      <c r="B109" s="427"/>
      <c r="C109" s="269" t="s">
        <v>847</v>
      </c>
      <c r="D109" s="275">
        <v>0</v>
      </c>
      <c r="E109" s="275">
        <v>0</v>
      </c>
      <c r="F109" s="275"/>
      <c r="G109" s="275">
        <v>0</v>
      </c>
      <c r="H109" s="275">
        <v>0</v>
      </c>
      <c r="I109" s="275"/>
      <c r="J109" s="276">
        <v>0</v>
      </c>
      <c r="K109" s="276">
        <v>0</v>
      </c>
      <c r="L109" s="276"/>
      <c r="M109" s="275">
        <v>0</v>
      </c>
      <c r="N109" s="275">
        <v>0</v>
      </c>
      <c r="O109" s="275"/>
      <c r="P109" s="275">
        <v>0</v>
      </c>
      <c r="Q109" s="275">
        <v>0</v>
      </c>
      <c r="R109" s="275"/>
      <c r="S109" s="277">
        <v>0</v>
      </c>
      <c r="T109" s="277">
        <v>0</v>
      </c>
      <c r="U109" s="277"/>
      <c r="V109" s="275">
        <v>0</v>
      </c>
      <c r="W109" s="275">
        <v>0</v>
      </c>
      <c r="X109" s="275"/>
      <c r="Y109" s="275">
        <v>0</v>
      </c>
      <c r="Z109" s="275">
        <v>0</v>
      </c>
      <c r="AA109" s="275"/>
      <c r="AB109" s="278">
        <v>0</v>
      </c>
      <c r="AC109" s="278">
        <v>0</v>
      </c>
      <c r="AD109" s="278"/>
      <c r="AE109" s="275">
        <v>0</v>
      </c>
      <c r="AF109" s="275">
        <v>0</v>
      </c>
      <c r="AG109" s="275"/>
      <c r="AH109" s="275">
        <v>0</v>
      </c>
      <c r="AI109" s="275">
        <v>0</v>
      </c>
      <c r="AJ109" s="275"/>
      <c r="AK109" s="279">
        <v>0</v>
      </c>
      <c r="AL109" s="279">
        <v>0</v>
      </c>
      <c r="AM109" s="279"/>
    </row>
    <row r="110" spans="2:39" x14ac:dyDescent="0.25">
      <c r="B110" s="427"/>
      <c r="C110" s="269" t="s">
        <v>848</v>
      </c>
      <c r="D110" s="275">
        <v>0</v>
      </c>
      <c r="E110" s="275">
        <v>0</v>
      </c>
      <c r="F110" s="275"/>
      <c r="G110" s="275">
        <v>0</v>
      </c>
      <c r="H110" s="275">
        <v>0</v>
      </c>
      <c r="I110" s="275"/>
      <c r="J110" s="276">
        <v>0</v>
      </c>
      <c r="K110" s="276">
        <v>0</v>
      </c>
      <c r="L110" s="276"/>
      <c r="M110" s="275">
        <v>0</v>
      </c>
      <c r="N110" s="275">
        <v>0</v>
      </c>
      <c r="O110" s="275"/>
      <c r="P110" s="275">
        <v>0</v>
      </c>
      <c r="Q110" s="275">
        <v>0</v>
      </c>
      <c r="R110" s="275"/>
      <c r="S110" s="277">
        <v>0</v>
      </c>
      <c r="T110" s="277">
        <v>0</v>
      </c>
      <c r="U110" s="277"/>
      <c r="V110" s="275">
        <v>0</v>
      </c>
      <c r="W110" s="275">
        <v>0</v>
      </c>
      <c r="X110" s="275"/>
      <c r="Y110" s="275">
        <v>0</v>
      </c>
      <c r="Z110" s="275">
        <v>0</v>
      </c>
      <c r="AA110" s="275"/>
      <c r="AB110" s="278">
        <v>0</v>
      </c>
      <c r="AC110" s="278">
        <v>0</v>
      </c>
      <c r="AD110" s="278"/>
      <c r="AE110" s="275">
        <v>0</v>
      </c>
      <c r="AF110" s="275">
        <v>0</v>
      </c>
      <c r="AG110" s="275"/>
      <c r="AH110" s="275">
        <v>0</v>
      </c>
      <c r="AI110" s="275">
        <v>0</v>
      </c>
      <c r="AJ110" s="275"/>
      <c r="AK110" s="279">
        <v>0</v>
      </c>
      <c r="AL110" s="279">
        <v>0</v>
      </c>
      <c r="AM110" s="279"/>
    </row>
    <row r="111" spans="2:39" ht="17.25" x14ac:dyDescent="0.25">
      <c r="B111" s="428"/>
      <c r="C111" s="269" t="s">
        <v>887</v>
      </c>
      <c r="D111" s="275">
        <v>0</v>
      </c>
      <c r="E111" s="275">
        <v>0</v>
      </c>
      <c r="F111" s="275"/>
      <c r="G111" s="275">
        <v>0</v>
      </c>
      <c r="H111" s="275">
        <v>0</v>
      </c>
      <c r="I111" s="275"/>
      <c r="J111" s="276">
        <v>0</v>
      </c>
      <c r="K111" s="276">
        <v>0</v>
      </c>
      <c r="L111" s="276"/>
      <c r="M111" s="275">
        <v>0</v>
      </c>
      <c r="N111" s="275">
        <v>0</v>
      </c>
      <c r="O111" s="275"/>
      <c r="P111" s="275">
        <v>0</v>
      </c>
      <c r="Q111" s="275">
        <v>0</v>
      </c>
      <c r="R111" s="275"/>
      <c r="S111" s="277">
        <v>0</v>
      </c>
      <c r="T111" s="277">
        <v>0</v>
      </c>
      <c r="U111" s="277"/>
      <c r="V111" s="275">
        <v>0</v>
      </c>
      <c r="W111" s="275">
        <v>0</v>
      </c>
      <c r="X111" s="275"/>
      <c r="Y111" s="275">
        <v>0</v>
      </c>
      <c r="Z111" s="275">
        <v>0</v>
      </c>
      <c r="AA111" s="275"/>
      <c r="AB111" s="278">
        <v>0</v>
      </c>
      <c r="AC111" s="278">
        <v>0</v>
      </c>
      <c r="AD111" s="278"/>
      <c r="AE111" s="275">
        <v>0</v>
      </c>
      <c r="AF111" s="275">
        <v>0</v>
      </c>
      <c r="AG111" s="275"/>
      <c r="AH111" s="275">
        <v>0</v>
      </c>
      <c r="AI111" s="275">
        <v>0</v>
      </c>
      <c r="AJ111" s="275"/>
      <c r="AK111" s="279">
        <v>0</v>
      </c>
      <c r="AL111" s="279">
        <v>0</v>
      </c>
      <c r="AM111" s="279"/>
    </row>
    <row r="112" spans="2:39" ht="17.25" x14ac:dyDescent="0.25">
      <c r="B112" s="426" t="s">
        <v>835</v>
      </c>
      <c r="C112" s="269" t="s">
        <v>840</v>
      </c>
      <c r="D112" s="275">
        <v>348046</v>
      </c>
      <c r="E112" s="275">
        <v>74440.177940813228</v>
      </c>
      <c r="F112" s="275">
        <v>213880.28576916049</v>
      </c>
      <c r="G112" s="275">
        <v>133888</v>
      </c>
      <c r="H112" s="275">
        <v>28739.71982398659</v>
      </c>
      <c r="I112" s="275">
        <v>214654.93415381949</v>
      </c>
      <c r="J112" s="276">
        <v>481934</v>
      </c>
      <c r="K112" s="276">
        <v>103179.8977647998</v>
      </c>
      <c r="L112" s="276">
        <v>214095.493915764</v>
      </c>
      <c r="M112" s="275">
        <v>349176</v>
      </c>
      <c r="N112" s="275">
        <v>74472.449508912818</v>
      </c>
      <c r="O112" s="275">
        <v>213280.55052155021</v>
      </c>
      <c r="P112" s="275">
        <v>134137</v>
      </c>
      <c r="Q112" s="275">
        <v>28719.813726471992</v>
      </c>
      <c r="R112" s="275">
        <v>214108.0665772456</v>
      </c>
      <c r="S112" s="277">
        <v>483313</v>
      </c>
      <c r="T112" s="277">
        <v>103192.2632353848</v>
      </c>
      <c r="U112" s="277">
        <v>213510.2164340392</v>
      </c>
      <c r="V112" s="275">
        <v>420895</v>
      </c>
      <c r="W112" s="275">
        <v>89641.813506000006</v>
      </c>
      <c r="X112" s="275">
        <v>212979.04110526381</v>
      </c>
      <c r="Y112" s="275">
        <v>167174</v>
      </c>
      <c r="Z112" s="275">
        <v>35771.659812999998</v>
      </c>
      <c r="AA112" s="275">
        <v>213978.6079952624</v>
      </c>
      <c r="AB112" s="278">
        <v>588069</v>
      </c>
      <c r="AC112" s="278">
        <v>125413.473319</v>
      </c>
      <c r="AD112" s="278">
        <v>213263.19414728539</v>
      </c>
      <c r="AE112" s="275">
        <v>372705.66666666669</v>
      </c>
      <c r="AF112" s="275">
        <v>238554.44095572611</v>
      </c>
      <c r="AG112" s="275">
        <v>213379.95913199149</v>
      </c>
      <c r="AH112" s="275">
        <v>145066.33333333331</v>
      </c>
      <c r="AI112" s="275">
        <v>93231.193363458588</v>
      </c>
      <c r="AJ112" s="275">
        <v>214247.20290877589</v>
      </c>
      <c r="AK112" s="279">
        <v>517772</v>
      </c>
      <c r="AL112" s="279">
        <v>331785.63431918458</v>
      </c>
      <c r="AM112" s="279">
        <v>213622.96816569619</v>
      </c>
    </row>
    <row r="113" spans="2:39" ht="17.25" x14ac:dyDescent="0.25">
      <c r="B113" s="427" t="s">
        <v>791</v>
      </c>
      <c r="C113" s="269" t="s">
        <v>886</v>
      </c>
      <c r="D113" s="275">
        <v>856180</v>
      </c>
      <c r="E113" s="275">
        <v>181253.68502583879</v>
      </c>
      <c r="F113" s="275">
        <v>211700.442694105</v>
      </c>
      <c r="G113" s="275">
        <v>728418</v>
      </c>
      <c r="H113" s="275">
        <v>152603.8957319395</v>
      </c>
      <c r="I113" s="275">
        <v>209500.44580438631</v>
      </c>
      <c r="J113" s="276">
        <v>1584598</v>
      </c>
      <c r="K113" s="276">
        <v>333857.58075777831</v>
      </c>
      <c r="L113" s="276">
        <v>210689.13425220671</v>
      </c>
      <c r="M113" s="275">
        <v>859346</v>
      </c>
      <c r="N113" s="275">
        <v>181433.27717045319</v>
      </c>
      <c r="O113" s="275">
        <v>211129.48354964491</v>
      </c>
      <c r="P113" s="275">
        <v>731265</v>
      </c>
      <c r="Q113" s="275">
        <v>152792.5900574525</v>
      </c>
      <c r="R113" s="275">
        <v>208942.845695408</v>
      </c>
      <c r="S113" s="277">
        <v>1590611</v>
      </c>
      <c r="T113" s="277">
        <v>334225.86722790572</v>
      </c>
      <c r="U113" s="277">
        <v>210124.20210089441</v>
      </c>
      <c r="V113" s="275">
        <v>792093</v>
      </c>
      <c r="W113" s="275">
        <v>166908.847702</v>
      </c>
      <c r="X113" s="275">
        <v>210718.75108352181</v>
      </c>
      <c r="Y113" s="275">
        <v>702144</v>
      </c>
      <c r="Z113" s="275">
        <v>146387.691119</v>
      </c>
      <c r="AA113" s="275">
        <v>208486.70802427991</v>
      </c>
      <c r="AB113" s="278">
        <v>1494237</v>
      </c>
      <c r="AC113" s="278">
        <v>313296.53882100002</v>
      </c>
      <c r="AD113" s="278">
        <v>209669.9110121085</v>
      </c>
      <c r="AE113" s="275">
        <v>835873</v>
      </c>
      <c r="AF113" s="275">
        <v>529595.80989829195</v>
      </c>
      <c r="AG113" s="275">
        <v>211182.89244242391</v>
      </c>
      <c r="AH113" s="275">
        <v>720609</v>
      </c>
      <c r="AI113" s="275">
        <v>451784.17690839199</v>
      </c>
      <c r="AJ113" s="275">
        <v>208976.6665080247</v>
      </c>
      <c r="AK113" s="279">
        <v>1556482</v>
      </c>
      <c r="AL113" s="279">
        <v>981379.98680668406</v>
      </c>
      <c r="AM113" s="279">
        <v>210161.0824550699</v>
      </c>
    </row>
    <row r="114" spans="2:39" ht="17.25" x14ac:dyDescent="0.25">
      <c r="B114" s="427" t="s">
        <v>791</v>
      </c>
      <c r="C114" s="269" t="s">
        <v>842</v>
      </c>
      <c r="D114" s="275">
        <v>104051</v>
      </c>
      <c r="E114" s="275">
        <v>25762.518020723212</v>
      </c>
      <c r="F114" s="275">
        <v>247595.1026008708</v>
      </c>
      <c r="G114" s="275">
        <v>58337</v>
      </c>
      <c r="H114" s="275">
        <v>14716.04977448508</v>
      </c>
      <c r="I114" s="275">
        <v>252259.28269340339</v>
      </c>
      <c r="J114" s="276">
        <v>162388</v>
      </c>
      <c r="K114" s="276">
        <v>40478.567795208277</v>
      </c>
      <c r="L114" s="276">
        <v>249270.6837648612</v>
      </c>
      <c r="M114" s="275">
        <v>103719</v>
      </c>
      <c r="N114" s="275">
        <v>25633.651208140211</v>
      </c>
      <c r="O114" s="275">
        <v>247145.18273546989</v>
      </c>
      <c r="P114" s="275">
        <v>57968</v>
      </c>
      <c r="Q114" s="275">
        <v>14604.207821896171</v>
      </c>
      <c r="R114" s="275">
        <v>251935.6855833593</v>
      </c>
      <c r="S114" s="277">
        <v>161687</v>
      </c>
      <c r="T114" s="277">
        <v>40237.859030036387</v>
      </c>
      <c r="U114" s="277">
        <v>248862.67312793469</v>
      </c>
      <c r="V114" s="275">
        <v>103429</v>
      </c>
      <c r="W114" s="275">
        <v>25543.780151999999</v>
      </c>
      <c r="X114" s="275">
        <v>246969.22673524829</v>
      </c>
      <c r="Y114" s="275">
        <v>57557</v>
      </c>
      <c r="Z114" s="275">
        <v>14498.055632</v>
      </c>
      <c r="AA114" s="275">
        <v>251890.39790121099</v>
      </c>
      <c r="AB114" s="278">
        <v>160986</v>
      </c>
      <c r="AC114" s="278">
        <v>40041.835784000003</v>
      </c>
      <c r="AD114" s="278">
        <v>248728.68314014879</v>
      </c>
      <c r="AE114" s="275">
        <v>103733</v>
      </c>
      <c r="AF114" s="275">
        <v>76939.949380863414</v>
      </c>
      <c r="AG114" s="275">
        <v>247236.504023863</v>
      </c>
      <c r="AH114" s="275">
        <v>57954</v>
      </c>
      <c r="AI114" s="275">
        <v>43818.313228381252</v>
      </c>
      <c r="AJ114" s="275">
        <v>252028.4553926579</v>
      </c>
      <c r="AK114" s="279">
        <v>161687</v>
      </c>
      <c r="AL114" s="279">
        <v>120758.2626092447</v>
      </c>
      <c r="AM114" s="279">
        <v>248954.01334431491</v>
      </c>
    </row>
    <row r="115" spans="2:39" x14ac:dyDescent="0.25">
      <c r="B115" s="427" t="s">
        <v>791</v>
      </c>
      <c r="C115" s="269" t="s">
        <v>847</v>
      </c>
      <c r="D115" s="275">
        <v>110743</v>
      </c>
      <c r="E115" s="275">
        <v>23799.57941367594</v>
      </c>
      <c r="F115" s="275">
        <v>214908.20560826361</v>
      </c>
      <c r="G115" s="275">
        <v>87013</v>
      </c>
      <c r="H115" s="275">
        <v>18701.276204447429</v>
      </c>
      <c r="I115" s="275">
        <v>214925.0825100551</v>
      </c>
      <c r="J115" s="276">
        <v>197756</v>
      </c>
      <c r="K115" s="276">
        <v>42500.855618123373</v>
      </c>
      <c r="L115" s="276">
        <v>214915.63147577501</v>
      </c>
      <c r="M115" s="275">
        <v>111054</v>
      </c>
      <c r="N115" s="275">
        <v>23805.780047872791</v>
      </c>
      <c r="O115" s="275">
        <v>214362.202602993</v>
      </c>
      <c r="P115" s="275">
        <v>87337</v>
      </c>
      <c r="Q115" s="275">
        <v>18723.117703932741</v>
      </c>
      <c r="R115" s="275">
        <v>214377.8433416849</v>
      </c>
      <c r="S115" s="277">
        <v>198391</v>
      </c>
      <c r="T115" s="277">
        <v>42528.897751805533</v>
      </c>
      <c r="U115" s="277">
        <v>214369.0880725715</v>
      </c>
      <c r="V115" s="275">
        <v>111277</v>
      </c>
      <c r="W115" s="275">
        <v>23832.988879</v>
      </c>
      <c r="X115" s="275">
        <v>214177.133450758</v>
      </c>
      <c r="Y115" s="275">
        <v>87585</v>
      </c>
      <c r="Z115" s="275">
        <v>18759.924375999999</v>
      </c>
      <c r="AA115" s="275">
        <v>214191.06440600561</v>
      </c>
      <c r="AB115" s="278">
        <v>198862</v>
      </c>
      <c r="AC115" s="278">
        <v>42592.913254999999</v>
      </c>
      <c r="AD115" s="278">
        <v>214183.26907604269</v>
      </c>
      <c r="AE115" s="275">
        <v>111024.6666666667</v>
      </c>
      <c r="AF115" s="275">
        <v>71438.348340548735</v>
      </c>
      <c r="AG115" s="275">
        <v>214482.51388733819</v>
      </c>
      <c r="AH115" s="275">
        <v>87311.666666666672</v>
      </c>
      <c r="AI115" s="275">
        <v>56184.318284380162</v>
      </c>
      <c r="AJ115" s="275">
        <v>214497.99675258191</v>
      </c>
      <c r="AK115" s="279">
        <v>198336.33333333331</v>
      </c>
      <c r="AL115" s="279">
        <v>127622.6666249289</v>
      </c>
      <c r="AM115" s="279">
        <v>214489.32954146311</v>
      </c>
    </row>
    <row r="116" spans="2:39" x14ac:dyDescent="0.25">
      <c r="B116" s="427" t="s">
        <v>791</v>
      </c>
      <c r="C116" s="269" t="s">
        <v>848</v>
      </c>
      <c r="D116" s="275">
        <v>47933</v>
      </c>
      <c r="E116" s="275">
        <v>8741.1981845819955</v>
      </c>
      <c r="F116" s="275">
        <v>182362.8436480503</v>
      </c>
      <c r="G116" s="275">
        <v>51499</v>
      </c>
      <c r="H116" s="275">
        <v>8887.2540587621461</v>
      </c>
      <c r="I116" s="275">
        <v>172571.39087675771</v>
      </c>
      <c r="J116" s="276">
        <v>99432</v>
      </c>
      <c r="K116" s="276">
        <v>17628.452243344142</v>
      </c>
      <c r="L116" s="276">
        <v>177291.5383713909</v>
      </c>
      <c r="M116" s="275">
        <v>48030</v>
      </c>
      <c r="N116" s="275">
        <v>8730.3583365132254</v>
      </c>
      <c r="O116" s="275">
        <v>181768.85980664639</v>
      </c>
      <c r="P116" s="275">
        <v>51610</v>
      </c>
      <c r="Q116" s="275">
        <v>8879.4421216166174</v>
      </c>
      <c r="R116" s="275">
        <v>172048.86885519509</v>
      </c>
      <c r="S116" s="277">
        <v>99640</v>
      </c>
      <c r="T116" s="277">
        <v>17609.800458129841</v>
      </c>
      <c r="U116" s="277">
        <v>176734.24787364359</v>
      </c>
      <c r="V116" s="275">
        <v>48029</v>
      </c>
      <c r="W116" s="275">
        <v>8709.9113300000008</v>
      </c>
      <c r="X116" s="275">
        <v>181346.92227612491</v>
      </c>
      <c r="Y116" s="275">
        <v>51658</v>
      </c>
      <c r="Z116" s="275">
        <v>8871.5785739999992</v>
      </c>
      <c r="AA116" s="275">
        <v>171736.77985984739</v>
      </c>
      <c r="AB116" s="278">
        <v>99687</v>
      </c>
      <c r="AC116" s="278">
        <v>17581.489903999998</v>
      </c>
      <c r="AD116" s="278">
        <v>176366.9275231474</v>
      </c>
      <c r="AE116" s="275">
        <v>47997.333333333343</v>
      </c>
      <c r="AF116" s="275">
        <v>26181.467851095222</v>
      </c>
      <c r="AG116" s="275">
        <v>181826.20857694049</v>
      </c>
      <c r="AH116" s="275">
        <v>51589</v>
      </c>
      <c r="AI116" s="275">
        <v>26638.274754378759</v>
      </c>
      <c r="AJ116" s="275">
        <v>172119.0131972667</v>
      </c>
      <c r="AK116" s="279">
        <v>99586.333333333328</v>
      </c>
      <c r="AL116" s="279">
        <v>52819.742605473977</v>
      </c>
      <c r="AM116" s="279">
        <v>176797.57125606059</v>
      </c>
    </row>
    <row r="117" spans="2:39" ht="17.25" x14ac:dyDescent="0.25">
      <c r="B117" s="428" t="s">
        <v>791</v>
      </c>
      <c r="C117" s="269" t="s">
        <v>887</v>
      </c>
      <c r="D117" s="275">
        <v>1466953</v>
      </c>
      <c r="E117" s="275">
        <v>313997.15858563321</v>
      </c>
      <c r="F117" s="275">
        <v>214047.18391498111</v>
      </c>
      <c r="G117" s="275">
        <v>1059155</v>
      </c>
      <c r="H117" s="275">
        <v>223648.19559362071</v>
      </c>
      <c r="I117" s="275">
        <v>211157.19190639781</v>
      </c>
      <c r="J117" s="276">
        <v>2526108</v>
      </c>
      <c r="K117" s="276">
        <v>537645.35417925392</v>
      </c>
      <c r="L117" s="276">
        <v>212835.45841240909</v>
      </c>
      <c r="M117" s="275">
        <v>1471325</v>
      </c>
      <c r="N117" s="275">
        <v>314075.51627189218</v>
      </c>
      <c r="O117" s="275">
        <v>213464.40539778251</v>
      </c>
      <c r="P117" s="275">
        <v>1062317</v>
      </c>
      <c r="Q117" s="275">
        <v>223719.17143137011</v>
      </c>
      <c r="R117" s="275">
        <v>210595.4921472311</v>
      </c>
      <c r="S117" s="277">
        <v>2533642</v>
      </c>
      <c r="T117" s="277">
        <v>537794.6877032622</v>
      </c>
      <c r="U117" s="277">
        <v>212261.514335199</v>
      </c>
      <c r="V117" s="275">
        <v>1475723</v>
      </c>
      <c r="W117" s="275">
        <v>314637.34156899998</v>
      </c>
      <c r="X117" s="275">
        <v>213208.94339181541</v>
      </c>
      <c r="Y117" s="275">
        <v>1066118</v>
      </c>
      <c r="Z117" s="275">
        <v>224288.909514</v>
      </c>
      <c r="AA117" s="275">
        <v>210379.06640165529</v>
      </c>
      <c r="AB117" s="278">
        <v>2541841</v>
      </c>
      <c r="AC117" s="278">
        <v>538926.25108299998</v>
      </c>
      <c r="AD117" s="278">
        <v>212022.01517836869</v>
      </c>
      <c r="AE117" s="275">
        <v>1471333.666666667</v>
      </c>
      <c r="AF117" s="275">
        <v>942710.01642652543</v>
      </c>
      <c r="AG117" s="275">
        <v>213573.51090152629</v>
      </c>
      <c r="AH117" s="275">
        <v>1062530</v>
      </c>
      <c r="AI117" s="275">
        <v>671656.27653899079</v>
      </c>
      <c r="AJ117" s="275">
        <v>210710.58348509471</v>
      </c>
      <c r="AK117" s="279">
        <v>2533863.666666667</v>
      </c>
      <c r="AL117" s="279">
        <v>1614366.292965516</v>
      </c>
      <c r="AM117" s="279">
        <v>212372.99597532561</v>
      </c>
    </row>
    <row r="118" spans="2:39" x14ac:dyDescent="0.25">
      <c r="B118" s="4" t="s">
        <v>772</v>
      </c>
    </row>
    <row r="119" spans="2:39" ht="68.25" customHeight="1" x14ac:dyDescent="0.25">
      <c r="B119" s="429" t="s">
        <v>836</v>
      </c>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I119" s="429"/>
      <c r="AJ119" s="429"/>
      <c r="AK119" s="429"/>
      <c r="AL119" s="429"/>
      <c r="AM119" s="429"/>
    </row>
    <row r="120" spans="2:39" ht="15" customHeight="1" x14ac:dyDescent="0.25">
      <c r="B120" s="421" t="s">
        <v>884</v>
      </c>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c r="AJ120" s="421"/>
      <c r="AK120" s="421"/>
      <c r="AL120" s="421"/>
      <c r="AM120" s="421"/>
    </row>
    <row r="121" spans="2:39" ht="46.5" customHeight="1" x14ac:dyDescent="0.25">
      <c r="B121" s="555" t="s">
        <v>952</v>
      </c>
      <c r="C121" s="555"/>
      <c r="D121" s="555"/>
      <c r="E121" s="555"/>
      <c r="F121" s="555"/>
      <c r="G121" s="555"/>
      <c r="H121" s="555"/>
      <c r="I121" s="555"/>
      <c r="J121" s="555"/>
      <c r="K121" s="555"/>
      <c r="L121" s="555"/>
      <c r="M121" s="555"/>
      <c r="N121" s="555"/>
      <c r="O121" s="555"/>
      <c r="P121" s="555"/>
      <c r="Q121" s="555"/>
      <c r="R121" s="555"/>
      <c r="S121" s="555"/>
      <c r="T121" s="555"/>
      <c r="U121" s="555"/>
      <c r="V121" s="555"/>
      <c r="W121" s="555"/>
      <c r="X121" s="555"/>
      <c r="Y121" s="555"/>
      <c r="Z121" s="555"/>
      <c r="AA121" s="555"/>
      <c r="AB121" s="555"/>
      <c r="AC121" s="555"/>
      <c r="AD121" s="555"/>
      <c r="AE121" s="555"/>
      <c r="AF121" s="555"/>
      <c r="AG121" s="555"/>
      <c r="AH121" s="555"/>
      <c r="AI121" s="555"/>
      <c r="AJ121" s="555"/>
      <c r="AK121" s="555"/>
      <c r="AL121" s="555"/>
      <c r="AM121" s="555"/>
    </row>
  </sheetData>
  <mergeCells count="39">
    <mergeCell ref="B120:AM120"/>
    <mergeCell ref="AH8:AJ8"/>
    <mergeCell ref="B10:B15"/>
    <mergeCell ref="D8:F8"/>
    <mergeCell ref="G8:I8"/>
    <mergeCell ref="J8:L8"/>
    <mergeCell ref="M8:O8"/>
    <mergeCell ref="B100:B105"/>
    <mergeCell ref="B112:B117"/>
    <mergeCell ref="B106:B111"/>
    <mergeCell ref="B46:B51"/>
    <mergeCell ref="AE8:AG8"/>
    <mergeCell ref="B16:B21"/>
    <mergeCell ref="B22:B27"/>
    <mergeCell ref="B28:B33"/>
    <mergeCell ref="B34:B39"/>
    <mergeCell ref="B40:B45"/>
    <mergeCell ref="B82:B87"/>
    <mergeCell ref="B64:B69"/>
    <mergeCell ref="B70:B75"/>
    <mergeCell ref="B76:B81"/>
    <mergeCell ref="B52:B57"/>
    <mergeCell ref="B58:B63"/>
    <mergeCell ref="B88:B93"/>
    <mergeCell ref="B94:B99"/>
    <mergeCell ref="B119:AM119"/>
    <mergeCell ref="B121:AM121"/>
    <mergeCell ref="AE7:AM7"/>
    <mergeCell ref="B7:B9"/>
    <mergeCell ref="C7:C9"/>
    <mergeCell ref="P8:R8"/>
    <mergeCell ref="S8:U8"/>
    <mergeCell ref="V8:X8"/>
    <mergeCell ref="Y8:AA8"/>
    <mergeCell ref="AB8:AD8"/>
    <mergeCell ref="D7:L7"/>
    <mergeCell ref="M7:U7"/>
    <mergeCell ref="V7:AD7"/>
    <mergeCell ref="AK8:AM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78"/>
  <sheetViews>
    <sheetView showGridLines="0" workbookViewId="0">
      <selection activeCell="B23" sqref="B23"/>
    </sheetView>
    <sheetView showGridLines="0" workbookViewId="1"/>
  </sheetViews>
  <sheetFormatPr baseColWidth="10" defaultRowHeight="15" outlineLevelRow="1" x14ac:dyDescent="0.25"/>
  <cols>
    <col min="2" max="2" width="20.7109375" customWidth="1"/>
    <col min="3" max="3" width="13.85546875" customWidth="1"/>
    <col min="4" max="4" width="14.28515625" customWidth="1"/>
    <col min="5" max="5" width="15.42578125" customWidth="1"/>
    <col min="6" max="6" width="17.28515625" customWidth="1"/>
    <col min="7" max="7" width="14.85546875" customWidth="1"/>
    <col min="8" max="8" width="15.7109375" customWidth="1"/>
    <col min="9" max="9" width="14.7109375" customWidth="1"/>
    <col min="10" max="10" width="15.42578125" customWidth="1"/>
    <col min="11" max="11" width="17" customWidth="1"/>
    <col min="12" max="12" width="15.7109375" bestFit="1" customWidth="1"/>
    <col min="13" max="13" width="14.85546875" customWidth="1"/>
    <col min="14" max="14" width="15.7109375" customWidth="1"/>
    <col min="15" max="15" width="14" customWidth="1"/>
    <col min="17" max="17" width="13.42578125" customWidth="1"/>
    <col min="18" max="18" width="13.5703125" bestFit="1" customWidth="1"/>
    <col min="21" max="21" width="12.42578125" customWidth="1"/>
    <col min="22" max="23" width="12" bestFit="1" customWidth="1"/>
    <col min="24" max="24" width="13" customWidth="1"/>
    <col min="27" max="27" width="12.5703125" customWidth="1"/>
  </cols>
  <sheetData>
    <row r="2" spans="2:12" ht="23.25" x14ac:dyDescent="0.25">
      <c r="B2" s="1" t="s">
        <v>693</v>
      </c>
      <c r="C2" s="4"/>
      <c r="D2" s="4"/>
      <c r="E2" s="4"/>
    </row>
    <row r="3" spans="2:12" x14ac:dyDescent="0.25">
      <c r="B3" s="4"/>
      <c r="C3" s="4"/>
      <c r="D3" s="4"/>
      <c r="E3" s="4"/>
    </row>
    <row r="4" spans="2:12" ht="18.75" x14ac:dyDescent="0.3">
      <c r="B4" s="2" t="s">
        <v>773</v>
      </c>
      <c r="C4" s="2"/>
      <c r="D4" s="2"/>
      <c r="E4" s="2"/>
      <c r="F4" s="2"/>
      <c r="G4" s="2"/>
      <c r="J4" s="4"/>
      <c r="K4" s="4"/>
    </row>
    <row r="5" spans="2:12" x14ac:dyDescent="0.25">
      <c r="B5" s="3" t="s">
        <v>912</v>
      </c>
      <c r="J5" s="4"/>
      <c r="K5" s="4"/>
    </row>
    <row r="6" spans="2:12" x14ac:dyDescent="0.25">
      <c r="J6" s="4"/>
      <c r="K6" s="4"/>
    </row>
    <row r="7" spans="2:12" ht="17.25" x14ac:dyDescent="0.25">
      <c r="D7" s="422" t="s">
        <v>849</v>
      </c>
      <c r="E7" s="422"/>
      <c r="F7" s="422"/>
      <c r="G7" s="422" t="s">
        <v>893</v>
      </c>
      <c r="H7" s="422"/>
      <c r="I7" s="422"/>
      <c r="J7" s="430" t="s">
        <v>851</v>
      </c>
      <c r="K7" s="430"/>
      <c r="L7" s="430"/>
    </row>
    <row r="8" spans="2:12" ht="32.25" x14ac:dyDescent="0.25">
      <c r="B8" s="268" t="s">
        <v>472</v>
      </c>
      <c r="C8" s="257" t="s">
        <v>589</v>
      </c>
      <c r="D8" s="264" t="s">
        <v>839</v>
      </c>
      <c r="E8" s="264" t="s">
        <v>901</v>
      </c>
      <c r="F8" s="264" t="s">
        <v>898</v>
      </c>
      <c r="G8" s="264" t="s">
        <v>839</v>
      </c>
      <c r="H8" s="264" t="s">
        <v>901</v>
      </c>
      <c r="I8" s="264" t="s">
        <v>898</v>
      </c>
      <c r="J8" s="282" t="s">
        <v>839</v>
      </c>
      <c r="K8" s="283" t="s">
        <v>901</v>
      </c>
      <c r="L8" s="283" t="s">
        <v>898</v>
      </c>
    </row>
    <row r="9" spans="2:12" x14ac:dyDescent="0.25">
      <c r="B9" s="423">
        <v>45474</v>
      </c>
      <c r="C9" s="280" t="s">
        <v>73</v>
      </c>
      <c r="D9" s="284">
        <v>348046</v>
      </c>
      <c r="E9" s="284">
        <v>74185.358548000004</v>
      </c>
      <c r="F9" s="284">
        <v>74440.177940813228</v>
      </c>
      <c r="G9" s="284">
        <v>856180</v>
      </c>
      <c r="H9" s="284">
        <v>180633.22769699999</v>
      </c>
      <c r="I9" s="284">
        <v>181253.68502583879</v>
      </c>
      <c r="J9" s="285">
        <v>1204226</v>
      </c>
      <c r="K9" s="285">
        <v>254818.58624500001</v>
      </c>
      <c r="L9" s="285">
        <v>255693.862966652</v>
      </c>
    </row>
    <row r="10" spans="2:12" x14ac:dyDescent="0.25">
      <c r="B10" s="442"/>
      <c r="C10" s="280" t="s">
        <v>74</v>
      </c>
      <c r="D10" s="284">
        <v>133888</v>
      </c>
      <c r="E10" s="284">
        <v>28641.339646</v>
      </c>
      <c r="F10" s="284">
        <v>28739.71982398659</v>
      </c>
      <c r="G10" s="284">
        <v>728418</v>
      </c>
      <c r="H10" s="284">
        <v>152081.510736</v>
      </c>
      <c r="I10" s="284">
        <v>152603.8957319395</v>
      </c>
      <c r="J10" s="285">
        <v>862306</v>
      </c>
      <c r="K10" s="285">
        <v>180722.850382</v>
      </c>
      <c r="L10" s="285">
        <v>181343.61555592611</v>
      </c>
    </row>
    <row r="11" spans="2:12" x14ac:dyDescent="0.25">
      <c r="B11" s="442"/>
      <c r="C11" s="280" t="s">
        <v>25</v>
      </c>
      <c r="D11" s="284">
        <v>481934</v>
      </c>
      <c r="E11" s="284">
        <v>102826.698194</v>
      </c>
      <c r="F11" s="284">
        <v>103179.8977647998</v>
      </c>
      <c r="G11" s="284">
        <v>1584598</v>
      </c>
      <c r="H11" s="284">
        <v>332714.73843299999</v>
      </c>
      <c r="I11" s="284">
        <v>333857.58075777831</v>
      </c>
      <c r="J11" s="285">
        <v>2066532</v>
      </c>
      <c r="K11" s="285">
        <v>435541.43662699999</v>
      </c>
      <c r="L11" s="285">
        <v>437037.47852257808</v>
      </c>
    </row>
    <row r="12" spans="2:12" x14ac:dyDescent="0.25">
      <c r="B12" s="423">
        <v>45505</v>
      </c>
      <c r="C12" s="280" t="s">
        <v>73</v>
      </c>
      <c r="D12" s="284">
        <v>349176</v>
      </c>
      <c r="E12" s="284">
        <v>74407.143353000007</v>
      </c>
      <c r="F12" s="284">
        <v>74472.449508912818</v>
      </c>
      <c r="G12" s="284">
        <v>859346</v>
      </c>
      <c r="H12" s="284">
        <v>181274.17524800001</v>
      </c>
      <c r="I12" s="284">
        <v>181433.27717045319</v>
      </c>
      <c r="J12" s="285">
        <v>1208522</v>
      </c>
      <c r="K12" s="285">
        <v>255681.31860100001</v>
      </c>
      <c r="L12" s="285">
        <v>255905.72667936599</v>
      </c>
    </row>
    <row r="13" spans="2:12" x14ac:dyDescent="0.25">
      <c r="B13" s="442"/>
      <c r="C13" s="280" t="s">
        <v>74</v>
      </c>
      <c r="D13" s="284">
        <v>134137</v>
      </c>
      <c r="E13" s="284">
        <v>28694.628833999999</v>
      </c>
      <c r="F13" s="284">
        <v>28719.813726471992</v>
      </c>
      <c r="G13" s="284">
        <v>731265</v>
      </c>
      <c r="H13" s="284">
        <v>152658.60363999999</v>
      </c>
      <c r="I13" s="284">
        <v>152792.5900574525</v>
      </c>
      <c r="J13" s="285">
        <v>865402</v>
      </c>
      <c r="K13" s="285">
        <v>181353.23247399999</v>
      </c>
      <c r="L13" s="285">
        <v>181512.4037839245</v>
      </c>
    </row>
    <row r="14" spans="2:12" x14ac:dyDescent="0.25">
      <c r="B14" s="442"/>
      <c r="C14" s="280" t="s">
        <v>25</v>
      </c>
      <c r="D14" s="284">
        <v>483313</v>
      </c>
      <c r="E14" s="284">
        <v>103101.772187</v>
      </c>
      <c r="F14" s="284">
        <v>103192.2632353848</v>
      </c>
      <c r="G14" s="284">
        <v>1590611</v>
      </c>
      <c r="H14" s="284">
        <v>333932.778888</v>
      </c>
      <c r="I14" s="284">
        <v>334225.86722790572</v>
      </c>
      <c r="J14" s="285">
        <v>2073924</v>
      </c>
      <c r="K14" s="285">
        <v>437034.55107500002</v>
      </c>
      <c r="L14" s="285">
        <v>437418.13046329049</v>
      </c>
    </row>
    <row r="15" spans="2:12" x14ac:dyDescent="0.25">
      <c r="B15" s="439">
        <v>45536</v>
      </c>
      <c r="C15" s="280" t="s">
        <v>73</v>
      </c>
      <c r="D15" s="284">
        <v>420895</v>
      </c>
      <c r="E15" s="284">
        <v>89641.813506000006</v>
      </c>
      <c r="F15" s="284">
        <v>89641.813506000006</v>
      </c>
      <c r="G15" s="284">
        <v>792093</v>
      </c>
      <c r="H15" s="284">
        <v>166908.847702</v>
      </c>
      <c r="I15" s="284">
        <v>166908.847702</v>
      </c>
      <c r="J15" s="285">
        <v>1212988</v>
      </c>
      <c r="K15" s="285">
        <v>256550.661208</v>
      </c>
      <c r="L15" s="285">
        <v>256550.661208</v>
      </c>
    </row>
    <row r="16" spans="2:12" x14ac:dyDescent="0.25">
      <c r="B16" s="440"/>
      <c r="C16" s="280" t="s">
        <v>74</v>
      </c>
      <c r="D16" s="284">
        <v>167174</v>
      </c>
      <c r="E16" s="284">
        <v>35771.659812999998</v>
      </c>
      <c r="F16" s="284">
        <v>35771.659812999998</v>
      </c>
      <c r="G16" s="284">
        <v>702144</v>
      </c>
      <c r="H16" s="284">
        <v>146387.691119</v>
      </c>
      <c r="I16" s="284">
        <v>146387.691119</v>
      </c>
      <c r="J16" s="285">
        <v>869318</v>
      </c>
      <c r="K16" s="285">
        <v>182159.350932</v>
      </c>
      <c r="L16" s="285">
        <v>182159.350932</v>
      </c>
    </row>
    <row r="17" spans="2:29" x14ac:dyDescent="0.25">
      <c r="B17" s="440"/>
      <c r="C17" s="281" t="s">
        <v>25</v>
      </c>
      <c r="D17" s="284">
        <v>588069</v>
      </c>
      <c r="E17" s="284">
        <v>125413.473319</v>
      </c>
      <c r="F17" s="284">
        <v>125413.473319</v>
      </c>
      <c r="G17" s="284">
        <v>1494237</v>
      </c>
      <c r="H17" s="284">
        <v>313296.53882100002</v>
      </c>
      <c r="I17" s="284">
        <v>313296.53882100002</v>
      </c>
      <c r="J17" s="285">
        <v>2082306</v>
      </c>
      <c r="K17" s="285">
        <v>438710.01214000001</v>
      </c>
      <c r="L17" s="285">
        <v>438710.01214000001</v>
      </c>
    </row>
    <row r="18" spans="2:29" x14ac:dyDescent="0.25">
      <c r="B18" s="4" t="s">
        <v>772</v>
      </c>
    </row>
    <row r="19" spans="2:29" ht="66" customHeight="1" x14ac:dyDescent="0.25">
      <c r="B19" s="421" t="s">
        <v>836</v>
      </c>
      <c r="C19" s="421"/>
      <c r="D19" s="421"/>
      <c r="E19" s="421"/>
      <c r="F19" s="421"/>
      <c r="G19" s="421"/>
      <c r="H19" s="421"/>
      <c r="I19" s="421"/>
      <c r="J19" s="421"/>
      <c r="K19" s="421"/>
      <c r="L19" s="421"/>
    </row>
    <row r="20" spans="2:29" x14ac:dyDescent="0.25">
      <c r="B20" s="421" t="s">
        <v>884</v>
      </c>
      <c r="C20" s="421"/>
      <c r="D20" s="421"/>
      <c r="E20" s="421"/>
      <c r="F20" s="421"/>
      <c r="G20" s="421"/>
      <c r="H20" s="421"/>
      <c r="I20" s="421"/>
      <c r="J20" s="421"/>
      <c r="K20" s="421"/>
      <c r="L20" s="421"/>
    </row>
    <row r="21" spans="2:29" ht="15" customHeight="1" x14ac:dyDescent="0.25">
      <c r="B21" s="441" t="s">
        <v>915</v>
      </c>
      <c r="C21" s="441"/>
      <c r="D21" s="441"/>
      <c r="E21" s="441"/>
      <c r="F21" s="441"/>
      <c r="G21" s="441"/>
      <c r="H21" s="441"/>
      <c r="I21" s="441"/>
      <c r="J21" s="441"/>
      <c r="K21" s="441"/>
      <c r="L21" s="441"/>
    </row>
    <row r="22" spans="2:29" x14ac:dyDescent="0.25">
      <c r="B22" s="235"/>
      <c r="C22" s="4"/>
      <c r="D22" s="4"/>
      <c r="E22" s="4"/>
      <c r="F22" s="236"/>
      <c r="G22" s="236"/>
      <c r="H22" s="236"/>
      <c r="I22" s="236"/>
      <c r="J22" s="236"/>
      <c r="K22" s="236"/>
      <c r="L22" s="236"/>
    </row>
    <row r="23" spans="2:29" ht="18.75" x14ac:dyDescent="0.3">
      <c r="B23" s="387" t="s">
        <v>777</v>
      </c>
      <c r="C23" s="2"/>
      <c r="D23" s="2"/>
      <c r="E23" s="2"/>
      <c r="F23" s="2"/>
      <c r="G23" s="8"/>
    </row>
    <row r="24" spans="2:29" x14ac:dyDescent="0.25">
      <c r="B24" s="3" t="s">
        <v>916</v>
      </c>
    </row>
    <row r="26" spans="2:29" ht="17.25" x14ac:dyDescent="0.25">
      <c r="C26" s="416" t="s">
        <v>849</v>
      </c>
      <c r="D26" s="417"/>
      <c r="E26" s="417"/>
      <c r="F26" s="417"/>
      <c r="G26" s="417"/>
      <c r="H26" s="417"/>
      <c r="I26" s="417"/>
      <c r="J26" s="417"/>
      <c r="K26" s="418"/>
      <c r="L26" s="416" t="s">
        <v>893</v>
      </c>
      <c r="M26" s="417"/>
      <c r="N26" s="417"/>
      <c r="O26" s="417"/>
      <c r="P26" s="417"/>
      <c r="Q26" s="417"/>
      <c r="R26" s="417"/>
      <c r="S26" s="417"/>
      <c r="T26" s="418"/>
      <c r="U26" s="416" t="s">
        <v>851</v>
      </c>
      <c r="V26" s="417"/>
      <c r="W26" s="417"/>
      <c r="X26" s="417"/>
      <c r="Y26" s="417"/>
      <c r="Z26" s="417"/>
      <c r="AA26" s="417"/>
      <c r="AB26" s="417"/>
      <c r="AC26" s="418"/>
    </row>
    <row r="27" spans="2:29" x14ac:dyDescent="0.25">
      <c r="C27" s="416" t="s">
        <v>73</v>
      </c>
      <c r="D27" s="417"/>
      <c r="E27" s="418"/>
      <c r="F27" s="416" t="s">
        <v>74</v>
      </c>
      <c r="G27" s="417"/>
      <c r="H27" s="418"/>
      <c r="I27" s="416" t="s">
        <v>25</v>
      </c>
      <c r="J27" s="417"/>
      <c r="K27" s="418"/>
      <c r="L27" s="416" t="s">
        <v>73</v>
      </c>
      <c r="M27" s="417"/>
      <c r="N27" s="418"/>
      <c r="O27" s="416" t="s">
        <v>74</v>
      </c>
      <c r="P27" s="417"/>
      <c r="Q27" s="418"/>
      <c r="R27" s="416" t="s">
        <v>25</v>
      </c>
      <c r="S27" s="417"/>
      <c r="T27" s="418"/>
      <c r="U27" s="416" t="s">
        <v>73</v>
      </c>
      <c r="V27" s="417"/>
      <c r="W27" s="418"/>
      <c r="X27" s="416" t="s">
        <v>74</v>
      </c>
      <c r="Y27" s="417"/>
      <c r="Z27" s="418"/>
      <c r="AA27" s="416" t="s">
        <v>25</v>
      </c>
      <c r="AB27" s="417"/>
      <c r="AC27" s="418"/>
    </row>
    <row r="28" spans="2:29" ht="47.25" x14ac:dyDescent="0.25">
      <c r="B28" s="268" t="s">
        <v>472</v>
      </c>
      <c r="C28" s="286" t="s">
        <v>790</v>
      </c>
      <c r="D28" s="264" t="s">
        <v>902</v>
      </c>
      <c r="E28" s="286" t="s">
        <v>895</v>
      </c>
      <c r="F28" s="286" t="s">
        <v>790</v>
      </c>
      <c r="G28" s="264" t="s">
        <v>902</v>
      </c>
      <c r="H28" s="286" t="s">
        <v>895</v>
      </c>
      <c r="I28" s="286" t="s">
        <v>790</v>
      </c>
      <c r="J28" s="264" t="s">
        <v>902</v>
      </c>
      <c r="K28" s="286" t="s">
        <v>895</v>
      </c>
      <c r="L28" s="286" t="s">
        <v>790</v>
      </c>
      <c r="M28" s="264" t="s">
        <v>902</v>
      </c>
      <c r="N28" s="286" t="s">
        <v>895</v>
      </c>
      <c r="O28" s="286" t="s">
        <v>790</v>
      </c>
      <c r="P28" s="264" t="s">
        <v>902</v>
      </c>
      <c r="Q28" s="286" t="s">
        <v>895</v>
      </c>
      <c r="R28" s="286" t="s">
        <v>790</v>
      </c>
      <c r="S28" s="264" t="s">
        <v>902</v>
      </c>
      <c r="T28" s="286" t="s">
        <v>895</v>
      </c>
      <c r="U28" s="286" t="s">
        <v>790</v>
      </c>
      <c r="V28" s="264" t="s">
        <v>902</v>
      </c>
      <c r="W28" s="286" t="s">
        <v>895</v>
      </c>
      <c r="X28" s="286" t="s">
        <v>790</v>
      </c>
      <c r="Y28" s="264" t="s">
        <v>902</v>
      </c>
      <c r="Z28" s="286" t="s">
        <v>895</v>
      </c>
      <c r="AA28" s="286" t="s">
        <v>790</v>
      </c>
      <c r="AB28" s="264" t="s">
        <v>902</v>
      </c>
      <c r="AC28" s="286" t="s">
        <v>895</v>
      </c>
    </row>
    <row r="29" spans="2:29" hidden="1" outlineLevel="1" x14ac:dyDescent="0.25">
      <c r="B29" s="287">
        <v>44593</v>
      </c>
      <c r="C29" s="385">
        <v>309683</v>
      </c>
      <c r="D29" s="385">
        <v>67989.492318429824</v>
      </c>
      <c r="E29" s="385">
        <v>57205.360538000001</v>
      </c>
      <c r="F29" s="385">
        <v>106066</v>
      </c>
      <c r="G29" s="385">
        <v>23315.50865427114</v>
      </c>
      <c r="H29" s="385">
        <v>19617.326636999998</v>
      </c>
      <c r="I29" s="337">
        <v>415749</v>
      </c>
      <c r="J29" s="337">
        <v>91305.00097270096</v>
      </c>
      <c r="K29" s="337">
        <v>76822.687174999999</v>
      </c>
      <c r="L29" s="385">
        <v>517361</v>
      </c>
      <c r="M29" s="385">
        <v>101116.82749439011</v>
      </c>
      <c r="N29" s="385">
        <v>85078.213942000002</v>
      </c>
      <c r="O29" s="385">
        <v>340110</v>
      </c>
      <c r="P29" s="385">
        <v>69295.394822279995</v>
      </c>
      <c r="Q29" s="385">
        <v>58304.12773</v>
      </c>
      <c r="R29" s="337">
        <v>857471</v>
      </c>
      <c r="S29" s="337">
        <v>170412.22231667009</v>
      </c>
      <c r="T29" s="337">
        <v>143382.34167200001</v>
      </c>
      <c r="U29" s="386">
        <v>827044</v>
      </c>
      <c r="V29" s="386">
        <v>169106.31981281989</v>
      </c>
      <c r="W29" s="386">
        <v>142283.57448000001</v>
      </c>
      <c r="X29" s="386">
        <v>446176</v>
      </c>
      <c r="Y29" s="386">
        <v>92610.903476551146</v>
      </c>
      <c r="Z29" s="386">
        <v>77921.454366999998</v>
      </c>
      <c r="AA29" s="337">
        <v>1273220</v>
      </c>
      <c r="AB29" s="337">
        <v>261717.22328937109</v>
      </c>
      <c r="AC29" s="337">
        <v>220205.02884700001</v>
      </c>
    </row>
    <row r="30" spans="2:29" hidden="1" outlineLevel="1" x14ac:dyDescent="0.25">
      <c r="B30" s="287">
        <v>44621</v>
      </c>
      <c r="C30" s="385">
        <v>312946</v>
      </c>
      <c r="D30" s="385">
        <v>67345.031540088268</v>
      </c>
      <c r="E30" s="385">
        <v>57713.942276000002</v>
      </c>
      <c r="F30" s="385">
        <v>107255</v>
      </c>
      <c r="G30" s="385">
        <v>23147.128322679411</v>
      </c>
      <c r="H30" s="385">
        <v>19836.831275</v>
      </c>
      <c r="I30" s="337">
        <v>420201</v>
      </c>
      <c r="J30" s="337">
        <v>90492.159862767687</v>
      </c>
      <c r="K30" s="337">
        <v>77550.773551000006</v>
      </c>
      <c r="L30" s="385">
        <v>536699</v>
      </c>
      <c r="M30" s="385">
        <v>115610.3314464413</v>
      </c>
      <c r="N30" s="385">
        <v>99076.766957</v>
      </c>
      <c r="O30" s="385">
        <v>361057</v>
      </c>
      <c r="P30" s="385">
        <v>77854.963420280066</v>
      </c>
      <c r="Q30" s="385">
        <v>66720.836890000006</v>
      </c>
      <c r="R30" s="337">
        <v>897756</v>
      </c>
      <c r="S30" s="337">
        <v>193465.29486672129</v>
      </c>
      <c r="T30" s="337">
        <v>165797.60384699999</v>
      </c>
      <c r="U30" s="386">
        <v>849645</v>
      </c>
      <c r="V30" s="386">
        <v>182955.36298652951</v>
      </c>
      <c r="W30" s="386">
        <v>156790.709233</v>
      </c>
      <c r="X30" s="386">
        <v>468312</v>
      </c>
      <c r="Y30" s="386">
        <v>101002.0917429595</v>
      </c>
      <c r="Z30" s="386">
        <v>86557.66816500001</v>
      </c>
      <c r="AA30" s="337">
        <v>1317957</v>
      </c>
      <c r="AB30" s="337">
        <v>283957.45472948899</v>
      </c>
      <c r="AC30" s="337">
        <v>243348.37739800001</v>
      </c>
    </row>
    <row r="31" spans="2:29" hidden="1" outlineLevel="1" x14ac:dyDescent="0.25">
      <c r="B31" s="287">
        <v>44652</v>
      </c>
      <c r="C31" s="385">
        <v>314601</v>
      </c>
      <c r="D31" s="385">
        <v>66696.211175895063</v>
      </c>
      <c r="E31" s="385">
        <v>57957.137287999998</v>
      </c>
      <c r="F31" s="385">
        <v>107763</v>
      </c>
      <c r="G31" s="385">
        <v>22935.03473271057</v>
      </c>
      <c r="H31" s="385">
        <v>19929.902063000001</v>
      </c>
      <c r="I31" s="337">
        <v>422364</v>
      </c>
      <c r="J31" s="337">
        <v>89631.245908605619</v>
      </c>
      <c r="K31" s="337">
        <v>77887.039350999999</v>
      </c>
      <c r="L31" s="385">
        <v>552501</v>
      </c>
      <c r="M31" s="385">
        <v>117294.1559497455</v>
      </c>
      <c r="N31" s="385">
        <v>101925.33248300001</v>
      </c>
      <c r="O31" s="385">
        <v>374925</v>
      </c>
      <c r="P31" s="385">
        <v>79756.355448166461</v>
      </c>
      <c r="Q31" s="385">
        <v>69306.036441999997</v>
      </c>
      <c r="R31" s="337">
        <v>927426</v>
      </c>
      <c r="S31" s="337">
        <v>197050.51139791199</v>
      </c>
      <c r="T31" s="337">
        <v>171231.36892499999</v>
      </c>
      <c r="U31" s="386">
        <v>867102</v>
      </c>
      <c r="V31" s="386">
        <v>183990.36712564059</v>
      </c>
      <c r="W31" s="386">
        <v>159882.469771</v>
      </c>
      <c r="X31" s="386">
        <v>482688</v>
      </c>
      <c r="Y31" s="386">
        <v>102691.390180877</v>
      </c>
      <c r="Z31" s="386">
        <v>89235.938504999998</v>
      </c>
      <c r="AA31" s="337">
        <v>1349790</v>
      </c>
      <c r="AB31" s="337">
        <v>286681.75730651763</v>
      </c>
      <c r="AC31" s="337">
        <v>249118.408276</v>
      </c>
    </row>
    <row r="32" spans="2:29" hidden="1" outlineLevel="1" x14ac:dyDescent="0.25">
      <c r="B32" s="287">
        <v>44682</v>
      </c>
      <c r="C32" s="385">
        <v>316872</v>
      </c>
      <c r="D32" s="385">
        <v>66325.152258569273</v>
      </c>
      <c r="E32" s="385">
        <v>58325.653705999997</v>
      </c>
      <c r="F32" s="385">
        <v>108938</v>
      </c>
      <c r="G32" s="385">
        <v>22908.346040431079</v>
      </c>
      <c r="H32" s="385">
        <v>20145.362847</v>
      </c>
      <c r="I32" s="337">
        <v>425810</v>
      </c>
      <c r="J32" s="337">
        <v>89233.498299000348</v>
      </c>
      <c r="K32" s="337">
        <v>78471.016552999994</v>
      </c>
      <c r="L32" s="385">
        <v>605836</v>
      </c>
      <c r="M32" s="385">
        <v>127041.4546333964</v>
      </c>
      <c r="N32" s="385">
        <v>111718.94276799999</v>
      </c>
      <c r="O32" s="385">
        <v>477591</v>
      </c>
      <c r="P32" s="385">
        <v>100406.0119318386</v>
      </c>
      <c r="Q32" s="385">
        <v>88296.009621000005</v>
      </c>
      <c r="R32" s="337">
        <v>1083427</v>
      </c>
      <c r="S32" s="337">
        <v>227447.46656523499</v>
      </c>
      <c r="T32" s="337">
        <v>200014.95238900001</v>
      </c>
      <c r="U32" s="386">
        <v>922708</v>
      </c>
      <c r="V32" s="386">
        <v>193366.60689196561</v>
      </c>
      <c r="W32" s="386">
        <v>170044.59647399999</v>
      </c>
      <c r="X32" s="386">
        <v>586529</v>
      </c>
      <c r="Y32" s="386">
        <v>123314.3579722697</v>
      </c>
      <c r="Z32" s="386">
        <v>108441.372468</v>
      </c>
      <c r="AA32" s="337">
        <v>1509237</v>
      </c>
      <c r="AB32" s="337">
        <v>316680.96486423537</v>
      </c>
      <c r="AC32" s="337">
        <v>278485.96894200001</v>
      </c>
    </row>
    <row r="33" spans="2:29" hidden="1" outlineLevel="1" x14ac:dyDescent="0.25">
      <c r="B33" s="287">
        <v>44713</v>
      </c>
      <c r="C33" s="385">
        <v>317138</v>
      </c>
      <c r="D33" s="385">
        <v>65744.779830434942</v>
      </c>
      <c r="E33" s="385">
        <v>58354.483068000001</v>
      </c>
      <c r="F33" s="385">
        <v>109221</v>
      </c>
      <c r="G33" s="385">
        <v>22754.870456264369</v>
      </c>
      <c r="H33" s="385">
        <v>20197.021058999999</v>
      </c>
      <c r="I33" s="337">
        <v>426359</v>
      </c>
      <c r="J33" s="337">
        <v>88499.650286699311</v>
      </c>
      <c r="K33" s="337">
        <v>78551.504126999993</v>
      </c>
      <c r="L33" s="385">
        <v>615086</v>
      </c>
      <c r="M33" s="385">
        <v>127736.9164903981</v>
      </c>
      <c r="N33" s="385">
        <v>113378.153364</v>
      </c>
      <c r="O33" s="385">
        <v>487043</v>
      </c>
      <c r="P33" s="385">
        <v>101447.0973376591</v>
      </c>
      <c r="Q33" s="385">
        <v>90043.543216000005</v>
      </c>
      <c r="R33" s="337">
        <v>1102129</v>
      </c>
      <c r="S33" s="337">
        <v>229184.01382805721</v>
      </c>
      <c r="T33" s="337">
        <v>203421.69657999999</v>
      </c>
      <c r="U33" s="386">
        <v>932224</v>
      </c>
      <c r="V33" s="386">
        <v>193481.69632083311</v>
      </c>
      <c r="W33" s="386">
        <v>171732.636432</v>
      </c>
      <c r="X33" s="386">
        <v>596264</v>
      </c>
      <c r="Y33" s="386">
        <v>124201.9677939234</v>
      </c>
      <c r="Z33" s="386">
        <v>110240.564275</v>
      </c>
      <c r="AA33" s="337">
        <v>1528488</v>
      </c>
      <c r="AB33" s="337">
        <v>317683.66411475651</v>
      </c>
      <c r="AC33" s="337">
        <v>281973.20070699998</v>
      </c>
    </row>
    <row r="34" spans="2:29" hidden="1" outlineLevel="1" x14ac:dyDescent="0.25">
      <c r="B34" s="287">
        <v>44743</v>
      </c>
      <c r="C34" s="385">
        <v>317824</v>
      </c>
      <c r="D34" s="385">
        <v>68125.522547068977</v>
      </c>
      <c r="E34" s="385">
        <v>61298.891538999997</v>
      </c>
      <c r="F34" s="385">
        <v>109691</v>
      </c>
      <c r="G34" s="385">
        <v>23629.36029368345</v>
      </c>
      <c r="H34" s="385">
        <v>21261.541044000001</v>
      </c>
      <c r="I34" s="337">
        <v>427515</v>
      </c>
      <c r="J34" s="337">
        <v>91754.882840752427</v>
      </c>
      <c r="K34" s="337">
        <v>82560.432583000002</v>
      </c>
      <c r="L34" s="385">
        <v>621791</v>
      </c>
      <c r="M34" s="385">
        <v>133530.7948605459</v>
      </c>
      <c r="N34" s="385">
        <v>120150.12003200001</v>
      </c>
      <c r="O34" s="385">
        <v>498271</v>
      </c>
      <c r="P34" s="385">
        <v>107320.3417700912</v>
      </c>
      <c r="Q34" s="385">
        <v>96566.128876999996</v>
      </c>
      <c r="R34" s="337">
        <v>1120062</v>
      </c>
      <c r="S34" s="337">
        <v>240851.13663063711</v>
      </c>
      <c r="T34" s="337">
        <v>216716.24890899999</v>
      </c>
      <c r="U34" s="386">
        <v>939615</v>
      </c>
      <c r="V34" s="386">
        <v>201656.3174076149</v>
      </c>
      <c r="W34" s="386">
        <v>181449.01157100001</v>
      </c>
      <c r="X34" s="386">
        <v>607962</v>
      </c>
      <c r="Y34" s="386">
        <v>130949.7020637747</v>
      </c>
      <c r="Z34" s="386">
        <v>117827.66992099999</v>
      </c>
      <c r="AA34" s="337">
        <v>1547577</v>
      </c>
      <c r="AB34" s="337">
        <v>332606.01947138947</v>
      </c>
      <c r="AC34" s="337">
        <v>299276.681492</v>
      </c>
    </row>
    <row r="35" spans="2:29" hidden="1" outlineLevel="1" x14ac:dyDescent="0.25">
      <c r="B35" s="287">
        <v>44774</v>
      </c>
      <c r="C35" s="385">
        <v>322017</v>
      </c>
      <c r="D35" s="385">
        <v>68183.798107023831</v>
      </c>
      <c r="E35" s="385">
        <v>62094.244614000003</v>
      </c>
      <c r="F35" s="385">
        <v>110018</v>
      </c>
      <c r="G35" s="385">
        <v>23415.344376590081</v>
      </c>
      <c r="H35" s="385">
        <v>21324.099886</v>
      </c>
      <c r="I35" s="337">
        <v>432035</v>
      </c>
      <c r="J35" s="337">
        <v>91599.142483613919</v>
      </c>
      <c r="K35" s="337">
        <v>83418.344500000007</v>
      </c>
      <c r="L35" s="385">
        <v>660104</v>
      </c>
      <c r="M35" s="385">
        <v>139634.60080314611</v>
      </c>
      <c r="N35" s="385">
        <v>127163.71483500001</v>
      </c>
      <c r="O35" s="385">
        <v>538150</v>
      </c>
      <c r="P35" s="385">
        <v>113743.80745347431</v>
      </c>
      <c r="Q35" s="385">
        <v>103585.250447</v>
      </c>
      <c r="R35" s="337">
        <v>1198254</v>
      </c>
      <c r="S35" s="337">
        <v>253378.40825662031</v>
      </c>
      <c r="T35" s="337">
        <v>230748.96528199999</v>
      </c>
      <c r="U35" s="386">
        <v>982121</v>
      </c>
      <c r="V35" s="386">
        <v>207818.3989101699</v>
      </c>
      <c r="W35" s="386">
        <v>189257.95944899999</v>
      </c>
      <c r="X35" s="386">
        <v>648168</v>
      </c>
      <c r="Y35" s="386">
        <v>137159.15183006431</v>
      </c>
      <c r="Z35" s="386">
        <v>124909.35033299999</v>
      </c>
      <c r="AA35" s="337">
        <v>1630289</v>
      </c>
      <c r="AB35" s="337">
        <v>344977.5507402342</v>
      </c>
      <c r="AC35" s="337">
        <v>314167.30978200003</v>
      </c>
    </row>
    <row r="36" spans="2:29" hidden="1" outlineLevel="1" x14ac:dyDescent="0.25">
      <c r="B36" s="287">
        <v>44805</v>
      </c>
      <c r="C36" s="385">
        <v>321661</v>
      </c>
      <c r="D36" s="385">
        <v>67511.542076925296</v>
      </c>
      <c r="E36" s="385">
        <v>62013.553252999998</v>
      </c>
      <c r="F36" s="385">
        <v>109838</v>
      </c>
      <c r="G36" s="385">
        <v>23175.712943130449</v>
      </c>
      <c r="H36" s="385">
        <v>21288.334772999999</v>
      </c>
      <c r="I36" s="337">
        <v>431499</v>
      </c>
      <c r="J36" s="337">
        <v>90687.25502005576</v>
      </c>
      <c r="K36" s="337">
        <v>83301.888026000001</v>
      </c>
      <c r="L36" s="385">
        <v>679141</v>
      </c>
      <c r="M36" s="385">
        <v>142280.06136725721</v>
      </c>
      <c r="N36" s="385">
        <v>130693.091744</v>
      </c>
      <c r="O36" s="385">
        <v>553055</v>
      </c>
      <c r="P36" s="385">
        <v>115521.9759891954</v>
      </c>
      <c r="Q36" s="385">
        <v>106114.124926</v>
      </c>
      <c r="R36" s="337">
        <v>1232196</v>
      </c>
      <c r="S36" s="337">
        <v>257802.0373564527</v>
      </c>
      <c r="T36" s="337">
        <v>236807.21666999999</v>
      </c>
      <c r="U36" s="386">
        <v>1000802</v>
      </c>
      <c r="V36" s="386">
        <v>209791.60344418249</v>
      </c>
      <c r="W36" s="386">
        <v>192706.644997</v>
      </c>
      <c r="X36" s="386">
        <v>662893</v>
      </c>
      <c r="Y36" s="386">
        <v>138697.68893232589</v>
      </c>
      <c r="Z36" s="386">
        <v>127402.459699</v>
      </c>
      <c r="AA36" s="337">
        <v>1663695</v>
      </c>
      <c r="AB36" s="337">
        <v>348489.29237650841</v>
      </c>
      <c r="AC36" s="337">
        <v>320109.10469599999</v>
      </c>
    </row>
    <row r="37" spans="2:29" hidden="1" outlineLevel="1" x14ac:dyDescent="0.25">
      <c r="B37" s="287">
        <v>44835</v>
      </c>
      <c r="C37" s="385">
        <v>322141</v>
      </c>
      <c r="D37" s="385">
        <v>67256.739784969381</v>
      </c>
      <c r="E37" s="385">
        <v>62098.939510999997</v>
      </c>
      <c r="F37" s="385">
        <v>109963</v>
      </c>
      <c r="G37" s="385">
        <v>23082.94855472253</v>
      </c>
      <c r="H37" s="385">
        <v>21312.758106000001</v>
      </c>
      <c r="I37" s="337">
        <v>432104</v>
      </c>
      <c r="J37" s="337">
        <v>90339.688339691915</v>
      </c>
      <c r="K37" s="337">
        <v>83411.697616999998</v>
      </c>
      <c r="L37" s="385">
        <v>686334</v>
      </c>
      <c r="M37" s="385">
        <v>142949.0717145213</v>
      </c>
      <c r="N37" s="385">
        <v>131986.560543</v>
      </c>
      <c r="O37" s="385">
        <v>563950</v>
      </c>
      <c r="P37" s="385">
        <v>116986.3594190911</v>
      </c>
      <c r="Q37" s="385">
        <v>108014.88267799999</v>
      </c>
      <c r="R37" s="337">
        <v>1250284</v>
      </c>
      <c r="S37" s="337">
        <v>259935.43113361241</v>
      </c>
      <c r="T37" s="337">
        <v>240001.44322099999</v>
      </c>
      <c r="U37" s="386">
        <v>1008475</v>
      </c>
      <c r="V37" s="386">
        <v>210205.81149949069</v>
      </c>
      <c r="W37" s="386">
        <v>194085.500054</v>
      </c>
      <c r="X37" s="386">
        <v>673913</v>
      </c>
      <c r="Y37" s="386">
        <v>140069.30797381359</v>
      </c>
      <c r="Z37" s="386">
        <v>129327.640784</v>
      </c>
      <c r="AA37" s="337">
        <v>1682388</v>
      </c>
      <c r="AB37" s="337">
        <v>350275.11947330431</v>
      </c>
      <c r="AC37" s="337">
        <v>323413.14083799999</v>
      </c>
    </row>
    <row r="38" spans="2:29" hidden="1" outlineLevel="1" x14ac:dyDescent="0.25">
      <c r="B38" s="287">
        <v>44866</v>
      </c>
      <c r="C38" s="385">
        <v>327443</v>
      </c>
      <c r="D38" s="385">
        <v>67660.439981518866</v>
      </c>
      <c r="E38" s="385">
        <v>63080.932633999997</v>
      </c>
      <c r="F38" s="385">
        <v>121585</v>
      </c>
      <c r="G38" s="385">
        <v>25275.109393665749</v>
      </c>
      <c r="H38" s="385">
        <v>23564.397059999999</v>
      </c>
      <c r="I38" s="337">
        <v>449028</v>
      </c>
      <c r="J38" s="337">
        <v>92935.549375184622</v>
      </c>
      <c r="K38" s="337">
        <v>86645.329694</v>
      </c>
      <c r="L38" s="385">
        <v>704099</v>
      </c>
      <c r="M38" s="385">
        <v>145054.02795215609</v>
      </c>
      <c r="N38" s="385">
        <v>135236.23801500001</v>
      </c>
      <c r="O38" s="385">
        <v>584193</v>
      </c>
      <c r="P38" s="385">
        <v>119634.5041450124</v>
      </c>
      <c r="Q38" s="385">
        <v>111537.20104</v>
      </c>
      <c r="R38" s="337">
        <v>1288292</v>
      </c>
      <c r="S38" s="337">
        <v>264688.5320971685</v>
      </c>
      <c r="T38" s="337">
        <v>246773.439055</v>
      </c>
      <c r="U38" s="386">
        <v>1031542</v>
      </c>
      <c r="V38" s="386">
        <v>212714.4679336749</v>
      </c>
      <c r="W38" s="386">
        <v>198317.17064900001</v>
      </c>
      <c r="X38" s="386">
        <v>705778</v>
      </c>
      <c r="Y38" s="386">
        <v>144909.61353867821</v>
      </c>
      <c r="Z38" s="386">
        <v>135101.5981</v>
      </c>
      <c r="AA38" s="337">
        <v>1737320</v>
      </c>
      <c r="AB38" s="337">
        <v>357624.08147235308</v>
      </c>
      <c r="AC38" s="337">
        <v>333418.76874899998</v>
      </c>
    </row>
    <row r="39" spans="2:29" collapsed="1" x14ac:dyDescent="0.25">
      <c r="B39" s="287">
        <v>44896</v>
      </c>
      <c r="C39" s="385">
        <v>329180</v>
      </c>
      <c r="D39" s="385">
        <v>67828.553806599448</v>
      </c>
      <c r="E39" s="385">
        <v>63417.031793000002</v>
      </c>
      <c r="F39" s="385">
        <v>125728</v>
      </c>
      <c r="G39" s="385">
        <v>26063.34449033839</v>
      </c>
      <c r="H39" s="385">
        <v>24368.202673</v>
      </c>
      <c r="I39" s="337">
        <v>454908</v>
      </c>
      <c r="J39" s="337">
        <v>93891.898296937827</v>
      </c>
      <c r="K39" s="337">
        <v>87785.234465999994</v>
      </c>
      <c r="L39" s="385">
        <v>717919</v>
      </c>
      <c r="M39" s="385">
        <v>147210.69872488911</v>
      </c>
      <c r="N39" s="385">
        <v>137636.21715899999</v>
      </c>
      <c r="O39" s="385">
        <v>594890</v>
      </c>
      <c r="P39" s="385">
        <v>121167.5942511692</v>
      </c>
      <c r="Q39" s="385">
        <v>113286.938106</v>
      </c>
      <c r="R39" s="337">
        <v>1312809</v>
      </c>
      <c r="S39" s="337">
        <v>268378.29297605832</v>
      </c>
      <c r="T39" s="337">
        <v>250923.15526500001</v>
      </c>
      <c r="U39" s="386">
        <v>1047099</v>
      </c>
      <c r="V39" s="386">
        <v>215039.25253148851</v>
      </c>
      <c r="W39" s="386">
        <v>201053.24895199999</v>
      </c>
      <c r="X39" s="386">
        <v>720618</v>
      </c>
      <c r="Y39" s="386">
        <v>147230.93874150759</v>
      </c>
      <c r="Z39" s="386">
        <v>137655.14077900001</v>
      </c>
      <c r="AA39" s="337">
        <v>1767717</v>
      </c>
      <c r="AB39" s="337">
        <v>362270.19127299607</v>
      </c>
      <c r="AC39" s="337">
        <v>338708.389731</v>
      </c>
    </row>
    <row r="40" spans="2:29" hidden="1" outlineLevel="1" x14ac:dyDescent="0.25">
      <c r="B40" s="287">
        <v>44927</v>
      </c>
      <c r="C40" s="385">
        <v>331003</v>
      </c>
      <c r="D40" s="385">
        <v>67834.310719103043</v>
      </c>
      <c r="E40" s="385">
        <v>63933.034277999999</v>
      </c>
      <c r="F40" s="385">
        <v>126303</v>
      </c>
      <c r="G40" s="385">
        <v>25942.247642973449</v>
      </c>
      <c r="H40" s="385">
        <v>24450.261087999999</v>
      </c>
      <c r="I40" s="337">
        <v>457306</v>
      </c>
      <c r="J40" s="337">
        <v>93776.558362076496</v>
      </c>
      <c r="K40" s="337">
        <v>88383.295366000006</v>
      </c>
      <c r="L40" s="385">
        <v>729835</v>
      </c>
      <c r="M40" s="385">
        <v>148398.2356247252</v>
      </c>
      <c r="N40" s="385">
        <v>139863.57913</v>
      </c>
      <c r="O40" s="385">
        <v>605454</v>
      </c>
      <c r="P40" s="385">
        <v>122137.1021583393</v>
      </c>
      <c r="Q40" s="385">
        <v>115112.771931</v>
      </c>
      <c r="R40" s="337">
        <v>1335289</v>
      </c>
      <c r="S40" s="337">
        <v>270535.33778306452</v>
      </c>
      <c r="T40" s="337">
        <v>254976.35106099999</v>
      </c>
      <c r="U40" s="386">
        <v>1060838</v>
      </c>
      <c r="V40" s="386">
        <v>216232.5463438282</v>
      </c>
      <c r="W40" s="386">
        <v>203796.613408</v>
      </c>
      <c r="X40" s="386">
        <v>731757</v>
      </c>
      <c r="Y40" s="386">
        <v>148079.34980131281</v>
      </c>
      <c r="Z40" s="386">
        <v>139563.03301899999</v>
      </c>
      <c r="AA40" s="337">
        <v>1792595</v>
      </c>
      <c r="AB40" s="337">
        <v>364311.89614514099</v>
      </c>
      <c r="AC40" s="337">
        <v>343359.646427</v>
      </c>
    </row>
    <row r="41" spans="2:29" hidden="1" outlineLevel="1" x14ac:dyDescent="0.25">
      <c r="B41" s="287">
        <v>44958</v>
      </c>
      <c r="C41" s="385">
        <v>331827</v>
      </c>
      <c r="D41" s="385">
        <v>72110.638333992407</v>
      </c>
      <c r="E41" s="385">
        <v>68143.593653000004</v>
      </c>
      <c r="F41" s="385">
        <v>127315</v>
      </c>
      <c r="G41" s="385">
        <v>27685.39533455835</v>
      </c>
      <c r="H41" s="385">
        <v>26162.330182999998</v>
      </c>
      <c r="I41" s="337">
        <v>459142</v>
      </c>
      <c r="J41" s="337">
        <v>99796.033668550765</v>
      </c>
      <c r="K41" s="337">
        <v>94305.923836000002</v>
      </c>
      <c r="L41" s="385">
        <v>737271</v>
      </c>
      <c r="M41" s="385">
        <v>159218.72011901409</v>
      </c>
      <c r="N41" s="385">
        <v>150459.57179700001</v>
      </c>
      <c r="O41" s="385">
        <v>613433</v>
      </c>
      <c r="P41" s="385">
        <v>131482.75540358349</v>
      </c>
      <c r="Q41" s="385">
        <v>124249.454222</v>
      </c>
      <c r="R41" s="337">
        <v>1350704</v>
      </c>
      <c r="S41" s="337">
        <v>290701.47552259761</v>
      </c>
      <c r="T41" s="337">
        <v>274709.02601899998</v>
      </c>
      <c r="U41" s="386">
        <v>1069098</v>
      </c>
      <c r="V41" s="386">
        <v>231329.35845300651</v>
      </c>
      <c r="W41" s="386">
        <v>218603.16545</v>
      </c>
      <c r="X41" s="386">
        <v>740748</v>
      </c>
      <c r="Y41" s="386">
        <v>159168.15073814191</v>
      </c>
      <c r="Z41" s="386">
        <v>150411.78440500001</v>
      </c>
      <c r="AA41" s="337">
        <v>1809846</v>
      </c>
      <c r="AB41" s="337">
        <v>390497.50919114839</v>
      </c>
      <c r="AC41" s="337">
        <v>369014.94985500001</v>
      </c>
    </row>
    <row r="42" spans="2:29" hidden="1" outlineLevel="1" x14ac:dyDescent="0.25">
      <c r="B42" s="287">
        <v>44986</v>
      </c>
      <c r="C42" s="385">
        <v>332837</v>
      </c>
      <c r="D42" s="385">
        <v>71785.26247724182</v>
      </c>
      <c r="E42" s="385">
        <v>68328.242838999999</v>
      </c>
      <c r="F42" s="385">
        <v>128270</v>
      </c>
      <c r="G42" s="385">
        <v>27702.041817943969</v>
      </c>
      <c r="H42" s="385">
        <v>26367.972688999998</v>
      </c>
      <c r="I42" s="337">
        <v>461107</v>
      </c>
      <c r="J42" s="337">
        <v>99487.304295185793</v>
      </c>
      <c r="K42" s="337">
        <v>94696.215528000001</v>
      </c>
      <c r="L42" s="385">
        <v>745051</v>
      </c>
      <c r="M42" s="385">
        <v>159689.60856877649</v>
      </c>
      <c r="N42" s="385">
        <v>151999.30983899999</v>
      </c>
      <c r="O42" s="385">
        <v>620582</v>
      </c>
      <c r="P42" s="385">
        <v>132010.99273129419</v>
      </c>
      <c r="Q42" s="385">
        <v>125653.634987</v>
      </c>
      <c r="R42" s="337">
        <v>1365633</v>
      </c>
      <c r="S42" s="337">
        <v>291700.6013000707</v>
      </c>
      <c r="T42" s="337">
        <v>277652.94482600002</v>
      </c>
      <c r="U42" s="386">
        <v>1077888</v>
      </c>
      <c r="V42" s="386">
        <v>231474.87104601841</v>
      </c>
      <c r="W42" s="386">
        <v>220327.55267800001</v>
      </c>
      <c r="X42" s="386">
        <v>748852</v>
      </c>
      <c r="Y42" s="386">
        <v>159713.0345492381</v>
      </c>
      <c r="Z42" s="386">
        <v>152021.60767600001</v>
      </c>
      <c r="AA42" s="337">
        <v>1826740</v>
      </c>
      <c r="AB42" s="337">
        <v>391187.90559525648</v>
      </c>
      <c r="AC42" s="337">
        <v>372349.16035400011</v>
      </c>
    </row>
    <row r="43" spans="2:29" hidden="1" outlineLevel="1" x14ac:dyDescent="0.25">
      <c r="B43" s="287">
        <v>45017</v>
      </c>
      <c r="C43" s="385">
        <v>337867</v>
      </c>
      <c r="D43" s="385">
        <v>72664.12794434026</v>
      </c>
      <c r="E43" s="385">
        <v>69346.479063999999</v>
      </c>
      <c r="F43" s="385">
        <v>132828</v>
      </c>
      <c r="G43" s="385">
        <v>28634.4250799367</v>
      </c>
      <c r="H43" s="385">
        <v>27327.054153000001</v>
      </c>
      <c r="I43" s="337">
        <v>470695</v>
      </c>
      <c r="J43" s="337">
        <v>101298.553024277</v>
      </c>
      <c r="K43" s="337">
        <v>96673.533217000004</v>
      </c>
      <c r="L43" s="385">
        <v>767130</v>
      </c>
      <c r="M43" s="385">
        <v>163451.8850737816</v>
      </c>
      <c r="N43" s="385">
        <v>155989.111091</v>
      </c>
      <c r="O43" s="385">
        <v>640210</v>
      </c>
      <c r="P43" s="385">
        <v>135203.42809656821</v>
      </c>
      <c r="Q43" s="385">
        <v>129030.402774</v>
      </c>
      <c r="R43" s="337">
        <v>1407340</v>
      </c>
      <c r="S43" s="337">
        <v>298655.31317034969</v>
      </c>
      <c r="T43" s="337">
        <v>285019.51386499999</v>
      </c>
      <c r="U43" s="386">
        <v>1104997</v>
      </c>
      <c r="V43" s="386">
        <v>236116.01301812191</v>
      </c>
      <c r="W43" s="386">
        <v>225335.59015500001</v>
      </c>
      <c r="X43" s="386">
        <v>773038</v>
      </c>
      <c r="Y43" s="386">
        <v>163837.85317650481</v>
      </c>
      <c r="Z43" s="386">
        <v>156357.45692699999</v>
      </c>
      <c r="AA43" s="337">
        <v>1878035</v>
      </c>
      <c r="AB43" s="337">
        <v>399953.86619462672</v>
      </c>
      <c r="AC43" s="337">
        <v>381693.047082</v>
      </c>
    </row>
    <row r="44" spans="2:29" hidden="1" outlineLevel="1" x14ac:dyDescent="0.25">
      <c r="B44" s="287">
        <v>45047</v>
      </c>
      <c r="C44" s="385">
        <v>339302</v>
      </c>
      <c r="D44" s="385">
        <v>72708.395485386412</v>
      </c>
      <c r="E44" s="385">
        <v>69611.829996</v>
      </c>
      <c r="F44" s="385">
        <v>136126</v>
      </c>
      <c r="G44" s="385">
        <v>29245.25667773683</v>
      </c>
      <c r="H44" s="385">
        <v>27999.735414999999</v>
      </c>
      <c r="I44" s="337">
        <v>475428</v>
      </c>
      <c r="J44" s="337">
        <v>101953.6521631232</v>
      </c>
      <c r="K44" s="337">
        <v>97611.565411000003</v>
      </c>
      <c r="L44" s="385">
        <v>774874</v>
      </c>
      <c r="M44" s="385">
        <v>164504.41312328289</v>
      </c>
      <c r="N44" s="385">
        <v>157498.362651</v>
      </c>
      <c r="O44" s="385">
        <v>645979</v>
      </c>
      <c r="P44" s="385">
        <v>135920.57012421649</v>
      </c>
      <c r="Q44" s="385">
        <v>130131.87208</v>
      </c>
      <c r="R44" s="337">
        <v>1420853</v>
      </c>
      <c r="S44" s="337">
        <v>300424.98324749927</v>
      </c>
      <c r="T44" s="337">
        <v>287630.23473099997</v>
      </c>
      <c r="U44" s="386">
        <v>1114176</v>
      </c>
      <c r="V44" s="386">
        <v>237212.80860866929</v>
      </c>
      <c r="W44" s="386">
        <v>227110.19264699999</v>
      </c>
      <c r="X44" s="386">
        <v>782105</v>
      </c>
      <c r="Y44" s="386">
        <v>165165.82680195331</v>
      </c>
      <c r="Z44" s="386">
        <v>158131.607495</v>
      </c>
      <c r="AA44" s="337">
        <v>1896281</v>
      </c>
      <c r="AB44" s="337">
        <v>402378.63541062258</v>
      </c>
      <c r="AC44" s="337">
        <v>385241.80014200002</v>
      </c>
    </row>
    <row r="45" spans="2:29" hidden="1" outlineLevel="1" x14ac:dyDescent="0.25">
      <c r="B45" s="287">
        <v>45078</v>
      </c>
      <c r="C45" s="385">
        <v>339850</v>
      </c>
      <c r="D45" s="385">
        <v>73102.901223834531</v>
      </c>
      <c r="E45" s="385">
        <v>69687.358378000004</v>
      </c>
      <c r="F45" s="385">
        <v>135689</v>
      </c>
      <c r="G45" s="385">
        <v>29276.969752993198</v>
      </c>
      <c r="H45" s="385">
        <v>27909.079519999999</v>
      </c>
      <c r="I45" s="337">
        <v>475539</v>
      </c>
      <c r="J45" s="337">
        <v>102379.8709768277</v>
      </c>
      <c r="K45" s="337">
        <v>97596.437898000004</v>
      </c>
      <c r="L45" s="385">
        <v>779821</v>
      </c>
      <c r="M45" s="385">
        <v>166196.680472067</v>
      </c>
      <c r="N45" s="385">
        <v>158431.57302099999</v>
      </c>
      <c r="O45" s="385">
        <v>651738</v>
      </c>
      <c r="P45" s="385">
        <v>137636.25240804869</v>
      </c>
      <c r="Q45" s="385">
        <v>131205.556644</v>
      </c>
      <c r="R45" s="337">
        <v>1431559</v>
      </c>
      <c r="S45" s="337">
        <v>303832.93288011581</v>
      </c>
      <c r="T45" s="337">
        <v>289637.12966500001</v>
      </c>
      <c r="U45" s="386">
        <v>1119671</v>
      </c>
      <c r="V45" s="386">
        <v>239299.58169590161</v>
      </c>
      <c r="W45" s="386">
        <v>228118.93139899999</v>
      </c>
      <c r="X45" s="386">
        <v>787427</v>
      </c>
      <c r="Y45" s="386">
        <v>166913.22216104201</v>
      </c>
      <c r="Z45" s="386">
        <v>159114.636164</v>
      </c>
      <c r="AA45" s="337">
        <v>1907098</v>
      </c>
      <c r="AB45" s="337">
        <v>406212.80385694362</v>
      </c>
      <c r="AC45" s="337">
        <v>387233.56756300002</v>
      </c>
    </row>
    <row r="46" spans="2:29" hidden="1" outlineLevel="1" x14ac:dyDescent="0.25">
      <c r="B46" s="287">
        <v>45108</v>
      </c>
      <c r="C46" s="385">
        <v>340958</v>
      </c>
      <c r="D46" s="385">
        <v>73190.590403940587</v>
      </c>
      <c r="E46" s="385">
        <v>69854.324103000006</v>
      </c>
      <c r="F46" s="385">
        <v>136319</v>
      </c>
      <c r="G46" s="385">
        <v>29357.544423682291</v>
      </c>
      <c r="H46" s="385">
        <v>28019.331607</v>
      </c>
      <c r="I46" s="337">
        <v>477277</v>
      </c>
      <c r="J46" s="337">
        <v>102548.1348276229</v>
      </c>
      <c r="K46" s="337">
        <v>97873.655710000006</v>
      </c>
      <c r="L46" s="385">
        <v>785041</v>
      </c>
      <c r="M46" s="385">
        <v>167076.21597097369</v>
      </c>
      <c r="N46" s="385">
        <v>159460.33603400001</v>
      </c>
      <c r="O46" s="385">
        <v>656925</v>
      </c>
      <c r="P46" s="385">
        <v>138567.12657735299</v>
      </c>
      <c r="Q46" s="385">
        <v>132250.78410399999</v>
      </c>
      <c r="R46" s="337">
        <v>1441966</v>
      </c>
      <c r="S46" s="337">
        <v>305643.34254832659</v>
      </c>
      <c r="T46" s="337">
        <v>291711.120138</v>
      </c>
      <c r="U46" s="386">
        <v>1125999</v>
      </c>
      <c r="V46" s="386">
        <v>240266.8063749143</v>
      </c>
      <c r="W46" s="386">
        <v>229314.660137</v>
      </c>
      <c r="X46" s="386">
        <v>793244</v>
      </c>
      <c r="Y46" s="386">
        <v>167924.67100103531</v>
      </c>
      <c r="Z46" s="386">
        <v>160270.11571099999</v>
      </c>
      <c r="AA46" s="337">
        <v>1919243</v>
      </c>
      <c r="AB46" s="337">
        <v>408191.4773759495</v>
      </c>
      <c r="AC46" s="337">
        <v>389584.77584800002</v>
      </c>
    </row>
    <row r="47" spans="2:29" hidden="1" outlineLevel="1" x14ac:dyDescent="0.25">
      <c r="B47" s="287">
        <v>45139</v>
      </c>
      <c r="C47" s="385">
        <v>342010</v>
      </c>
      <c r="D47" s="385">
        <v>73292.288934982105</v>
      </c>
      <c r="E47" s="385">
        <v>70033.843934999997</v>
      </c>
      <c r="F47" s="385">
        <v>136198</v>
      </c>
      <c r="G47" s="385">
        <v>29278.59564500572</v>
      </c>
      <c r="H47" s="385">
        <v>27976.921280999999</v>
      </c>
      <c r="I47" s="337">
        <v>478208</v>
      </c>
      <c r="J47" s="337">
        <v>102570.8845799878</v>
      </c>
      <c r="K47" s="337">
        <v>98010.765216</v>
      </c>
      <c r="L47" s="385">
        <v>789396</v>
      </c>
      <c r="M47" s="385">
        <v>167781.67400435681</v>
      </c>
      <c r="N47" s="385">
        <v>160322.39875600001</v>
      </c>
      <c r="O47" s="385">
        <v>661702</v>
      </c>
      <c r="P47" s="385">
        <v>139382.68635255759</v>
      </c>
      <c r="Q47" s="385">
        <v>133185.979659</v>
      </c>
      <c r="R47" s="337">
        <v>1451098</v>
      </c>
      <c r="S47" s="337">
        <v>307164.3603569144</v>
      </c>
      <c r="T47" s="337">
        <v>293508.37841499998</v>
      </c>
      <c r="U47" s="386">
        <v>1131406</v>
      </c>
      <c r="V47" s="386">
        <v>241073.9629393389</v>
      </c>
      <c r="W47" s="386">
        <v>230356.24269099999</v>
      </c>
      <c r="X47" s="386">
        <v>797900</v>
      </c>
      <c r="Y47" s="386">
        <v>168661.2819975634</v>
      </c>
      <c r="Z47" s="386">
        <v>161162.90093999999</v>
      </c>
      <c r="AA47" s="337">
        <v>1929306</v>
      </c>
      <c r="AB47" s="337">
        <v>409735.24493690231</v>
      </c>
      <c r="AC47" s="337">
        <v>391519.14363100001</v>
      </c>
    </row>
    <row r="48" spans="2:29" hidden="1" outlineLevel="1" x14ac:dyDescent="0.25">
      <c r="B48" s="287">
        <v>45170</v>
      </c>
      <c r="C48" s="385">
        <v>343880</v>
      </c>
      <c r="D48" s="385">
        <v>73198.854746770958</v>
      </c>
      <c r="E48" s="385">
        <v>70389.110717999996</v>
      </c>
      <c r="F48" s="385">
        <v>138475</v>
      </c>
      <c r="G48" s="385">
        <v>29563.498939763369</v>
      </c>
      <c r="H48" s="385">
        <v>28428.701614000001</v>
      </c>
      <c r="I48" s="337">
        <v>482355</v>
      </c>
      <c r="J48" s="337">
        <v>102762.3536865343</v>
      </c>
      <c r="K48" s="337">
        <v>98817.812332000001</v>
      </c>
      <c r="L48" s="385">
        <v>795862</v>
      </c>
      <c r="M48" s="385">
        <v>168053.1599939022</v>
      </c>
      <c r="N48" s="385">
        <v>161602.425697</v>
      </c>
      <c r="O48" s="385">
        <v>666557</v>
      </c>
      <c r="P48" s="385">
        <v>139461.7625620602</v>
      </c>
      <c r="Q48" s="385">
        <v>134108.51139500001</v>
      </c>
      <c r="R48" s="337">
        <v>1462419</v>
      </c>
      <c r="S48" s="337">
        <v>307514.92255596229</v>
      </c>
      <c r="T48" s="337">
        <v>295710.93709199998</v>
      </c>
      <c r="U48" s="386">
        <v>1139742</v>
      </c>
      <c r="V48" s="386">
        <v>241252.01474067321</v>
      </c>
      <c r="W48" s="386">
        <v>231991.53641500001</v>
      </c>
      <c r="X48" s="386">
        <v>805032</v>
      </c>
      <c r="Y48" s="386">
        <v>169025.26150182361</v>
      </c>
      <c r="Z48" s="386">
        <v>162537.213009</v>
      </c>
      <c r="AA48" s="337">
        <v>1944774</v>
      </c>
      <c r="AB48" s="337">
        <v>410277.27624249668</v>
      </c>
      <c r="AC48" s="337">
        <v>394528.74942399998</v>
      </c>
    </row>
    <row r="49" spans="2:29" hidden="1" outlineLevel="1" x14ac:dyDescent="0.25">
      <c r="B49" s="287">
        <v>45200</v>
      </c>
      <c r="C49" s="385">
        <v>344866</v>
      </c>
      <c r="D49" s="385">
        <v>73158.460331562659</v>
      </c>
      <c r="E49" s="385">
        <v>70556.341413999995</v>
      </c>
      <c r="F49" s="385">
        <v>139504</v>
      </c>
      <c r="G49" s="385">
        <v>29684.838930585702</v>
      </c>
      <c r="H49" s="385">
        <v>28629.000951000002</v>
      </c>
      <c r="I49" s="337">
        <v>484370</v>
      </c>
      <c r="J49" s="337">
        <v>102843.2992621484</v>
      </c>
      <c r="K49" s="337">
        <v>99185.342365000004</v>
      </c>
      <c r="L49" s="385">
        <v>801418</v>
      </c>
      <c r="M49" s="385">
        <v>168704.3071509031</v>
      </c>
      <c r="N49" s="385">
        <v>162703.78899999999</v>
      </c>
      <c r="O49" s="385">
        <v>670939</v>
      </c>
      <c r="P49" s="385">
        <v>139947.55516838911</v>
      </c>
      <c r="Q49" s="385">
        <v>134969.864562</v>
      </c>
      <c r="R49" s="337">
        <v>1472357</v>
      </c>
      <c r="S49" s="337">
        <v>308651.86231929233</v>
      </c>
      <c r="T49" s="337">
        <v>297673.65356200002</v>
      </c>
      <c r="U49" s="386">
        <v>1146284</v>
      </c>
      <c r="V49" s="386">
        <v>241862.7674824658</v>
      </c>
      <c r="W49" s="386">
        <v>233260.13041400001</v>
      </c>
      <c r="X49" s="386">
        <v>810443</v>
      </c>
      <c r="Y49" s="386">
        <v>169632.39409897479</v>
      </c>
      <c r="Z49" s="386">
        <v>163598.865513</v>
      </c>
      <c r="AA49" s="337">
        <v>1956727</v>
      </c>
      <c r="AB49" s="337">
        <v>411495.16158144071</v>
      </c>
      <c r="AC49" s="337">
        <v>396858.99592700001</v>
      </c>
    </row>
    <row r="50" spans="2:29" hidden="1" outlineLevel="1" x14ac:dyDescent="0.25">
      <c r="B50" s="287">
        <v>45231</v>
      </c>
      <c r="C50" s="385">
        <v>343086</v>
      </c>
      <c r="D50" s="385">
        <v>72273.016630353392</v>
      </c>
      <c r="E50" s="385">
        <v>70221.851962999994</v>
      </c>
      <c r="F50" s="385">
        <v>139023</v>
      </c>
      <c r="G50" s="385">
        <v>29394.079529967941</v>
      </c>
      <c r="H50" s="385">
        <v>28559.852591999999</v>
      </c>
      <c r="I50" s="337">
        <v>482109</v>
      </c>
      <c r="J50" s="337">
        <v>101667.09616032139</v>
      </c>
      <c r="K50" s="337">
        <v>98781.704555000004</v>
      </c>
      <c r="L50" s="385">
        <v>810512</v>
      </c>
      <c r="M50" s="385">
        <v>169403.10093414239</v>
      </c>
      <c r="N50" s="385">
        <v>164595.308602</v>
      </c>
      <c r="O50" s="385">
        <v>678035</v>
      </c>
      <c r="P50" s="385">
        <v>140335.88351315251</v>
      </c>
      <c r="Q50" s="385">
        <v>136353.04151700001</v>
      </c>
      <c r="R50" s="337">
        <v>1488547</v>
      </c>
      <c r="S50" s="337">
        <v>309738.98444729502</v>
      </c>
      <c r="T50" s="337">
        <v>300948.35011900001</v>
      </c>
      <c r="U50" s="386">
        <v>1153598</v>
      </c>
      <c r="V50" s="386">
        <v>241676.1175644958</v>
      </c>
      <c r="W50" s="386">
        <v>234817.160565</v>
      </c>
      <c r="X50" s="386">
        <v>817058</v>
      </c>
      <c r="Y50" s="386">
        <v>169729.96304312049</v>
      </c>
      <c r="Z50" s="386">
        <v>164912.89410899999</v>
      </c>
      <c r="AA50" s="337">
        <v>1970656</v>
      </c>
      <c r="AB50" s="337">
        <v>411406.08060761628</v>
      </c>
      <c r="AC50" s="337">
        <v>399730.05467400001</v>
      </c>
    </row>
    <row r="51" spans="2:29" collapsed="1" x14ac:dyDescent="0.25">
      <c r="B51" s="287">
        <v>45261</v>
      </c>
      <c r="C51" s="385">
        <v>339811</v>
      </c>
      <c r="D51" s="385">
        <v>72215.045288496651</v>
      </c>
      <c r="E51" s="385">
        <v>69796.631951999996</v>
      </c>
      <c r="F51" s="385">
        <v>131135</v>
      </c>
      <c r="G51" s="385">
        <v>27922.449598364859</v>
      </c>
      <c r="H51" s="385">
        <v>26987.353259</v>
      </c>
      <c r="I51" s="337">
        <v>470946</v>
      </c>
      <c r="J51" s="337">
        <v>100137.4948868615</v>
      </c>
      <c r="K51" s="337">
        <v>96783.985211000007</v>
      </c>
      <c r="L51" s="385">
        <v>818807</v>
      </c>
      <c r="M51" s="385">
        <v>172098.03669739849</v>
      </c>
      <c r="N51" s="385">
        <v>166334.636765</v>
      </c>
      <c r="O51" s="385">
        <v>690945</v>
      </c>
      <c r="P51" s="385">
        <v>143823.2037035207</v>
      </c>
      <c r="Q51" s="385">
        <v>139006.701096</v>
      </c>
      <c r="R51" s="337">
        <v>1509752</v>
      </c>
      <c r="S51" s="337">
        <v>315921.24040091923</v>
      </c>
      <c r="T51" s="337">
        <v>305341.33786099998</v>
      </c>
      <c r="U51" s="386">
        <v>1158618</v>
      </c>
      <c r="V51" s="386">
        <v>244313.0819858952</v>
      </c>
      <c r="W51" s="386">
        <v>236131.268717</v>
      </c>
      <c r="X51" s="386">
        <v>822080</v>
      </c>
      <c r="Y51" s="386">
        <v>171745.65330188561</v>
      </c>
      <c r="Z51" s="386">
        <v>165994.054355</v>
      </c>
      <c r="AA51" s="337">
        <v>1980698</v>
      </c>
      <c r="AB51" s="337">
        <v>416058.7352877807</v>
      </c>
      <c r="AC51" s="337">
        <v>402125.323072</v>
      </c>
    </row>
    <row r="52" spans="2:29" outlineLevel="1" x14ac:dyDescent="0.25">
      <c r="B52" s="288">
        <v>45292</v>
      </c>
      <c r="C52" s="385">
        <v>341928</v>
      </c>
      <c r="D52" s="385">
        <v>72186.036599002007</v>
      </c>
      <c r="E52" s="385">
        <v>70235.027226000006</v>
      </c>
      <c r="F52" s="385">
        <v>131581</v>
      </c>
      <c r="G52" s="385">
        <v>27832.184283943869</v>
      </c>
      <c r="H52" s="385">
        <v>27079.949433999998</v>
      </c>
      <c r="I52" s="337">
        <v>473509</v>
      </c>
      <c r="J52" s="337">
        <v>100018.2208829459</v>
      </c>
      <c r="K52" s="337">
        <v>97314.97666</v>
      </c>
      <c r="L52" s="385">
        <v>824182</v>
      </c>
      <c r="M52" s="385">
        <v>172061.91605143269</v>
      </c>
      <c r="N52" s="385">
        <v>167411.50959100001</v>
      </c>
      <c r="O52" s="385">
        <v>696135</v>
      </c>
      <c r="P52" s="385">
        <v>143924.6145423225</v>
      </c>
      <c r="Q52" s="385">
        <v>140034.68949300001</v>
      </c>
      <c r="R52" s="337">
        <v>1520317</v>
      </c>
      <c r="S52" s="337">
        <v>315986.53059375519</v>
      </c>
      <c r="T52" s="337">
        <v>307446.19908400002</v>
      </c>
      <c r="U52" s="386">
        <v>1166110</v>
      </c>
      <c r="V52" s="386">
        <v>244247.95265043469</v>
      </c>
      <c r="W52" s="386">
        <v>237646.53681699999</v>
      </c>
      <c r="X52" s="386">
        <v>827716</v>
      </c>
      <c r="Y52" s="386">
        <v>171756.7988262664</v>
      </c>
      <c r="Z52" s="386">
        <v>167114.63892699999</v>
      </c>
      <c r="AA52" s="337">
        <v>1993826</v>
      </c>
      <c r="AB52" s="337">
        <v>416004.75147670112</v>
      </c>
      <c r="AC52" s="337">
        <v>404761.17574400001</v>
      </c>
    </row>
    <row r="53" spans="2:29" outlineLevel="1" x14ac:dyDescent="0.25">
      <c r="B53" s="288">
        <v>45323</v>
      </c>
      <c r="C53" s="385">
        <v>342537</v>
      </c>
      <c r="D53" s="385">
        <v>74731.235550985453</v>
      </c>
      <c r="E53" s="385">
        <v>73138.797317000004</v>
      </c>
      <c r="F53" s="385">
        <v>132015</v>
      </c>
      <c r="G53" s="385">
        <v>28855.250297989809</v>
      </c>
      <c r="H53" s="385">
        <v>28240.377500999999</v>
      </c>
      <c r="I53" s="337">
        <v>474552</v>
      </c>
      <c r="J53" s="337">
        <v>103586.4858489753</v>
      </c>
      <c r="K53" s="337">
        <v>101379.174818</v>
      </c>
      <c r="L53" s="385">
        <v>829215</v>
      </c>
      <c r="M53" s="385">
        <v>178953.99732843629</v>
      </c>
      <c r="N53" s="385">
        <v>175140.68974199999</v>
      </c>
      <c r="O53" s="385">
        <v>701045</v>
      </c>
      <c r="P53" s="385">
        <v>149808.49819249401</v>
      </c>
      <c r="Q53" s="385">
        <v>146616.24827800001</v>
      </c>
      <c r="R53" s="337">
        <v>1530260</v>
      </c>
      <c r="S53" s="337">
        <v>328762.49552093027</v>
      </c>
      <c r="T53" s="337">
        <v>321756.93802</v>
      </c>
      <c r="U53" s="386">
        <v>1171752</v>
      </c>
      <c r="V53" s="386">
        <v>253685.2328794217</v>
      </c>
      <c r="W53" s="386">
        <v>248279.48705900001</v>
      </c>
      <c r="X53" s="386">
        <v>833060</v>
      </c>
      <c r="Y53" s="386">
        <v>178663.74849048379</v>
      </c>
      <c r="Z53" s="386">
        <v>174856.62577899999</v>
      </c>
      <c r="AA53" s="337">
        <v>2004812</v>
      </c>
      <c r="AB53" s="337">
        <v>432348.98136990558</v>
      </c>
      <c r="AC53" s="337">
        <v>423136.112838</v>
      </c>
    </row>
    <row r="54" spans="2:29" outlineLevel="1" x14ac:dyDescent="0.25">
      <c r="B54" s="288">
        <v>45352</v>
      </c>
      <c r="C54" s="385">
        <v>342968</v>
      </c>
      <c r="D54" s="385">
        <v>74535.705680318351</v>
      </c>
      <c r="E54" s="385">
        <v>73223.340953000006</v>
      </c>
      <c r="F54" s="385">
        <v>132262</v>
      </c>
      <c r="G54" s="385">
        <v>28799.259763373899</v>
      </c>
      <c r="H54" s="385">
        <v>28292.185571999999</v>
      </c>
      <c r="I54" s="337">
        <v>475230</v>
      </c>
      <c r="J54" s="337">
        <v>103334.9654436922</v>
      </c>
      <c r="K54" s="337">
        <v>101515.52652499999</v>
      </c>
      <c r="L54" s="385">
        <v>835241</v>
      </c>
      <c r="M54" s="385">
        <v>179558.27516699769</v>
      </c>
      <c r="N54" s="385">
        <v>176396.75754699999</v>
      </c>
      <c r="O54" s="385">
        <v>707021</v>
      </c>
      <c r="P54" s="385">
        <v>150493.75104220409</v>
      </c>
      <c r="Q54" s="385">
        <v>147843.978175</v>
      </c>
      <c r="R54" s="337">
        <v>1542262</v>
      </c>
      <c r="S54" s="337">
        <v>330052.02620920178</v>
      </c>
      <c r="T54" s="337">
        <v>324240.73572200001</v>
      </c>
      <c r="U54" s="386">
        <v>1178209</v>
      </c>
      <c r="V54" s="386">
        <v>254093.98084731601</v>
      </c>
      <c r="W54" s="386">
        <v>249620.09849999999</v>
      </c>
      <c r="X54" s="386">
        <v>839283</v>
      </c>
      <c r="Y54" s="386">
        <v>179293.010805578</v>
      </c>
      <c r="Z54" s="386">
        <v>176136.16374700001</v>
      </c>
      <c r="AA54" s="337">
        <v>2017492</v>
      </c>
      <c r="AB54" s="337">
        <v>433386.99165289412</v>
      </c>
      <c r="AC54" s="337">
        <v>425756.26224700001</v>
      </c>
    </row>
    <row r="55" spans="2:29" outlineLevel="1" x14ac:dyDescent="0.25">
      <c r="B55" s="288">
        <v>45383</v>
      </c>
      <c r="C55" s="385">
        <v>343740</v>
      </c>
      <c r="D55" s="385">
        <v>74306.529345221978</v>
      </c>
      <c r="E55" s="385">
        <v>73383.200339999996</v>
      </c>
      <c r="F55" s="385">
        <v>132441</v>
      </c>
      <c r="G55" s="385">
        <v>28687.575917704751</v>
      </c>
      <c r="H55" s="385">
        <v>28331.105616000001</v>
      </c>
      <c r="I55" s="337">
        <v>476181</v>
      </c>
      <c r="J55" s="337">
        <v>102994.10526292671</v>
      </c>
      <c r="K55" s="337">
        <v>101714.305956</v>
      </c>
      <c r="L55" s="385">
        <v>840875</v>
      </c>
      <c r="M55" s="385">
        <v>179790.969302401</v>
      </c>
      <c r="N55" s="385">
        <v>177556.89622299999</v>
      </c>
      <c r="O55" s="385">
        <v>712190</v>
      </c>
      <c r="P55" s="385">
        <v>150764.47461700681</v>
      </c>
      <c r="Q55" s="385">
        <v>148891.08322599999</v>
      </c>
      <c r="R55" s="337">
        <v>1553065</v>
      </c>
      <c r="S55" s="337">
        <v>330555.44391940779</v>
      </c>
      <c r="T55" s="337">
        <v>326447.97944899998</v>
      </c>
      <c r="U55" s="386">
        <v>1184615</v>
      </c>
      <c r="V55" s="386">
        <v>254097.498647623</v>
      </c>
      <c r="W55" s="386">
        <v>250940.096563</v>
      </c>
      <c r="X55" s="386">
        <v>844631</v>
      </c>
      <c r="Y55" s="386">
        <v>179452.0505347116</v>
      </c>
      <c r="Z55" s="386">
        <v>177222.188842</v>
      </c>
      <c r="AA55" s="337">
        <v>2029246</v>
      </c>
      <c r="AB55" s="337">
        <v>433549.54918233462</v>
      </c>
      <c r="AC55" s="337">
        <v>428162.28540499997</v>
      </c>
    </row>
    <row r="56" spans="2:29" outlineLevel="1" x14ac:dyDescent="0.25">
      <c r="B56" s="288">
        <v>45413</v>
      </c>
      <c r="C56" s="385">
        <v>344239</v>
      </c>
      <c r="D56" s="385">
        <v>74204.127703524777</v>
      </c>
      <c r="E56" s="385">
        <v>73475.158739000006</v>
      </c>
      <c r="F56" s="385">
        <v>132681</v>
      </c>
      <c r="G56" s="385">
        <v>28664.26964035265</v>
      </c>
      <c r="H56" s="385">
        <v>28382.676640000001</v>
      </c>
      <c r="I56" s="337">
        <v>476920</v>
      </c>
      <c r="J56" s="337">
        <v>102868.3973438774</v>
      </c>
      <c r="K56" s="337">
        <v>101857.835379</v>
      </c>
      <c r="L56" s="385">
        <v>846379</v>
      </c>
      <c r="M56" s="385">
        <v>180441.96748246229</v>
      </c>
      <c r="N56" s="385">
        <v>178669.33571300001</v>
      </c>
      <c r="O56" s="385">
        <v>717243</v>
      </c>
      <c r="P56" s="385">
        <v>151389.84146681911</v>
      </c>
      <c r="Q56" s="385">
        <v>149902.612934</v>
      </c>
      <c r="R56" s="337">
        <v>1563622</v>
      </c>
      <c r="S56" s="337">
        <v>331831.8089492814</v>
      </c>
      <c r="T56" s="337">
        <v>328571.94864700001</v>
      </c>
      <c r="U56" s="386">
        <v>1190618</v>
      </c>
      <c r="V56" s="386">
        <v>254646.0951859871</v>
      </c>
      <c r="W56" s="386">
        <v>252144.49445200001</v>
      </c>
      <c r="X56" s="386">
        <v>849924</v>
      </c>
      <c r="Y56" s="386">
        <v>180054.1111071718</v>
      </c>
      <c r="Z56" s="386">
        <v>178285.28957399999</v>
      </c>
      <c r="AA56" s="337">
        <v>2040542</v>
      </c>
      <c r="AB56" s="337">
        <v>434700.20629315882</v>
      </c>
      <c r="AC56" s="337">
        <v>430429.78402600001</v>
      </c>
    </row>
    <row r="57" spans="2:29" outlineLevel="1" x14ac:dyDescent="0.25">
      <c r="B57" s="288">
        <v>45444</v>
      </c>
      <c r="C57" s="385">
        <v>343926</v>
      </c>
      <c r="D57" s="385">
        <v>74194.216515544656</v>
      </c>
      <c r="E57" s="385">
        <v>73399.640117000003</v>
      </c>
      <c r="F57" s="385">
        <v>132894</v>
      </c>
      <c r="G57" s="385">
        <v>28737.937943241988</v>
      </c>
      <c r="H57" s="385">
        <v>28430.171538999999</v>
      </c>
      <c r="I57" s="337">
        <v>476820</v>
      </c>
      <c r="J57" s="337">
        <v>102932.15445878659</v>
      </c>
      <c r="K57" s="337">
        <v>101829.81165600001</v>
      </c>
      <c r="L57" s="385">
        <v>850592</v>
      </c>
      <c r="M57" s="385">
        <v>181455.3681769289</v>
      </c>
      <c r="N57" s="385">
        <v>179512.087963</v>
      </c>
      <c r="O57" s="385">
        <v>720426</v>
      </c>
      <c r="P57" s="385">
        <v>152161.94760359809</v>
      </c>
      <c r="Q57" s="385">
        <v>150532.382686</v>
      </c>
      <c r="R57" s="337">
        <v>1571018</v>
      </c>
      <c r="S57" s="337">
        <v>333617.31578052702</v>
      </c>
      <c r="T57" s="337">
        <v>330044.47064900002</v>
      </c>
      <c r="U57" s="386">
        <v>1194518</v>
      </c>
      <c r="V57" s="386">
        <v>255649.58469247361</v>
      </c>
      <c r="W57" s="386">
        <v>252911.72808</v>
      </c>
      <c r="X57" s="386">
        <v>853320</v>
      </c>
      <c r="Y57" s="386">
        <v>180899.88554684009</v>
      </c>
      <c r="Z57" s="386">
        <v>178962.554225</v>
      </c>
      <c r="AA57" s="337">
        <v>2047838</v>
      </c>
      <c r="AB57" s="337">
        <v>436549.47023931373</v>
      </c>
      <c r="AC57" s="337">
        <v>431874.282305</v>
      </c>
    </row>
    <row r="58" spans="2:29" outlineLevel="1" x14ac:dyDescent="0.25">
      <c r="B58" s="288">
        <v>45474</v>
      </c>
      <c r="C58" s="385">
        <v>348046</v>
      </c>
      <c r="D58" s="385">
        <v>74440.177940813228</v>
      </c>
      <c r="E58" s="385">
        <v>74185.358548000004</v>
      </c>
      <c r="F58" s="385">
        <v>133888</v>
      </c>
      <c r="G58" s="385">
        <v>28739.71982398659</v>
      </c>
      <c r="H58" s="385">
        <v>28641.339646</v>
      </c>
      <c r="I58" s="337">
        <v>481934</v>
      </c>
      <c r="J58" s="337">
        <v>103179.8977647998</v>
      </c>
      <c r="K58" s="337">
        <v>102826.698194</v>
      </c>
      <c r="L58" s="385">
        <v>856180</v>
      </c>
      <c r="M58" s="385">
        <v>181253.68502583879</v>
      </c>
      <c r="N58" s="385">
        <v>180633.22769699999</v>
      </c>
      <c r="O58" s="385">
        <v>728418</v>
      </c>
      <c r="P58" s="385">
        <v>152603.8957319395</v>
      </c>
      <c r="Q58" s="385">
        <v>152081.510736</v>
      </c>
      <c r="R58" s="337">
        <v>1584598</v>
      </c>
      <c r="S58" s="337">
        <v>333857.58075777831</v>
      </c>
      <c r="T58" s="337">
        <v>332714.73843299999</v>
      </c>
      <c r="U58" s="386">
        <v>1204226</v>
      </c>
      <c r="V58" s="386">
        <v>255693.862966652</v>
      </c>
      <c r="W58" s="386">
        <v>254818.58624500001</v>
      </c>
      <c r="X58" s="386">
        <v>862306</v>
      </c>
      <c r="Y58" s="386">
        <v>181343.61555592611</v>
      </c>
      <c r="Z58" s="386">
        <v>180722.850382</v>
      </c>
      <c r="AA58" s="337">
        <v>2066532</v>
      </c>
      <c r="AB58" s="337">
        <v>437037.47852257808</v>
      </c>
      <c r="AC58" s="337">
        <v>435541.43662699999</v>
      </c>
    </row>
    <row r="59" spans="2:29" outlineLevel="1" x14ac:dyDescent="0.25">
      <c r="B59" s="288">
        <v>45505</v>
      </c>
      <c r="C59" s="385">
        <v>349176</v>
      </c>
      <c r="D59" s="385">
        <v>74472.449508912818</v>
      </c>
      <c r="E59" s="385">
        <v>74407.143353000007</v>
      </c>
      <c r="F59" s="385">
        <v>134137</v>
      </c>
      <c r="G59" s="385">
        <v>28719.813726471992</v>
      </c>
      <c r="H59" s="385">
        <v>28694.628833999999</v>
      </c>
      <c r="I59" s="337">
        <v>483313</v>
      </c>
      <c r="J59" s="337">
        <v>103192.2632353848</v>
      </c>
      <c r="K59" s="337">
        <v>103101.772187</v>
      </c>
      <c r="L59" s="385">
        <v>859346</v>
      </c>
      <c r="M59" s="385">
        <v>181433.27717045319</v>
      </c>
      <c r="N59" s="385">
        <v>181274.17524800001</v>
      </c>
      <c r="O59" s="385">
        <v>731265</v>
      </c>
      <c r="P59" s="385">
        <v>152792.5900574525</v>
      </c>
      <c r="Q59" s="385">
        <v>152658.60363999999</v>
      </c>
      <c r="R59" s="337">
        <v>1590611</v>
      </c>
      <c r="S59" s="337">
        <v>334225.86722790572</v>
      </c>
      <c r="T59" s="337">
        <v>333932.778888</v>
      </c>
      <c r="U59" s="386">
        <v>1208522</v>
      </c>
      <c r="V59" s="386">
        <v>255905.72667936599</v>
      </c>
      <c r="W59" s="386">
        <v>255681.31860100001</v>
      </c>
      <c r="X59" s="386">
        <v>865402</v>
      </c>
      <c r="Y59" s="386">
        <v>181512.4037839245</v>
      </c>
      <c r="Z59" s="386">
        <v>181353.23247399999</v>
      </c>
      <c r="AA59" s="337">
        <v>2073924</v>
      </c>
      <c r="AB59" s="337">
        <v>437418.13046329049</v>
      </c>
      <c r="AC59" s="337">
        <v>437034.55107500002</v>
      </c>
    </row>
    <row r="60" spans="2:29" x14ac:dyDescent="0.25">
      <c r="B60" s="288">
        <v>45536</v>
      </c>
      <c r="C60" s="385">
        <v>420895</v>
      </c>
      <c r="D60" s="385">
        <v>89641.813506000006</v>
      </c>
      <c r="E60" s="385">
        <v>89641.813506000006</v>
      </c>
      <c r="F60" s="385">
        <v>167174</v>
      </c>
      <c r="G60" s="385">
        <v>35771.659812999998</v>
      </c>
      <c r="H60" s="385">
        <v>35771.659812999998</v>
      </c>
      <c r="I60" s="337">
        <v>588069</v>
      </c>
      <c r="J60" s="337">
        <v>125413.473319</v>
      </c>
      <c r="K60" s="337">
        <v>125413.473319</v>
      </c>
      <c r="L60" s="385">
        <v>792093</v>
      </c>
      <c r="M60" s="385">
        <v>166908.847702</v>
      </c>
      <c r="N60" s="385">
        <v>166908.847702</v>
      </c>
      <c r="O60" s="385">
        <v>702144</v>
      </c>
      <c r="P60" s="385">
        <v>146387.691119</v>
      </c>
      <c r="Q60" s="385">
        <v>146387.691119</v>
      </c>
      <c r="R60" s="337">
        <v>1494237</v>
      </c>
      <c r="S60" s="337">
        <v>313296.53882100002</v>
      </c>
      <c r="T60" s="337">
        <v>313296.53882100002</v>
      </c>
      <c r="U60" s="386">
        <v>1212988</v>
      </c>
      <c r="V60" s="386">
        <v>256550.661208</v>
      </c>
      <c r="W60" s="386">
        <v>256550.661208</v>
      </c>
      <c r="X60" s="386">
        <v>869318</v>
      </c>
      <c r="Y60" s="386">
        <v>182159.350932</v>
      </c>
      <c r="Z60" s="386">
        <v>182159.350932</v>
      </c>
      <c r="AA60" s="337">
        <v>2082306</v>
      </c>
      <c r="AB60" s="337">
        <v>438710.01214000001</v>
      </c>
      <c r="AC60" s="337">
        <v>438710.01214000001</v>
      </c>
    </row>
    <row r="61" spans="2:29" x14ac:dyDescent="0.25">
      <c r="B61" s="4" t="s">
        <v>772</v>
      </c>
      <c r="C61" s="238"/>
      <c r="D61" s="238"/>
      <c r="E61" s="238"/>
      <c r="F61" s="238"/>
      <c r="G61" s="238"/>
      <c r="H61" s="238"/>
      <c r="I61" s="238"/>
      <c r="J61" s="238"/>
      <c r="K61" s="238"/>
      <c r="L61" s="238"/>
      <c r="M61" s="238"/>
      <c r="N61" s="222"/>
    </row>
    <row r="62" spans="2:29" ht="31.5" customHeight="1" x14ac:dyDescent="0.25">
      <c r="B62" s="421" t="s">
        <v>836</v>
      </c>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row>
    <row r="63" spans="2:29" x14ac:dyDescent="0.25">
      <c r="B63" s="421" t="s">
        <v>884</v>
      </c>
      <c r="C63" s="421"/>
      <c r="D63" s="421"/>
      <c r="E63" s="421"/>
      <c r="F63" s="421"/>
      <c r="G63" s="421"/>
      <c r="H63" s="421"/>
      <c r="I63" s="421"/>
      <c r="J63" s="421"/>
      <c r="K63" s="421"/>
      <c r="L63" s="421"/>
      <c r="M63" s="262"/>
      <c r="N63" s="262"/>
      <c r="O63" s="262"/>
      <c r="P63" s="262"/>
      <c r="Q63" s="262"/>
      <c r="R63" s="262"/>
      <c r="S63" s="262"/>
      <c r="T63" s="262"/>
      <c r="U63" s="262"/>
      <c r="V63" s="262"/>
      <c r="W63" s="262"/>
      <c r="X63" s="262"/>
      <c r="Y63" s="262"/>
      <c r="Z63" s="262"/>
      <c r="AA63" s="262"/>
      <c r="AB63" s="262"/>
      <c r="AC63" s="262"/>
    </row>
    <row r="64" spans="2:29" x14ac:dyDescent="0.25">
      <c r="B64" s="258" t="s">
        <v>917</v>
      </c>
      <c r="C64" s="232"/>
      <c r="D64" s="232"/>
      <c r="E64" s="232"/>
      <c r="F64" s="232"/>
      <c r="G64" s="232"/>
      <c r="H64" s="232"/>
      <c r="I64" s="232"/>
      <c r="J64" s="232"/>
      <c r="K64" s="232"/>
      <c r="L64" s="232"/>
      <c r="M64" s="238"/>
      <c r="N64" s="222"/>
    </row>
    <row r="65" spans="2:14" x14ac:dyDescent="0.25">
      <c r="C65" s="238"/>
      <c r="D65" s="238"/>
      <c r="E65" s="238"/>
      <c r="F65" s="238"/>
      <c r="G65" s="238"/>
      <c r="H65" s="238"/>
      <c r="I65" s="238"/>
      <c r="J65" s="238"/>
      <c r="K65" s="238"/>
      <c r="L65" s="238"/>
      <c r="M65" s="238"/>
      <c r="N65" s="222"/>
    </row>
    <row r="66" spans="2:14" x14ac:dyDescent="0.25">
      <c r="B66" s="89"/>
      <c r="C66" s="222"/>
      <c r="D66" s="222"/>
      <c r="E66" s="222"/>
      <c r="F66" s="222"/>
      <c r="G66" s="222"/>
      <c r="H66" s="222"/>
      <c r="I66" s="222"/>
      <c r="J66" s="222"/>
      <c r="K66" s="222"/>
      <c r="L66" s="222"/>
      <c r="M66" s="222"/>
      <c r="N66" s="222"/>
    </row>
    <row r="67" spans="2:14" x14ac:dyDescent="0.25">
      <c r="B67" s="89"/>
      <c r="C67" s="222"/>
      <c r="D67" s="222"/>
      <c r="E67" s="222"/>
      <c r="F67" s="222"/>
      <c r="G67" s="222"/>
      <c r="H67" s="222"/>
      <c r="I67" s="222"/>
      <c r="J67" s="222"/>
      <c r="K67" s="222"/>
      <c r="L67" s="222"/>
      <c r="M67" s="222"/>
      <c r="N67" s="222"/>
    </row>
    <row r="68" spans="2:14" x14ac:dyDescent="0.25">
      <c r="B68" s="89"/>
      <c r="C68" s="222"/>
      <c r="D68" s="222"/>
      <c r="E68" s="222"/>
      <c r="F68" s="222"/>
      <c r="G68" s="222"/>
      <c r="H68" s="222"/>
      <c r="I68" s="222"/>
      <c r="J68" s="222"/>
      <c r="K68" s="222"/>
      <c r="L68" s="222"/>
      <c r="M68" s="222"/>
      <c r="N68" s="222"/>
    </row>
    <row r="69" spans="2:14" x14ac:dyDescent="0.25">
      <c r="B69" s="89"/>
      <c r="C69" s="222"/>
      <c r="D69" s="222"/>
      <c r="E69" s="222"/>
      <c r="F69" s="222"/>
      <c r="G69" s="222"/>
      <c r="H69" s="222"/>
      <c r="I69" s="222"/>
      <c r="J69" s="222"/>
      <c r="K69" s="222"/>
      <c r="L69" s="222"/>
      <c r="M69" s="222"/>
      <c r="N69" s="222"/>
    </row>
    <row r="70" spans="2:14" x14ac:dyDescent="0.25">
      <c r="B70" s="89"/>
      <c r="C70" s="222"/>
      <c r="D70" s="222"/>
      <c r="E70" s="222"/>
      <c r="F70" s="222"/>
      <c r="G70" s="222"/>
      <c r="H70" s="222"/>
      <c r="I70" s="222"/>
      <c r="J70" s="222"/>
      <c r="K70" s="222"/>
      <c r="L70" s="222"/>
      <c r="M70" s="222"/>
      <c r="N70" s="222"/>
    </row>
    <row r="71" spans="2:14" x14ac:dyDescent="0.25">
      <c r="B71" s="89"/>
      <c r="C71" s="222"/>
      <c r="D71" s="222"/>
      <c r="E71" s="222"/>
      <c r="F71" s="222"/>
      <c r="G71" s="222"/>
      <c r="H71" s="222"/>
      <c r="I71" s="222"/>
      <c r="J71" s="222"/>
      <c r="K71" s="222"/>
      <c r="L71" s="222"/>
      <c r="M71" s="222"/>
      <c r="N71" s="222"/>
    </row>
    <row r="72" spans="2:14" x14ac:dyDescent="0.25">
      <c r="B72" s="89"/>
      <c r="C72" s="222"/>
      <c r="D72" s="222"/>
      <c r="E72" s="222"/>
      <c r="F72" s="222"/>
      <c r="G72" s="222"/>
      <c r="H72" s="222"/>
      <c r="I72" s="222"/>
      <c r="J72" s="222"/>
      <c r="K72" s="222"/>
      <c r="L72" s="222"/>
      <c r="M72" s="222"/>
      <c r="N72" s="222"/>
    </row>
    <row r="73" spans="2:14" x14ac:dyDescent="0.25">
      <c r="B73" s="89"/>
      <c r="C73" s="222"/>
      <c r="D73" s="222"/>
      <c r="E73" s="222"/>
      <c r="F73" s="222"/>
      <c r="G73" s="222"/>
      <c r="H73" s="222"/>
      <c r="I73" s="222"/>
      <c r="J73" s="222"/>
      <c r="K73" s="222"/>
      <c r="L73" s="222"/>
      <c r="M73" s="222"/>
      <c r="N73" s="222"/>
    </row>
    <row r="74" spans="2:14" x14ac:dyDescent="0.25">
      <c r="B74" s="89"/>
      <c r="C74" s="222"/>
      <c r="D74" s="222"/>
      <c r="E74" s="222"/>
      <c r="F74" s="222"/>
      <c r="G74" s="222"/>
      <c r="H74" s="222"/>
      <c r="I74" s="222"/>
      <c r="J74" s="222"/>
      <c r="K74" s="222"/>
      <c r="L74" s="222"/>
      <c r="M74" s="222"/>
      <c r="N74" s="222"/>
    </row>
    <row r="75" spans="2:14" x14ac:dyDescent="0.25">
      <c r="B75" s="89"/>
      <c r="C75" s="222"/>
      <c r="D75" s="222"/>
      <c r="E75" s="222"/>
      <c r="F75" s="222"/>
      <c r="G75" s="222"/>
      <c r="H75" s="222"/>
      <c r="I75" s="222"/>
      <c r="J75" s="222"/>
      <c r="K75" s="222"/>
      <c r="L75" s="222"/>
      <c r="M75" s="222"/>
      <c r="N75" s="222"/>
    </row>
    <row r="76" spans="2:14" x14ac:dyDescent="0.25">
      <c r="B76" s="89"/>
      <c r="C76" s="222"/>
      <c r="D76" s="222"/>
      <c r="E76" s="222"/>
      <c r="F76" s="222"/>
      <c r="G76" s="222"/>
      <c r="H76" s="222"/>
      <c r="I76" s="222"/>
      <c r="J76" s="222"/>
      <c r="K76" s="222"/>
      <c r="L76" s="222"/>
      <c r="M76" s="222"/>
      <c r="N76" s="222"/>
    </row>
    <row r="77" spans="2:14" x14ac:dyDescent="0.25">
      <c r="B77" s="4"/>
      <c r="C77" s="4"/>
      <c r="D77" s="4"/>
      <c r="E77" s="4"/>
    </row>
    <row r="78" spans="2:14" x14ac:dyDescent="0.25">
      <c r="B78" s="4"/>
      <c r="C78" s="4"/>
      <c r="D78" s="4"/>
      <c r="E78" s="4"/>
    </row>
  </sheetData>
  <mergeCells count="23">
    <mergeCell ref="B21:L21"/>
    <mergeCell ref="B63:L63"/>
    <mergeCell ref="D7:F7"/>
    <mergeCell ref="G7:I7"/>
    <mergeCell ref="J7:L7"/>
    <mergeCell ref="B9:B11"/>
    <mergeCell ref="B12:B14"/>
    <mergeCell ref="R27:T27"/>
    <mergeCell ref="B15:B17"/>
    <mergeCell ref="B19:L19"/>
    <mergeCell ref="C27:E27"/>
    <mergeCell ref="B62:AC62"/>
    <mergeCell ref="U26:AC26"/>
    <mergeCell ref="U27:W27"/>
    <mergeCell ref="X27:Z27"/>
    <mergeCell ref="AA27:AC27"/>
    <mergeCell ref="F27:H27"/>
    <mergeCell ref="I27:K27"/>
    <mergeCell ref="C26:K26"/>
    <mergeCell ref="L26:T26"/>
    <mergeCell ref="L27:N27"/>
    <mergeCell ref="O27:Q27"/>
    <mergeCell ref="B20:L2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31"/>
  <sheetViews>
    <sheetView showGridLines="0" workbookViewId="0">
      <selection activeCell="B22" sqref="B22"/>
    </sheetView>
    <sheetView showGridLines="0" workbookViewId="1"/>
  </sheetViews>
  <sheetFormatPr baseColWidth="10" defaultRowHeight="15" outlineLevelRow="1" x14ac:dyDescent="0.25"/>
  <cols>
    <col min="2" max="2" width="20.140625" customWidth="1"/>
    <col min="3" max="3" width="15.28515625" customWidth="1"/>
    <col min="4" max="4" width="16.85546875" customWidth="1"/>
    <col min="5" max="5" width="15" bestFit="1" customWidth="1"/>
    <col min="6" max="6" width="16" customWidth="1"/>
    <col min="7" max="7" width="17.71093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692</v>
      </c>
      <c r="C2" s="4"/>
      <c r="D2" s="4"/>
      <c r="E2" s="4"/>
      <c r="F2" s="4"/>
      <c r="G2" s="4"/>
      <c r="H2" s="4"/>
      <c r="I2" s="4"/>
      <c r="J2" s="4"/>
      <c r="K2" s="4"/>
    </row>
    <row r="3" spans="1:14" x14ac:dyDescent="0.25">
      <c r="B3" s="4"/>
      <c r="C3" s="4"/>
      <c r="D3" s="4"/>
      <c r="E3" s="4"/>
      <c r="F3" s="4"/>
      <c r="G3" s="4"/>
      <c r="H3" s="4"/>
      <c r="I3" s="4"/>
      <c r="J3" s="4"/>
      <c r="K3" s="4"/>
    </row>
    <row r="4" spans="1:14" ht="18.75" x14ac:dyDescent="0.3">
      <c r="B4" s="2" t="s">
        <v>773</v>
      </c>
      <c r="C4" s="2"/>
      <c r="D4" s="2"/>
      <c r="E4" s="2"/>
      <c r="F4" s="2"/>
      <c r="G4" s="2"/>
      <c r="J4" s="4"/>
      <c r="K4" s="4"/>
    </row>
    <row r="5" spans="1:14" x14ac:dyDescent="0.25">
      <c r="B5" s="3" t="s">
        <v>912</v>
      </c>
      <c r="J5" s="4"/>
      <c r="K5" s="4"/>
    </row>
    <row r="6" spans="1:14" x14ac:dyDescent="0.25">
      <c r="J6" s="4"/>
      <c r="K6" s="4"/>
    </row>
    <row r="7" spans="1:14" ht="17.25" x14ac:dyDescent="0.25">
      <c r="D7" s="422" t="s">
        <v>852</v>
      </c>
      <c r="E7" s="422"/>
      <c r="F7" s="422"/>
      <c r="G7" s="443"/>
      <c r="H7" s="443"/>
      <c r="I7" s="443"/>
      <c r="J7" s="443"/>
      <c r="K7" s="443"/>
      <c r="L7" s="443"/>
      <c r="N7" s="4"/>
    </row>
    <row r="8" spans="1:14" ht="32.25" x14ac:dyDescent="0.25">
      <c r="B8" s="268" t="s">
        <v>472</v>
      </c>
      <c r="C8" s="257" t="s">
        <v>589</v>
      </c>
      <c r="D8" s="289" t="s">
        <v>839</v>
      </c>
      <c r="E8" s="264" t="s">
        <v>903</v>
      </c>
      <c r="F8" s="264" t="s">
        <v>902</v>
      </c>
      <c r="G8" s="89"/>
      <c r="H8" s="222"/>
      <c r="I8" s="89"/>
      <c r="J8" s="89"/>
      <c r="K8" s="222"/>
      <c r="L8" s="89"/>
      <c r="M8" s="4"/>
    </row>
    <row r="9" spans="1:14" x14ac:dyDescent="0.25">
      <c r="B9" s="423">
        <v>45474</v>
      </c>
      <c r="C9" s="280" t="s">
        <v>73</v>
      </c>
      <c r="D9" s="290">
        <v>110743</v>
      </c>
      <c r="E9" s="290">
        <v>23718.110044000001</v>
      </c>
      <c r="F9" s="290">
        <v>23799.57941367594</v>
      </c>
      <c r="G9" s="247"/>
      <c r="H9" s="247"/>
      <c r="I9" s="248"/>
      <c r="J9" s="248"/>
      <c r="K9" s="248"/>
      <c r="L9" s="248"/>
    </row>
    <row r="10" spans="1:14" x14ac:dyDescent="0.25">
      <c r="B10" s="442"/>
      <c r="C10" s="280" t="s">
        <v>74</v>
      </c>
      <c r="D10" s="290">
        <v>87013</v>
      </c>
      <c r="E10" s="290">
        <v>18637.259056999999</v>
      </c>
      <c r="F10" s="290">
        <v>18701.276204447429</v>
      </c>
      <c r="G10" s="247"/>
      <c r="H10" s="247"/>
      <c r="I10" s="248"/>
      <c r="J10" s="248"/>
      <c r="K10" s="248"/>
      <c r="L10" s="248"/>
      <c r="M10" s="4"/>
    </row>
    <row r="11" spans="1:14" x14ac:dyDescent="0.25">
      <c r="B11" s="442"/>
      <c r="C11" s="280" t="s">
        <v>25</v>
      </c>
      <c r="D11" s="290">
        <v>197756</v>
      </c>
      <c r="E11" s="290">
        <v>42355.369100999997</v>
      </c>
      <c r="F11" s="290">
        <v>42500.855618123373</v>
      </c>
      <c r="G11" s="247"/>
      <c r="H11" s="247"/>
      <c r="I11" s="248"/>
      <c r="J11" s="248"/>
      <c r="K11" s="248"/>
      <c r="L11" s="248"/>
      <c r="M11" s="4"/>
    </row>
    <row r="12" spans="1:14" x14ac:dyDescent="0.25">
      <c r="B12" s="423">
        <v>45505</v>
      </c>
      <c r="C12" s="280" t="s">
        <v>73</v>
      </c>
      <c r="D12" s="290">
        <v>111054</v>
      </c>
      <c r="E12" s="290">
        <v>23784.904354999999</v>
      </c>
      <c r="F12" s="290">
        <v>23805.780047872791</v>
      </c>
      <c r="G12" s="247"/>
      <c r="H12" s="247"/>
      <c r="I12" s="248"/>
      <c r="J12" s="248"/>
      <c r="K12" s="248"/>
      <c r="L12" s="248"/>
      <c r="M12" s="4"/>
    </row>
    <row r="13" spans="1:14" x14ac:dyDescent="0.25">
      <c r="B13" s="442"/>
      <c r="C13" s="280" t="s">
        <v>74</v>
      </c>
      <c r="D13" s="290">
        <v>87337</v>
      </c>
      <c r="E13" s="290">
        <v>18706.699084</v>
      </c>
      <c r="F13" s="290">
        <v>18723.117703932741</v>
      </c>
      <c r="G13" s="247"/>
      <c r="H13" s="247"/>
      <c r="I13" s="248"/>
      <c r="J13" s="248"/>
      <c r="K13" s="248"/>
      <c r="L13" s="248"/>
      <c r="M13" s="4"/>
    </row>
    <row r="14" spans="1:14" x14ac:dyDescent="0.25">
      <c r="B14" s="442"/>
      <c r="C14" s="280" t="s">
        <v>25</v>
      </c>
      <c r="D14" s="290">
        <v>198391</v>
      </c>
      <c r="E14" s="290">
        <v>42491.603438999999</v>
      </c>
      <c r="F14" s="290">
        <v>42528.897751805533</v>
      </c>
      <c r="G14" s="247"/>
      <c r="H14" s="247"/>
      <c r="I14" s="248"/>
      <c r="J14" s="248"/>
      <c r="K14" s="248"/>
      <c r="L14" s="248"/>
      <c r="M14" s="4"/>
    </row>
    <row r="15" spans="1:14" x14ac:dyDescent="0.25">
      <c r="B15" s="439">
        <v>45536</v>
      </c>
      <c r="C15" s="280" t="s">
        <v>73</v>
      </c>
      <c r="D15" s="290">
        <v>111277</v>
      </c>
      <c r="E15" s="290">
        <v>23832.988879</v>
      </c>
      <c r="F15" s="290">
        <v>23832.988879</v>
      </c>
      <c r="G15" s="247"/>
      <c r="H15" s="247"/>
      <c r="I15" s="248"/>
      <c r="J15" s="248"/>
      <c r="K15" s="248"/>
      <c r="L15" s="248"/>
      <c r="M15" s="4"/>
    </row>
    <row r="16" spans="1:14" x14ac:dyDescent="0.25">
      <c r="B16" s="440"/>
      <c r="C16" s="280" t="s">
        <v>74</v>
      </c>
      <c r="D16" s="290">
        <v>87585</v>
      </c>
      <c r="E16" s="290">
        <v>18759.924375999999</v>
      </c>
      <c r="F16" s="290">
        <v>18759.924375999999</v>
      </c>
      <c r="G16" s="247"/>
      <c r="H16" s="247"/>
      <c r="I16" s="248"/>
      <c r="J16" s="248"/>
      <c r="K16" s="248"/>
      <c r="L16" s="248"/>
      <c r="M16" s="4"/>
    </row>
    <row r="17" spans="2:29" x14ac:dyDescent="0.25">
      <c r="B17" s="440"/>
      <c r="C17" s="281" t="s">
        <v>25</v>
      </c>
      <c r="D17" s="290">
        <v>198862</v>
      </c>
      <c r="E17" s="290">
        <v>42592.913254999999</v>
      </c>
      <c r="F17" s="290">
        <v>42592.913254999999</v>
      </c>
      <c r="G17" s="247"/>
      <c r="H17" s="247"/>
      <c r="I17" s="248"/>
      <c r="J17" s="248"/>
      <c r="K17" s="248"/>
      <c r="L17" s="248"/>
    </row>
    <row r="18" spans="2:29" x14ac:dyDescent="0.25">
      <c r="B18" s="4" t="s">
        <v>772</v>
      </c>
    </row>
    <row r="19" spans="2:29" ht="33" customHeight="1" x14ac:dyDescent="0.25">
      <c r="B19" s="429" t="s">
        <v>853</v>
      </c>
      <c r="C19" s="429"/>
      <c r="D19" s="429"/>
      <c r="E19" s="429"/>
      <c r="F19" s="429"/>
      <c r="G19" s="429"/>
      <c r="H19" s="429"/>
      <c r="I19" s="429"/>
      <c r="J19" s="429"/>
      <c r="K19" s="429"/>
      <c r="L19" s="429"/>
    </row>
    <row r="20" spans="2:29" x14ac:dyDescent="0.25">
      <c r="B20" s="258" t="s">
        <v>918</v>
      </c>
      <c r="C20" s="232"/>
      <c r="D20" s="232"/>
      <c r="E20" s="232"/>
      <c r="F20" s="232"/>
      <c r="G20" s="232"/>
      <c r="H20" s="232"/>
      <c r="I20" s="232"/>
      <c r="J20" s="232"/>
      <c r="K20" s="232"/>
      <c r="L20" s="232"/>
    </row>
    <row r="21" spans="2:29" x14ac:dyDescent="0.25">
      <c r="B21" s="235"/>
      <c r="D21" s="210"/>
      <c r="E21" s="210"/>
      <c r="F21" s="210"/>
      <c r="G21" s="210"/>
      <c r="H21" s="210"/>
      <c r="I21" s="210"/>
      <c r="J21" s="210"/>
      <c r="K21" s="210"/>
    </row>
    <row r="22" spans="2:29" ht="18.75" x14ac:dyDescent="0.3">
      <c r="B22" s="387" t="s">
        <v>777</v>
      </c>
      <c r="C22" s="2"/>
      <c r="D22" s="2"/>
      <c r="E22" s="2"/>
      <c r="F22" s="2"/>
      <c r="G22" s="8"/>
    </row>
    <row r="23" spans="2:29" x14ac:dyDescent="0.25">
      <c r="B23" s="3" t="s">
        <v>913</v>
      </c>
    </row>
    <row r="25" spans="2:29" ht="17.25" x14ac:dyDescent="0.25">
      <c r="C25" s="416" t="s">
        <v>855</v>
      </c>
      <c r="D25" s="417"/>
      <c r="E25" s="417"/>
      <c r="F25" s="417"/>
      <c r="G25" s="417"/>
      <c r="H25" s="417"/>
      <c r="I25" s="417"/>
      <c r="J25" s="417"/>
      <c r="K25" s="418"/>
      <c r="L25" s="416" t="s">
        <v>3</v>
      </c>
      <c r="M25" s="417"/>
      <c r="N25" s="417"/>
      <c r="O25" s="417"/>
      <c r="P25" s="417"/>
      <c r="Q25" s="417"/>
      <c r="R25" s="417"/>
      <c r="S25" s="417"/>
      <c r="T25" s="418"/>
      <c r="U25" s="416" t="s">
        <v>587</v>
      </c>
      <c r="V25" s="417"/>
      <c r="W25" s="417"/>
      <c r="X25" s="417"/>
      <c r="Y25" s="417"/>
      <c r="Z25" s="417"/>
      <c r="AA25" s="417"/>
      <c r="AB25" s="417"/>
      <c r="AC25" s="418"/>
    </row>
    <row r="26" spans="2:29" x14ac:dyDescent="0.25">
      <c r="C26" s="416" t="s">
        <v>73</v>
      </c>
      <c r="D26" s="417"/>
      <c r="E26" s="418"/>
      <c r="F26" s="416" t="s">
        <v>74</v>
      </c>
      <c r="G26" s="417"/>
      <c r="H26" s="418"/>
      <c r="I26" s="416" t="s">
        <v>25</v>
      </c>
      <c r="J26" s="417"/>
      <c r="K26" s="418"/>
      <c r="L26" s="416" t="s">
        <v>73</v>
      </c>
      <c r="M26" s="417"/>
      <c r="N26" s="418"/>
      <c r="O26" s="416" t="s">
        <v>74</v>
      </c>
      <c r="P26" s="417"/>
      <c r="Q26" s="418"/>
      <c r="R26" s="416" t="s">
        <v>25</v>
      </c>
      <c r="S26" s="417"/>
      <c r="T26" s="418"/>
      <c r="U26" s="416" t="s">
        <v>73</v>
      </c>
      <c r="V26" s="417"/>
      <c r="W26" s="418"/>
      <c r="X26" s="416" t="s">
        <v>74</v>
      </c>
      <c r="Y26" s="417"/>
      <c r="Z26" s="418"/>
      <c r="AA26" s="416" t="s">
        <v>25</v>
      </c>
      <c r="AB26" s="417"/>
      <c r="AC26" s="418"/>
    </row>
    <row r="27" spans="2:29" ht="47.25" x14ac:dyDescent="0.25">
      <c r="B27" s="268" t="s">
        <v>472</v>
      </c>
      <c r="C27" s="286" t="s">
        <v>790</v>
      </c>
      <c r="D27" s="264" t="s">
        <v>904</v>
      </c>
      <c r="E27" s="286" t="s">
        <v>901</v>
      </c>
      <c r="F27" s="286" t="s">
        <v>790</v>
      </c>
      <c r="G27" s="264" t="s">
        <v>904</v>
      </c>
      <c r="H27" s="286" t="s">
        <v>901</v>
      </c>
      <c r="I27" s="286" t="s">
        <v>790</v>
      </c>
      <c r="J27" s="264" t="s">
        <v>904</v>
      </c>
      <c r="K27" s="286" t="s">
        <v>901</v>
      </c>
      <c r="L27" s="286" t="s">
        <v>790</v>
      </c>
      <c r="M27" s="264" t="s">
        <v>904</v>
      </c>
      <c r="N27" s="286" t="s">
        <v>901</v>
      </c>
      <c r="O27" s="286" t="s">
        <v>790</v>
      </c>
      <c r="P27" s="264" t="s">
        <v>904</v>
      </c>
      <c r="Q27" s="286" t="s">
        <v>901</v>
      </c>
      <c r="R27" s="286" t="s">
        <v>790</v>
      </c>
      <c r="S27" s="264" t="s">
        <v>904</v>
      </c>
      <c r="T27" s="286" t="s">
        <v>901</v>
      </c>
      <c r="U27" s="286" t="s">
        <v>790</v>
      </c>
      <c r="V27" s="264" t="s">
        <v>904</v>
      </c>
      <c r="W27" s="286" t="s">
        <v>901</v>
      </c>
      <c r="X27" s="286" t="s">
        <v>790</v>
      </c>
      <c r="Y27" s="264" t="s">
        <v>904</v>
      </c>
      <c r="Z27" s="286" t="s">
        <v>901</v>
      </c>
      <c r="AA27" s="286" t="s">
        <v>790</v>
      </c>
      <c r="AB27" s="264" t="s">
        <v>904</v>
      </c>
      <c r="AC27" s="286" t="s">
        <v>901</v>
      </c>
    </row>
    <row r="28" spans="2:29" hidden="1" outlineLevel="1" x14ac:dyDescent="0.25">
      <c r="B28" s="288">
        <v>39630</v>
      </c>
      <c r="C28" s="383">
        <v>189150</v>
      </c>
      <c r="D28" s="294">
        <v>20253.45725408394</v>
      </c>
      <c r="E28" s="383">
        <v>11349</v>
      </c>
      <c r="F28" s="383">
        <v>101420</v>
      </c>
      <c r="G28" s="294">
        <v>10859.66499978426</v>
      </c>
      <c r="H28" s="383">
        <v>6085.2</v>
      </c>
      <c r="I28" s="383">
        <v>290570</v>
      </c>
      <c r="J28" s="294">
        <v>31113.122253868201</v>
      </c>
      <c r="K28" s="383">
        <v>17434.2</v>
      </c>
      <c r="L28" s="383">
        <v>108433</v>
      </c>
      <c r="M28" s="294">
        <v>11610.590168818841</v>
      </c>
      <c r="N28" s="383">
        <v>6505.98</v>
      </c>
      <c r="O28" s="383">
        <v>84278</v>
      </c>
      <c r="P28" s="294">
        <v>9024.1653209605411</v>
      </c>
      <c r="Q28" s="383">
        <v>5056.68</v>
      </c>
      <c r="R28" s="383">
        <v>192711</v>
      </c>
      <c r="S28" s="294">
        <v>20634.755489779382</v>
      </c>
      <c r="T28" s="383">
        <v>11562.66</v>
      </c>
      <c r="U28" s="383">
        <v>297583</v>
      </c>
      <c r="V28" s="294">
        <v>31864.047422902771</v>
      </c>
      <c r="W28" s="383">
        <v>17854.98</v>
      </c>
      <c r="X28" s="383">
        <v>185698</v>
      </c>
      <c r="Y28" s="294">
        <v>19883.830320744801</v>
      </c>
      <c r="Z28" s="383">
        <v>11141.88</v>
      </c>
      <c r="AA28" s="383">
        <v>483281</v>
      </c>
      <c r="AB28" s="294">
        <v>51747.877743647579</v>
      </c>
      <c r="AC28" s="383">
        <v>28996.86</v>
      </c>
    </row>
    <row r="29" spans="2:29" hidden="1" outlineLevel="1" x14ac:dyDescent="0.25">
      <c r="B29" s="288">
        <v>39661</v>
      </c>
      <c r="C29" s="383">
        <v>190466</v>
      </c>
      <c r="D29" s="294">
        <v>20205.98462499549</v>
      </c>
      <c r="E29" s="383">
        <v>11427.96</v>
      </c>
      <c r="F29" s="383">
        <v>101671</v>
      </c>
      <c r="G29" s="294">
        <v>10785.98102972665</v>
      </c>
      <c r="H29" s="383">
        <v>6100.26</v>
      </c>
      <c r="I29" s="383">
        <v>292137</v>
      </c>
      <c r="J29" s="294">
        <v>30991.965654722149</v>
      </c>
      <c r="K29" s="383">
        <v>17528.22</v>
      </c>
      <c r="L29" s="383">
        <v>109472</v>
      </c>
      <c r="M29" s="294">
        <v>11613.566457359881</v>
      </c>
      <c r="N29" s="383">
        <v>6568.32</v>
      </c>
      <c r="O29" s="383">
        <v>84832</v>
      </c>
      <c r="P29" s="294">
        <v>8999.5804380184254</v>
      </c>
      <c r="Q29" s="383">
        <v>5089.92</v>
      </c>
      <c r="R29" s="383">
        <v>194304</v>
      </c>
      <c r="S29" s="294">
        <v>20613.146895378301</v>
      </c>
      <c r="T29" s="383">
        <v>11658.24</v>
      </c>
      <c r="U29" s="383">
        <v>299938</v>
      </c>
      <c r="V29" s="294">
        <v>31819.55108235537</v>
      </c>
      <c r="W29" s="383">
        <v>17996.28</v>
      </c>
      <c r="X29" s="383">
        <v>186503</v>
      </c>
      <c r="Y29" s="294">
        <v>19785.561467745079</v>
      </c>
      <c r="Z29" s="383">
        <v>11190.18</v>
      </c>
      <c r="AA29" s="383">
        <v>486441</v>
      </c>
      <c r="AB29" s="294">
        <v>51605.11255010045</v>
      </c>
      <c r="AC29" s="383">
        <v>29186.46</v>
      </c>
    </row>
    <row r="30" spans="2:29" hidden="1" outlineLevel="1" x14ac:dyDescent="0.25">
      <c r="B30" s="288">
        <v>39692</v>
      </c>
      <c r="C30" s="383">
        <v>221382</v>
      </c>
      <c r="D30" s="294">
        <v>23233.510176529511</v>
      </c>
      <c r="E30" s="383">
        <v>13279.878038999999</v>
      </c>
      <c r="F30" s="383">
        <v>108164</v>
      </c>
      <c r="G30" s="294">
        <v>11351.901066095879</v>
      </c>
      <c r="H30" s="383">
        <v>6488.5529790000001</v>
      </c>
      <c r="I30" s="383">
        <v>329546</v>
      </c>
      <c r="J30" s="294">
        <v>34585.4112426254</v>
      </c>
      <c r="K30" s="383">
        <v>19768.431017999999</v>
      </c>
      <c r="L30" s="383">
        <v>108958</v>
      </c>
      <c r="M30" s="294">
        <v>11437.500228751769</v>
      </c>
      <c r="N30" s="383">
        <v>6537.48</v>
      </c>
      <c r="O30" s="383">
        <v>84560</v>
      </c>
      <c r="P30" s="294">
        <v>8876.4020938641515</v>
      </c>
      <c r="Q30" s="383">
        <v>5073.6000000000004</v>
      </c>
      <c r="R30" s="383">
        <v>193518</v>
      </c>
      <c r="S30" s="294">
        <v>20313.90232261593</v>
      </c>
      <c r="T30" s="383">
        <v>11611.08</v>
      </c>
      <c r="U30" s="383">
        <v>330340</v>
      </c>
      <c r="V30" s="294">
        <v>34671.010405281289</v>
      </c>
      <c r="W30" s="383">
        <v>19817.358038999999</v>
      </c>
      <c r="X30" s="383">
        <v>192724</v>
      </c>
      <c r="Y30" s="294">
        <v>20228.30315996004</v>
      </c>
      <c r="Z30" s="383">
        <v>11562.152979</v>
      </c>
      <c r="AA30" s="383">
        <v>523064</v>
      </c>
      <c r="AB30" s="294">
        <v>54899.313565241333</v>
      </c>
      <c r="AC30" s="383">
        <v>31379.511018000001</v>
      </c>
    </row>
    <row r="31" spans="2:29" hidden="1" outlineLevel="1" x14ac:dyDescent="0.25">
      <c r="B31" s="288">
        <v>39722</v>
      </c>
      <c r="C31" s="383">
        <v>230808</v>
      </c>
      <c r="D31" s="294">
        <v>26403.293525886009</v>
      </c>
      <c r="E31" s="383">
        <v>15225.059687000001</v>
      </c>
      <c r="F31" s="383">
        <v>110075</v>
      </c>
      <c r="G31" s="294">
        <v>11996.24023513933</v>
      </c>
      <c r="H31" s="383">
        <v>6917.450409</v>
      </c>
      <c r="I31" s="383">
        <v>340883</v>
      </c>
      <c r="J31" s="294">
        <v>38399.533761025341</v>
      </c>
      <c r="K31" s="383">
        <v>22142.510096000002</v>
      </c>
      <c r="L31" s="383">
        <v>108604</v>
      </c>
      <c r="M31" s="294">
        <v>11345.09957474663</v>
      </c>
      <c r="N31" s="383">
        <v>6541.98</v>
      </c>
      <c r="O31" s="383">
        <v>84437</v>
      </c>
      <c r="P31" s="294">
        <v>8834.1209444097494</v>
      </c>
      <c r="Q31" s="383">
        <v>5094.0621680000004</v>
      </c>
      <c r="R31" s="383">
        <v>193041</v>
      </c>
      <c r="S31" s="294">
        <v>20179.220519156381</v>
      </c>
      <c r="T31" s="383">
        <v>11636.042168</v>
      </c>
      <c r="U31" s="383">
        <v>339412</v>
      </c>
      <c r="V31" s="294">
        <v>37748.393100632631</v>
      </c>
      <c r="W31" s="383">
        <v>21767.039687</v>
      </c>
      <c r="X31" s="383">
        <v>194512</v>
      </c>
      <c r="Y31" s="294">
        <v>20830.36117954908</v>
      </c>
      <c r="Z31" s="383">
        <v>12011.512577</v>
      </c>
      <c r="AA31" s="383">
        <v>533924</v>
      </c>
      <c r="AB31" s="294">
        <v>58578.754280181718</v>
      </c>
      <c r="AC31" s="383">
        <v>33778.552263999998</v>
      </c>
    </row>
    <row r="32" spans="2:29" hidden="1" outlineLevel="1" x14ac:dyDescent="0.25">
      <c r="B32" s="288">
        <v>39753</v>
      </c>
      <c r="C32" s="383">
        <v>236178</v>
      </c>
      <c r="D32" s="294">
        <v>26276.10452292706</v>
      </c>
      <c r="E32" s="383">
        <v>15133.152021</v>
      </c>
      <c r="F32" s="383">
        <v>111136</v>
      </c>
      <c r="G32" s="294">
        <v>11999.79838051548</v>
      </c>
      <c r="H32" s="383">
        <v>6911.0233959999996</v>
      </c>
      <c r="I32" s="383">
        <v>347314</v>
      </c>
      <c r="J32" s="294">
        <v>38275.902903442533</v>
      </c>
      <c r="K32" s="383">
        <v>22044.175416999999</v>
      </c>
      <c r="L32" s="383">
        <v>108404</v>
      </c>
      <c r="M32" s="294">
        <v>11415.17109241031</v>
      </c>
      <c r="N32" s="383">
        <v>6574.32</v>
      </c>
      <c r="O32" s="383">
        <v>84286</v>
      </c>
      <c r="P32" s="294">
        <v>8835.9842016018356</v>
      </c>
      <c r="Q32" s="383">
        <v>5088.8932969999996</v>
      </c>
      <c r="R32" s="383">
        <v>192690</v>
      </c>
      <c r="S32" s="294">
        <v>20251.15529401214</v>
      </c>
      <c r="T32" s="383">
        <v>11663.213297</v>
      </c>
      <c r="U32" s="383">
        <v>344582</v>
      </c>
      <c r="V32" s="294">
        <v>37691.27561533737</v>
      </c>
      <c r="W32" s="383">
        <v>21707.472021000001</v>
      </c>
      <c r="X32" s="383">
        <v>195422</v>
      </c>
      <c r="Y32" s="294">
        <v>20835.78258211731</v>
      </c>
      <c r="Z32" s="383">
        <v>11999.916692999999</v>
      </c>
      <c r="AA32" s="383">
        <v>540004</v>
      </c>
      <c r="AB32" s="294">
        <v>58527.05819745468</v>
      </c>
      <c r="AC32" s="383">
        <v>33707.388714000001</v>
      </c>
    </row>
    <row r="33" spans="2:29" collapsed="1" x14ac:dyDescent="0.25">
      <c r="B33" s="288">
        <v>39783</v>
      </c>
      <c r="C33" s="383">
        <v>244815</v>
      </c>
      <c r="D33" s="294">
        <v>28398.32527635746</v>
      </c>
      <c r="E33" s="383">
        <v>16162.566723</v>
      </c>
      <c r="F33" s="383">
        <v>113630</v>
      </c>
      <c r="G33" s="294">
        <v>12834.662268816919</v>
      </c>
      <c r="H33" s="383">
        <v>7304.6943179999998</v>
      </c>
      <c r="I33" s="383">
        <v>358445</v>
      </c>
      <c r="J33" s="294">
        <v>41232.987545174379</v>
      </c>
      <c r="K33" s="383">
        <v>23467.261041000002</v>
      </c>
      <c r="L33" s="383">
        <v>109628</v>
      </c>
      <c r="M33" s="294">
        <v>12407.60537242899</v>
      </c>
      <c r="N33" s="383">
        <v>7061.64</v>
      </c>
      <c r="O33" s="383">
        <v>84823</v>
      </c>
      <c r="P33" s="294">
        <v>9338.1471314032115</v>
      </c>
      <c r="Q33" s="383">
        <v>5314.6946029999999</v>
      </c>
      <c r="R33" s="383">
        <v>194451</v>
      </c>
      <c r="S33" s="294">
        <v>21745.752503832198</v>
      </c>
      <c r="T33" s="383">
        <v>12376.334602999999</v>
      </c>
      <c r="U33" s="383">
        <v>354443</v>
      </c>
      <c r="V33" s="294">
        <v>40805.930648786452</v>
      </c>
      <c r="W33" s="383">
        <v>23224.206722999999</v>
      </c>
      <c r="X33" s="383">
        <v>198453</v>
      </c>
      <c r="Y33" s="294">
        <v>22172.809400220129</v>
      </c>
      <c r="Z33" s="383">
        <v>12619.388921</v>
      </c>
      <c r="AA33" s="383">
        <v>552896</v>
      </c>
      <c r="AB33" s="294">
        <v>62978.740049006577</v>
      </c>
      <c r="AC33" s="383">
        <v>35843.595644000001</v>
      </c>
    </row>
    <row r="34" spans="2:29" hidden="1" outlineLevel="1" x14ac:dyDescent="0.25">
      <c r="B34" s="288">
        <v>39814</v>
      </c>
      <c r="C34" s="383">
        <v>249383</v>
      </c>
      <c r="D34" s="294">
        <v>27686.852871427971</v>
      </c>
      <c r="E34" s="383">
        <v>15637.465548</v>
      </c>
      <c r="F34" s="383">
        <v>114748</v>
      </c>
      <c r="G34" s="294">
        <v>12556.957156435201</v>
      </c>
      <c r="H34" s="383">
        <v>7092.1381289999999</v>
      </c>
      <c r="I34" s="383">
        <v>364131</v>
      </c>
      <c r="J34" s="294">
        <v>40243.810027863161</v>
      </c>
      <c r="K34" s="383">
        <v>22729.603676999999</v>
      </c>
      <c r="L34" s="383">
        <v>110901</v>
      </c>
      <c r="M34" s="294">
        <v>12800.684732569531</v>
      </c>
      <c r="N34" s="383">
        <v>7229.7948569999999</v>
      </c>
      <c r="O34" s="383">
        <v>85291</v>
      </c>
      <c r="P34" s="294">
        <v>9474.511455665217</v>
      </c>
      <c r="Q34" s="383">
        <v>5351.1804739999998</v>
      </c>
      <c r="R34" s="383">
        <v>196192</v>
      </c>
      <c r="S34" s="294">
        <v>22275.19618823475</v>
      </c>
      <c r="T34" s="383">
        <v>12580.975331</v>
      </c>
      <c r="U34" s="383">
        <v>360284</v>
      </c>
      <c r="V34" s="294">
        <v>40487.537603997487</v>
      </c>
      <c r="W34" s="383">
        <v>22867.260405000001</v>
      </c>
      <c r="X34" s="383">
        <v>200039</v>
      </c>
      <c r="Y34" s="294">
        <v>22031.468612100409</v>
      </c>
      <c r="Z34" s="383">
        <v>12443.318603</v>
      </c>
      <c r="AA34" s="383">
        <v>560323</v>
      </c>
      <c r="AB34" s="294">
        <v>62519.006216097907</v>
      </c>
      <c r="AC34" s="383">
        <v>35310.579008000001</v>
      </c>
    </row>
    <row r="35" spans="2:29" hidden="1" outlineLevel="1" x14ac:dyDescent="0.25">
      <c r="B35" s="288">
        <v>39845</v>
      </c>
      <c r="C35" s="383">
        <v>251808</v>
      </c>
      <c r="D35" s="294">
        <v>27994.75960623462</v>
      </c>
      <c r="E35" s="383">
        <v>15606.041944000001</v>
      </c>
      <c r="F35" s="383">
        <v>115183</v>
      </c>
      <c r="G35" s="294">
        <v>12666.94974639551</v>
      </c>
      <c r="H35" s="383">
        <v>7061.3554759999997</v>
      </c>
      <c r="I35" s="383">
        <v>366991</v>
      </c>
      <c r="J35" s="294">
        <v>40661.709352630132</v>
      </c>
      <c r="K35" s="383">
        <v>22667.397420000001</v>
      </c>
      <c r="L35" s="383">
        <v>111775</v>
      </c>
      <c r="M35" s="294">
        <v>12976.4152213666</v>
      </c>
      <c r="N35" s="383">
        <v>7233.8710199999996</v>
      </c>
      <c r="O35" s="383">
        <v>85481</v>
      </c>
      <c r="P35" s="294">
        <v>9540.8631459248772</v>
      </c>
      <c r="Q35" s="383">
        <v>5318.6779429999997</v>
      </c>
      <c r="R35" s="383">
        <v>197256</v>
      </c>
      <c r="S35" s="294">
        <v>22517.278367291481</v>
      </c>
      <c r="T35" s="383">
        <v>12552.548962999999</v>
      </c>
      <c r="U35" s="383">
        <v>363583</v>
      </c>
      <c r="V35" s="294">
        <v>40971.174827601222</v>
      </c>
      <c r="W35" s="383">
        <v>22839.912963999999</v>
      </c>
      <c r="X35" s="383">
        <v>200664</v>
      </c>
      <c r="Y35" s="294">
        <v>22207.81289232038</v>
      </c>
      <c r="Z35" s="383">
        <v>12380.033418999999</v>
      </c>
      <c r="AA35" s="383">
        <v>564247</v>
      </c>
      <c r="AB35" s="294">
        <v>63178.987719921613</v>
      </c>
      <c r="AC35" s="383">
        <v>35219.946383000002</v>
      </c>
    </row>
    <row r="36" spans="2:29" hidden="1" outlineLevel="1" x14ac:dyDescent="0.25">
      <c r="B36" s="288">
        <v>39873</v>
      </c>
      <c r="C36" s="383">
        <v>254074</v>
      </c>
      <c r="D36" s="294">
        <v>28047.518442306038</v>
      </c>
      <c r="E36" s="383">
        <v>15641.610882999999</v>
      </c>
      <c r="F36" s="383">
        <v>115759</v>
      </c>
      <c r="G36" s="294">
        <v>12750.3970380834</v>
      </c>
      <c r="H36" s="383">
        <v>7110.673605</v>
      </c>
      <c r="I36" s="383">
        <v>369833</v>
      </c>
      <c r="J36" s="294">
        <v>40797.915480389449</v>
      </c>
      <c r="K36" s="383">
        <v>22752.284488000001</v>
      </c>
      <c r="L36" s="383">
        <v>112459</v>
      </c>
      <c r="M36" s="294">
        <v>12961.110052920019</v>
      </c>
      <c r="N36" s="383">
        <v>7228.1845709999998</v>
      </c>
      <c r="O36" s="383">
        <v>85609</v>
      </c>
      <c r="P36" s="294">
        <v>9522.4454100147068</v>
      </c>
      <c r="Q36" s="383">
        <v>5310.5013929999996</v>
      </c>
      <c r="R36" s="383">
        <v>198068</v>
      </c>
      <c r="S36" s="294">
        <v>22483.555462934732</v>
      </c>
      <c r="T36" s="383">
        <v>12538.685964</v>
      </c>
      <c r="U36" s="383">
        <v>366533</v>
      </c>
      <c r="V36" s="294">
        <v>41008.628495226061</v>
      </c>
      <c r="W36" s="383">
        <v>22869.795453999999</v>
      </c>
      <c r="X36" s="383">
        <v>201368</v>
      </c>
      <c r="Y36" s="294">
        <v>22272.842448098108</v>
      </c>
      <c r="Z36" s="383">
        <v>12421.174998</v>
      </c>
      <c r="AA36" s="383">
        <v>567901</v>
      </c>
      <c r="AB36" s="294">
        <v>63281.470943324181</v>
      </c>
      <c r="AC36" s="383">
        <v>35290.970452000001</v>
      </c>
    </row>
    <row r="37" spans="2:29" hidden="1" outlineLevel="1" x14ac:dyDescent="0.25">
      <c r="B37" s="288">
        <v>39904</v>
      </c>
      <c r="C37" s="383">
        <v>255795</v>
      </c>
      <c r="D37" s="294">
        <v>28122.709118784809</v>
      </c>
      <c r="E37" s="383">
        <v>15659.382740999999</v>
      </c>
      <c r="F37" s="383">
        <v>116177</v>
      </c>
      <c r="G37" s="294">
        <v>12719.10958654408</v>
      </c>
      <c r="H37" s="383">
        <v>7082.2979500000001</v>
      </c>
      <c r="I37" s="383">
        <v>371972</v>
      </c>
      <c r="J37" s="294">
        <v>40841.8187053289</v>
      </c>
      <c r="K37" s="383">
        <v>22741.680691000001</v>
      </c>
      <c r="L37" s="383">
        <v>113104</v>
      </c>
      <c r="M37" s="294">
        <v>13107.676864411351</v>
      </c>
      <c r="N37" s="383">
        <v>7298.661306</v>
      </c>
      <c r="O37" s="383">
        <v>85787</v>
      </c>
      <c r="P37" s="294">
        <v>9606.6700890406246</v>
      </c>
      <c r="Q37" s="383">
        <v>5349.2187809999996</v>
      </c>
      <c r="R37" s="383">
        <v>198891</v>
      </c>
      <c r="S37" s="294">
        <v>22714.346953451979</v>
      </c>
      <c r="T37" s="383">
        <v>12647.880087</v>
      </c>
      <c r="U37" s="383">
        <v>368899</v>
      </c>
      <c r="V37" s="294">
        <v>41230.38598319616</v>
      </c>
      <c r="W37" s="383">
        <v>22958.044046999999</v>
      </c>
      <c r="X37" s="383">
        <v>201964</v>
      </c>
      <c r="Y37" s="294">
        <v>22325.779675584701</v>
      </c>
      <c r="Z37" s="383">
        <v>12431.516731</v>
      </c>
      <c r="AA37" s="383">
        <v>570863</v>
      </c>
      <c r="AB37" s="294">
        <v>63556.165658780883</v>
      </c>
      <c r="AC37" s="383">
        <v>35389.560777999999</v>
      </c>
    </row>
    <row r="38" spans="2:29" hidden="1" outlineLevel="1" x14ac:dyDescent="0.25">
      <c r="B38" s="288">
        <v>39934</v>
      </c>
      <c r="C38" s="383">
        <v>258094</v>
      </c>
      <c r="D38" s="294">
        <v>28490.45525948063</v>
      </c>
      <c r="E38" s="383">
        <v>15830.182876000001</v>
      </c>
      <c r="F38" s="383">
        <v>116638</v>
      </c>
      <c r="G38" s="294">
        <v>12807.745143571739</v>
      </c>
      <c r="H38" s="383">
        <v>7116.3814689999999</v>
      </c>
      <c r="I38" s="383">
        <v>374732</v>
      </c>
      <c r="J38" s="294">
        <v>41298.200403052368</v>
      </c>
      <c r="K38" s="383">
        <v>22946.564344999999</v>
      </c>
      <c r="L38" s="383">
        <v>114003</v>
      </c>
      <c r="M38" s="294">
        <v>13400.476255063741</v>
      </c>
      <c r="N38" s="383">
        <v>7445.7213060000004</v>
      </c>
      <c r="O38" s="383">
        <v>86085</v>
      </c>
      <c r="P38" s="294">
        <v>9776.8444242018904</v>
      </c>
      <c r="Q38" s="383">
        <v>5432.3187809999999</v>
      </c>
      <c r="R38" s="383">
        <v>200088</v>
      </c>
      <c r="S38" s="294">
        <v>23177.320679265631</v>
      </c>
      <c r="T38" s="383">
        <v>12878.040086999999</v>
      </c>
      <c r="U38" s="383">
        <v>372097</v>
      </c>
      <c r="V38" s="294">
        <v>41890.931514544369</v>
      </c>
      <c r="W38" s="383">
        <v>23275.904181999998</v>
      </c>
      <c r="X38" s="383">
        <v>202723</v>
      </c>
      <c r="Y38" s="294">
        <v>22584.58956777363</v>
      </c>
      <c r="Z38" s="383">
        <v>12548.70025</v>
      </c>
      <c r="AA38" s="383">
        <v>574820</v>
      </c>
      <c r="AB38" s="294">
        <v>64475.521082318002</v>
      </c>
      <c r="AC38" s="383">
        <v>35824.604432</v>
      </c>
    </row>
    <row r="39" spans="2:29" hidden="1" outlineLevel="1" x14ac:dyDescent="0.25">
      <c r="B39" s="288">
        <v>39965</v>
      </c>
      <c r="C39" s="383">
        <v>260086</v>
      </c>
      <c r="D39" s="294">
        <v>28657.52726019478</v>
      </c>
      <c r="E39" s="383">
        <v>15976.444926</v>
      </c>
      <c r="F39" s="383">
        <v>116982</v>
      </c>
      <c r="G39" s="294">
        <v>12819.83054872598</v>
      </c>
      <c r="H39" s="383">
        <v>7146.9989320000004</v>
      </c>
      <c r="I39" s="383">
        <v>377068</v>
      </c>
      <c r="J39" s="294">
        <v>41477.357808920751</v>
      </c>
      <c r="K39" s="383">
        <v>23123.443857999999</v>
      </c>
      <c r="L39" s="383">
        <v>114983</v>
      </c>
      <c r="M39" s="294">
        <v>13690.882286214999</v>
      </c>
      <c r="N39" s="383">
        <v>7632.6064299999998</v>
      </c>
      <c r="O39" s="383">
        <v>86441</v>
      </c>
      <c r="P39" s="294">
        <v>9845.3726041806931</v>
      </c>
      <c r="Q39" s="383">
        <v>5488.7517600000001</v>
      </c>
      <c r="R39" s="383">
        <v>201424</v>
      </c>
      <c r="S39" s="294">
        <v>23536.254890395699</v>
      </c>
      <c r="T39" s="383">
        <v>13121.358190000001</v>
      </c>
      <c r="U39" s="383">
        <v>375069</v>
      </c>
      <c r="V39" s="294">
        <v>42348.409546409777</v>
      </c>
      <c r="W39" s="383">
        <v>23609.051356</v>
      </c>
      <c r="X39" s="383">
        <v>203423</v>
      </c>
      <c r="Y39" s="294">
        <v>22665.20315290667</v>
      </c>
      <c r="Z39" s="383">
        <v>12635.750692</v>
      </c>
      <c r="AA39" s="383">
        <v>578492</v>
      </c>
      <c r="AB39" s="294">
        <v>65013.612699316451</v>
      </c>
      <c r="AC39" s="383">
        <v>36244.802047999998</v>
      </c>
    </row>
    <row r="40" spans="2:29" hidden="1" outlineLevel="1" x14ac:dyDescent="0.25">
      <c r="B40" s="288">
        <v>39995</v>
      </c>
      <c r="C40" s="383">
        <v>261334</v>
      </c>
      <c r="D40" s="294">
        <v>35872.991196556388</v>
      </c>
      <c r="E40" s="383">
        <v>19913.272247000001</v>
      </c>
      <c r="F40" s="383">
        <v>117124</v>
      </c>
      <c r="G40" s="294">
        <v>16038.1463341156</v>
      </c>
      <c r="H40" s="383">
        <v>8902.8531949999997</v>
      </c>
      <c r="I40" s="383">
        <v>378458</v>
      </c>
      <c r="J40" s="294">
        <v>51911.137530671978</v>
      </c>
      <c r="K40" s="383">
        <v>28816.125442</v>
      </c>
      <c r="L40" s="383">
        <v>116028</v>
      </c>
      <c r="M40" s="294">
        <v>17134.30070032864</v>
      </c>
      <c r="N40" s="383">
        <v>9511.333826</v>
      </c>
      <c r="O40" s="383">
        <v>86710</v>
      </c>
      <c r="P40" s="294">
        <v>12246.910009679639</v>
      </c>
      <c r="Q40" s="383">
        <v>6798.319434</v>
      </c>
      <c r="R40" s="383">
        <v>202738</v>
      </c>
      <c r="S40" s="294">
        <v>29381.210710008279</v>
      </c>
      <c r="T40" s="383">
        <v>16309.653259999999</v>
      </c>
      <c r="U40" s="383">
        <v>377362</v>
      </c>
      <c r="V40" s="294">
        <v>53007.291896885028</v>
      </c>
      <c r="W40" s="383">
        <v>29424.606072999999</v>
      </c>
      <c r="X40" s="383">
        <v>203834</v>
      </c>
      <c r="Y40" s="294">
        <v>28285.056343795241</v>
      </c>
      <c r="Z40" s="383">
        <v>15701.172629000001</v>
      </c>
      <c r="AA40" s="383">
        <v>581196</v>
      </c>
      <c r="AB40" s="294">
        <v>81292.348240680265</v>
      </c>
      <c r="AC40" s="383">
        <v>45125.778702000003</v>
      </c>
    </row>
    <row r="41" spans="2:29" hidden="1" outlineLevel="1" x14ac:dyDescent="0.25">
      <c r="B41" s="288">
        <v>40026</v>
      </c>
      <c r="C41" s="383">
        <v>261917</v>
      </c>
      <c r="D41" s="294">
        <v>36110.314362858517</v>
      </c>
      <c r="E41" s="383">
        <v>19952.724859000002</v>
      </c>
      <c r="F41" s="383">
        <v>117348</v>
      </c>
      <c r="G41" s="294">
        <v>16317.13154253796</v>
      </c>
      <c r="H41" s="383">
        <v>9016.0177750000003</v>
      </c>
      <c r="I41" s="383">
        <v>379265</v>
      </c>
      <c r="J41" s="294">
        <v>52427.445905396467</v>
      </c>
      <c r="K41" s="383">
        <v>28968.742633999998</v>
      </c>
      <c r="L41" s="383">
        <v>117514</v>
      </c>
      <c r="M41" s="294">
        <v>17868.924618173089</v>
      </c>
      <c r="N41" s="383">
        <v>9873.4597780000004</v>
      </c>
      <c r="O41" s="383">
        <v>87229</v>
      </c>
      <c r="P41" s="294">
        <v>12583.368214426229</v>
      </c>
      <c r="Q41" s="383">
        <v>6952.9298820000004</v>
      </c>
      <c r="R41" s="383">
        <v>204743</v>
      </c>
      <c r="S41" s="294">
        <v>30452.29283259932</v>
      </c>
      <c r="T41" s="383">
        <v>16826.389660000001</v>
      </c>
      <c r="U41" s="383">
        <v>379431</v>
      </c>
      <c r="V41" s="294">
        <v>53979.238981031609</v>
      </c>
      <c r="W41" s="383">
        <v>29826.184636999998</v>
      </c>
      <c r="X41" s="383">
        <v>204577</v>
      </c>
      <c r="Y41" s="294">
        <v>28900.499756964189</v>
      </c>
      <c r="Z41" s="383">
        <v>15968.947657000001</v>
      </c>
      <c r="AA41" s="383">
        <v>584008</v>
      </c>
      <c r="AB41" s="294">
        <v>82879.738737995795</v>
      </c>
      <c r="AC41" s="383">
        <v>45795.132294000003</v>
      </c>
    </row>
    <row r="42" spans="2:29" hidden="1" outlineLevel="1" x14ac:dyDescent="0.25">
      <c r="B42" s="288">
        <v>40057</v>
      </c>
      <c r="C42" s="383">
        <v>267244</v>
      </c>
      <c r="D42" s="294">
        <v>37739.34451422932</v>
      </c>
      <c r="E42" s="383">
        <v>21089.928935</v>
      </c>
      <c r="F42" s="383">
        <v>117430</v>
      </c>
      <c r="G42" s="294">
        <v>15999.423477222261</v>
      </c>
      <c r="H42" s="383">
        <v>8940.9794600000005</v>
      </c>
      <c r="I42" s="383">
        <v>384674</v>
      </c>
      <c r="J42" s="294">
        <v>53738.767991451583</v>
      </c>
      <c r="K42" s="383">
        <v>30030.908394999999</v>
      </c>
      <c r="L42" s="383">
        <v>118761</v>
      </c>
      <c r="M42" s="294">
        <v>17689.089482683579</v>
      </c>
      <c r="N42" s="383">
        <v>9885.217799</v>
      </c>
      <c r="O42" s="383">
        <v>87678</v>
      </c>
      <c r="P42" s="294">
        <v>12444.63999856736</v>
      </c>
      <c r="Q42" s="383">
        <v>6954.4550010000003</v>
      </c>
      <c r="R42" s="383">
        <v>206439</v>
      </c>
      <c r="S42" s="294">
        <v>30133.729481250939</v>
      </c>
      <c r="T42" s="383">
        <v>16839.6728</v>
      </c>
      <c r="U42" s="383">
        <v>386005</v>
      </c>
      <c r="V42" s="294">
        <v>55428.433996912907</v>
      </c>
      <c r="W42" s="383">
        <v>30975.146734000002</v>
      </c>
      <c r="X42" s="383">
        <v>205108</v>
      </c>
      <c r="Y42" s="294">
        <v>28444.063475789619</v>
      </c>
      <c r="Z42" s="383">
        <v>15895.434461000001</v>
      </c>
      <c r="AA42" s="383">
        <v>591113</v>
      </c>
      <c r="AB42" s="294">
        <v>83872.497472702526</v>
      </c>
      <c r="AC42" s="383">
        <v>46870.581194999999</v>
      </c>
    </row>
    <row r="43" spans="2:29" hidden="1" outlineLevel="1" x14ac:dyDescent="0.25">
      <c r="B43" s="288">
        <v>40087</v>
      </c>
      <c r="C43" s="383">
        <v>273548</v>
      </c>
      <c r="D43" s="294">
        <v>38501.290994336057</v>
      </c>
      <c r="E43" s="383">
        <v>21514.109165999998</v>
      </c>
      <c r="F43" s="383">
        <v>118419</v>
      </c>
      <c r="G43" s="294">
        <v>16378.24390371062</v>
      </c>
      <c r="H43" s="383">
        <v>9151.9873279999993</v>
      </c>
      <c r="I43" s="383">
        <v>391967</v>
      </c>
      <c r="J43" s="294">
        <v>54879.534898046688</v>
      </c>
      <c r="K43" s="383">
        <v>30666.096494000001</v>
      </c>
      <c r="L43" s="383">
        <v>120250</v>
      </c>
      <c r="M43" s="294">
        <v>18278.06127442421</v>
      </c>
      <c r="N43" s="383">
        <v>10213.584933</v>
      </c>
      <c r="O43" s="383">
        <v>88090</v>
      </c>
      <c r="P43" s="294">
        <v>12574.01299690739</v>
      </c>
      <c r="Q43" s="383">
        <v>7026.2238299999999</v>
      </c>
      <c r="R43" s="383">
        <v>208340</v>
      </c>
      <c r="S43" s="294">
        <v>30852.074271331599</v>
      </c>
      <c r="T43" s="383">
        <v>17239.808763000001</v>
      </c>
      <c r="U43" s="383">
        <v>393798</v>
      </c>
      <c r="V43" s="294">
        <v>56779.352268760267</v>
      </c>
      <c r="W43" s="383">
        <v>31727.694099</v>
      </c>
      <c r="X43" s="383">
        <v>206509</v>
      </c>
      <c r="Y43" s="294">
        <v>28952.256900618009</v>
      </c>
      <c r="Z43" s="383">
        <v>16178.211158</v>
      </c>
      <c r="AA43" s="383">
        <v>600307</v>
      </c>
      <c r="AB43" s="294">
        <v>85731.609169378295</v>
      </c>
      <c r="AC43" s="383">
        <v>47905.905257000013</v>
      </c>
    </row>
    <row r="44" spans="2:29" hidden="1" outlineLevel="1" x14ac:dyDescent="0.25">
      <c r="B44" s="288">
        <v>40118</v>
      </c>
      <c r="C44" s="383">
        <v>275060</v>
      </c>
      <c r="D44" s="294">
        <v>37704.249745342808</v>
      </c>
      <c r="E44" s="383">
        <v>20985.331285</v>
      </c>
      <c r="F44" s="383">
        <v>118547</v>
      </c>
      <c r="G44" s="294">
        <v>16183.420213498281</v>
      </c>
      <c r="H44" s="383">
        <v>9007.3250840000001</v>
      </c>
      <c r="I44" s="383">
        <v>393607</v>
      </c>
      <c r="J44" s="294">
        <v>53887.669958841092</v>
      </c>
      <c r="K44" s="383">
        <v>29992.656369</v>
      </c>
      <c r="L44" s="383">
        <v>121468</v>
      </c>
      <c r="M44" s="294">
        <v>18172.50322673293</v>
      </c>
      <c r="N44" s="383">
        <v>10114.403630000001</v>
      </c>
      <c r="O44" s="383">
        <v>88421</v>
      </c>
      <c r="P44" s="294">
        <v>12529.06148002746</v>
      </c>
      <c r="Q44" s="383">
        <v>6973.3917959999999</v>
      </c>
      <c r="R44" s="383">
        <v>209889</v>
      </c>
      <c r="S44" s="294">
        <v>30701.56470676039</v>
      </c>
      <c r="T44" s="383">
        <v>17087.795426000001</v>
      </c>
      <c r="U44" s="383">
        <v>396528</v>
      </c>
      <c r="V44" s="294">
        <v>55876.75297207573</v>
      </c>
      <c r="W44" s="383">
        <v>31099.734915000001</v>
      </c>
      <c r="X44" s="383">
        <v>206968</v>
      </c>
      <c r="Y44" s="294">
        <v>28712.48169352574</v>
      </c>
      <c r="Z44" s="383">
        <v>15980.71688</v>
      </c>
      <c r="AA44" s="383">
        <v>603496</v>
      </c>
      <c r="AB44" s="294">
        <v>84589.234665601485</v>
      </c>
      <c r="AC44" s="383">
        <v>47080.451795000001</v>
      </c>
    </row>
    <row r="45" spans="2:29" collapsed="1" x14ac:dyDescent="0.25">
      <c r="B45" s="288">
        <v>40148</v>
      </c>
      <c r="C45" s="383">
        <v>278864</v>
      </c>
      <c r="D45" s="294">
        <v>39375.350960251148</v>
      </c>
      <c r="E45" s="383">
        <v>21832.267360999998</v>
      </c>
      <c r="F45" s="383">
        <v>119964</v>
      </c>
      <c r="G45" s="294">
        <v>16711.356808416109</v>
      </c>
      <c r="H45" s="383">
        <v>9265.8681359999991</v>
      </c>
      <c r="I45" s="383">
        <v>398828</v>
      </c>
      <c r="J45" s="294">
        <v>56086.707768667256</v>
      </c>
      <c r="K45" s="383">
        <v>31098.135496999999</v>
      </c>
      <c r="L45" s="383">
        <v>123215</v>
      </c>
      <c r="M45" s="294">
        <v>19381.850685964218</v>
      </c>
      <c r="N45" s="383">
        <v>10746.564431999999</v>
      </c>
      <c r="O45" s="383">
        <v>88990</v>
      </c>
      <c r="P45" s="294">
        <v>12931.58616541733</v>
      </c>
      <c r="Q45" s="383">
        <v>7170.1163210000004</v>
      </c>
      <c r="R45" s="383">
        <v>212205</v>
      </c>
      <c r="S45" s="294">
        <v>32313.43685138155</v>
      </c>
      <c r="T45" s="383">
        <v>17916.680753000001</v>
      </c>
      <c r="U45" s="383">
        <v>402079</v>
      </c>
      <c r="V45" s="294">
        <v>58757.20164621537</v>
      </c>
      <c r="W45" s="383">
        <v>32578.831793000001</v>
      </c>
      <c r="X45" s="383">
        <v>208954</v>
      </c>
      <c r="Y45" s="294">
        <v>29642.94297383344</v>
      </c>
      <c r="Z45" s="383">
        <v>16435.984456999999</v>
      </c>
      <c r="AA45" s="383">
        <v>611033</v>
      </c>
      <c r="AB45" s="294">
        <v>88400.144620048814</v>
      </c>
      <c r="AC45" s="383">
        <v>49014.816250000003</v>
      </c>
    </row>
    <row r="46" spans="2:29" hidden="1" outlineLevel="1" x14ac:dyDescent="0.25">
      <c r="B46" s="288">
        <v>40179</v>
      </c>
      <c r="C46" s="383">
        <v>281175</v>
      </c>
      <c r="D46" s="294">
        <v>38265.745620894042</v>
      </c>
      <c r="E46" s="383">
        <v>21326.987045999998</v>
      </c>
      <c r="F46" s="383">
        <v>120328</v>
      </c>
      <c r="G46" s="294">
        <v>16316.637108415791</v>
      </c>
      <c r="H46" s="383">
        <v>9093.8959269999996</v>
      </c>
      <c r="I46" s="383">
        <v>401503</v>
      </c>
      <c r="J46" s="294">
        <v>54582.382729309829</v>
      </c>
      <c r="K46" s="383">
        <v>30420.882973</v>
      </c>
      <c r="L46" s="383">
        <v>124307</v>
      </c>
      <c r="M46" s="294">
        <v>18082.092414704191</v>
      </c>
      <c r="N46" s="383">
        <v>10077.852774999999</v>
      </c>
      <c r="O46" s="383">
        <v>89382</v>
      </c>
      <c r="P46" s="294">
        <v>12516.933481894681</v>
      </c>
      <c r="Q46" s="383">
        <v>6976.1734390000001</v>
      </c>
      <c r="R46" s="383">
        <v>213689</v>
      </c>
      <c r="S46" s="294">
        <v>30599.02589659888</v>
      </c>
      <c r="T46" s="383">
        <v>17054.026214000001</v>
      </c>
      <c r="U46" s="383">
        <v>405482</v>
      </c>
      <c r="V46" s="294">
        <v>56347.83803559823</v>
      </c>
      <c r="W46" s="383">
        <v>31404.839821000001</v>
      </c>
      <c r="X46" s="383">
        <v>209710</v>
      </c>
      <c r="Y46" s="294">
        <v>28833.570590310472</v>
      </c>
      <c r="Z46" s="383">
        <v>16070.069366</v>
      </c>
      <c r="AA46" s="383">
        <v>615192</v>
      </c>
      <c r="AB46" s="294">
        <v>85181.408625908705</v>
      </c>
      <c r="AC46" s="383">
        <v>47474.909186999997</v>
      </c>
    </row>
    <row r="47" spans="2:29" hidden="1" outlineLevel="1" x14ac:dyDescent="0.25">
      <c r="B47" s="288">
        <v>40210</v>
      </c>
      <c r="C47" s="383">
        <v>280040</v>
      </c>
      <c r="D47" s="294">
        <v>37562.651967569138</v>
      </c>
      <c r="E47" s="383">
        <v>20993.952795000001</v>
      </c>
      <c r="F47" s="383">
        <v>119616</v>
      </c>
      <c r="G47" s="294">
        <v>16047.59644826962</v>
      </c>
      <c r="H47" s="383">
        <v>8969.0813789999993</v>
      </c>
      <c r="I47" s="383">
        <v>399656</v>
      </c>
      <c r="J47" s="294">
        <v>53610.248415838752</v>
      </c>
      <c r="K47" s="383">
        <v>29963.034174</v>
      </c>
      <c r="L47" s="383">
        <v>123693</v>
      </c>
      <c r="M47" s="294">
        <v>16598.315090322601</v>
      </c>
      <c r="N47" s="383">
        <v>9276.8807639999995</v>
      </c>
      <c r="O47" s="383">
        <v>89028</v>
      </c>
      <c r="P47" s="294">
        <v>11947.81270095207</v>
      </c>
      <c r="Q47" s="383">
        <v>6677.6918750000004</v>
      </c>
      <c r="R47" s="383">
        <v>212721</v>
      </c>
      <c r="S47" s="294">
        <v>28546.12779127467</v>
      </c>
      <c r="T47" s="383">
        <v>15954.572639</v>
      </c>
      <c r="U47" s="383">
        <v>403733</v>
      </c>
      <c r="V47" s="294">
        <v>54160.967057891743</v>
      </c>
      <c r="W47" s="383">
        <v>30270.833558999999</v>
      </c>
      <c r="X47" s="383">
        <v>208644</v>
      </c>
      <c r="Y47" s="294">
        <v>27995.409149221679</v>
      </c>
      <c r="Z47" s="383">
        <v>15646.773254</v>
      </c>
      <c r="AA47" s="383">
        <v>612377</v>
      </c>
      <c r="AB47" s="294">
        <v>82156.376207113426</v>
      </c>
      <c r="AC47" s="383">
        <v>45917.606812999999</v>
      </c>
    </row>
    <row r="48" spans="2:29" hidden="1" outlineLevel="1" x14ac:dyDescent="0.25">
      <c r="B48" s="288">
        <v>40238</v>
      </c>
      <c r="C48" s="383">
        <v>282275</v>
      </c>
      <c r="D48" s="294">
        <v>39191.516372870312</v>
      </c>
      <c r="E48" s="383">
        <v>21922.751113999999</v>
      </c>
      <c r="F48" s="383">
        <v>120019</v>
      </c>
      <c r="G48" s="294">
        <v>16368.972791305599</v>
      </c>
      <c r="H48" s="383">
        <v>9156.3927530000001</v>
      </c>
      <c r="I48" s="383">
        <v>402294</v>
      </c>
      <c r="J48" s="294">
        <v>55560.489164175917</v>
      </c>
      <c r="K48" s="383">
        <v>31079.143866999999</v>
      </c>
      <c r="L48" s="383">
        <v>124927</v>
      </c>
      <c r="M48" s="294">
        <v>18326.49408324344</v>
      </c>
      <c r="N48" s="383">
        <v>10251.381058000001</v>
      </c>
      <c r="O48" s="383">
        <v>89480</v>
      </c>
      <c r="P48" s="294">
        <v>12575.144109343601</v>
      </c>
      <c r="Q48" s="383">
        <v>7034.2201590000004</v>
      </c>
      <c r="R48" s="383">
        <v>214407</v>
      </c>
      <c r="S48" s="294">
        <v>30901.638192587041</v>
      </c>
      <c r="T48" s="383">
        <v>17285.601216999999</v>
      </c>
      <c r="U48" s="383">
        <v>407202</v>
      </c>
      <c r="V48" s="294">
        <v>57518.010456113763</v>
      </c>
      <c r="W48" s="383">
        <v>32174.132172000001</v>
      </c>
      <c r="X48" s="383">
        <v>209499</v>
      </c>
      <c r="Y48" s="294">
        <v>28944.116900649209</v>
      </c>
      <c r="Z48" s="383">
        <v>16190.612912000001</v>
      </c>
      <c r="AA48" s="383">
        <v>616701</v>
      </c>
      <c r="AB48" s="294">
        <v>86462.127356762954</v>
      </c>
      <c r="AC48" s="383">
        <v>48364.745083999987</v>
      </c>
    </row>
    <row r="49" spans="2:29" hidden="1" outlineLevel="1" x14ac:dyDescent="0.25">
      <c r="B49" s="288">
        <v>40269</v>
      </c>
      <c r="C49" s="383">
        <v>283343</v>
      </c>
      <c r="D49" s="294">
        <v>38319.51647534762</v>
      </c>
      <c r="E49" s="383">
        <v>21534.048636</v>
      </c>
      <c r="F49" s="383">
        <v>120234</v>
      </c>
      <c r="G49" s="294">
        <v>16305.4326470099</v>
      </c>
      <c r="H49" s="383">
        <v>9163.0065290000002</v>
      </c>
      <c r="I49" s="383">
        <v>403577</v>
      </c>
      <c r="J49" s="294">
        <v>54624.949122357517</v>
      </c>
      <c r="K49" s="383">
        <v>30697.055165000002</v>
      </c>
      <c r="L49" s="383">
        <v>125111</v>
      </c>
      <c r="M49" s="294">
        <v>17384.823024220041</v>
      </c>
      <c r="N49" s="383">
        <v>9769.5811159999994</v>
      </c>
      <c r="O49" s="383">
        <v>89554</v>
      </c>
      <c r="P49" s="294">
        <v>12282.13161215637</v>
      </c>
      <c r="Q49" s="383">
        <v>6902.0708979999999</v>
      </c>
      <c r="R49" s="383">
        <v>214665</v>
      </c>
      <c r="S49" s="294">
        <v>29666.954636376409</v>
      </c>
      <c r="T49" s="383">
        <v>16671.652013999999</v>
      </c>
      <c r="U49" s="383">
        <v>408454</v>
      </c>
      <c r="V49" s="294">
        <v>55704.339499567657</v>
      </c>
      <c r="W49" s="383">
        <v>31303.629752000001</v>
      </c>
      <c r="X49" s="383">
        <v>209788</v>
      </c>
      <c r="Y49" s="294">
        <v>28587.564259166269</v>
      </c>
      <c r="Z49" s="383">
        <v>16065.077427</v>
      </c>
      <c r="AA49" s="383">
        <v>618242</v>
      </c>
      <c r="AB49" s="294">
        <v>84291.903758733941</v>
      </c>
      <c r="AC49" s="383">
        <v>47368.707178999997</v>
      </c>
    </row>
    <row r="50" spans="2:29" hidden="1" outlineLevel="1" x14ac:dyDescent="0.25">
      <c r="B50" s="288">
        <v>40299</v>
      </c>
      <c r="C50" s="383">
        <v>283931</v>
      </c>
      <c r="D50" s="294">
        <v>38459.798103768233</v>
      </c>
      <c r="E50" s="383">
        <v>21690.650935999998</v>
      </c>
      <c r="F50" s="383">
        <v>120295</v>
      </c>
      <c r="G50" s="294">
        <v>16207.68235403092</v>
      </c>
      <c r="H50" s="383">
        <v>9140.8483080000005</v>
      </c>
      <c r="I50" s="383">
        <v>404226</v>
      </c>
      <c r="J50" s="294">
        <v>54667.480457799153</v>
      </c>
      <c r="K50" s="383">
        <v>30831.499243999999</v>
      </c>
      <c r="L50" s="383">
        <v>125246</v>
      </c>
      <c r="M50" s="294">
        <v>17393.620669913209</v>
      </c>
      <c r="N50" s="383">
        <v>9809.6966979999997</v>
      </c>
      <c r="O50" s="383">
        <v>89604</v>
      </c>
      <c r="P50" s="294">
        <v>12210.384492382251</v>
      </c>
      <c r="Q50" s="383">
        <v>6886.4424900000004</v>
      </c>
      <c r="R50" s="383">
        <v>214850</v>
      </c>
      <c r="S50" s="294">
        <v>29604.00516229546</v>
      </c>
      <c r="T50" s="383">
        <v>16696.139188000001</v>
      </c>
      <c r="U50" s="383">
        <v>409177</v>
      </c>
      <c r="V50" s="294">
        <v>55853.418773681427</v>
      </c>
      <c r="W50" s="383">
        <v>31500.347634000002</v>
      </c>
      <c r="X50" s="383">
        <v>209899</v>
      </c>
      <c r="Y50" s="294">
        <v>28418.06684641317</v>
      </c>
      <c r="Z50" s="383">
        <v>16027.290798</v>
      </c>
      <c r="AA50" s="383">
        <v>619076</v>
      </c>
      <c r="AB50" s="294">
        <v>84271.485620094609</v>
      </c>
      <c r="AC50" s="383">
        <v>47527.638432</v>
      </c>
    </row>
    <row r="51" spans="2:29" hidden="1" outlineLevel="1" x14ac:dyDescent="0.25">
      <c r="B51" s="288">
        <v>40330</v>
      </c>
      <c r="C51" s="383">
        <v>284810</v>
      </c>
      <c r="D51" s="294">
        <v>38435.49255809794</v>
      </c>
      <c r="E51" s="383">
        <v>21677.022112999999</v>
      </c>
      <c r="F51" s="383">
        <v>120331</v>
      </c>
      <c r="G51" s="294">
        <v>16187.119459091949</v>
      </c>
      <c r="H51" s="383">
        <v>9129.2844999999998</v>
      </c>
      <c r="I51" s="383">
        <v>405141</v>
      </c>
      <c r="J51" s="294">
        <v>54622.612017189887</v>
      </c>
      <c r="K51" s="383">
        <v>30806.306613000001</v>
      </c>
      <c r="L51" s="383">
        <v>125671</v>
      </c>
      <c r="M51" s="294">
        <v>17650.818015880472</v>
      </c>
      <c r="N51" s="383">
        <v>9954.7878010000004</v>
      </c>
      <c r="O51" s="383">
        <v>89759</v>
      </c>
      <c r="P51" s="294">
        <v>12304.81440300905</v>
      </c>
      <c r="Q51" s="383">
        <v>6939.7246180000002</v>
      </c>
      <c r="R51" s="383">
        <v>215430</v>
      </c>
      <c r="S51" s="294">
        <v>29955.63241888952</v>
      </c>
      <c r="T51" s="383">
        <v>16894.512418999999</v>
      </c>
      <c r="U51" s="383">
        <v>410481</v>
      </c>
      <c r="V51" s="294">
        <v>56086.310573978408</v>
      </c>
      <c r="W51" s="383">
        <v>31631.809914000001</v>
      </c>
      <c r="X51" s="383">
        <v>210090</v>
      </c>
      <c r="Y51" s="294">
        <v>28491.933862100999</v>
      </c>
      <c r="Z51" s="383">
        <v>16069.009118</v>
      </c>
      <c r="AA51" s="383">
        <v>620571</v>
      </c>
      <c r="AB51" s="294">
        <v>84578.244436079403</v>
      </c>
      <c r="AC51" s="383">
        <v>47700.819031999999</v>
      </c>
    </row>
    <row r="52" spans="2:29" hidden="1" outlineLevel="1" x14ac:dyDescent="0.25">
      <c r="B52" s="288">
        <v>40360</v>
      </c>
      <c r="C52" s="383">
        <v>285566</v>
      </c>
      <c r="D52" s="294">
        <v>38744.465199787388</v>
      </c>
      <c r="E52" s="383">
        <v>21991.648255</v>
      </c>
      <c r="F52" s="383">
        <v>120293</v>
      </c>
      <c r="G52" s="294">
        <v>16308.891011127131</v>
      </c>
      <c r="H52" s="383">
        <v>9257.0485279999994</v>
      </c>
      <c r="I52" s="383">
        <v>405859</v>
      </c>
      <c r="J52" s="294">
        <v>55053.356210914513</v>
      </c>
      <c r="K52" s="383">
        <v>31248.696782999999</v>
      </c>
      <c r="L52" s="383">
        <v>125791</v>
      </c>
      <c r="M52" s="294">
        <v>17725.036910114421</v>
      </c>
      <c r="N52" s="383">
        <v>10060.863533</v>
      </c>
      <c r="O52" s="383">
        <v>89862</v>
      </c>
      <c r="P52" s="294">
        <v>12404.112943190659</v>
      </c>
      <c r="Q52" s="383">
        <v>7040.667289</v>
      </c>
      <c r="R52" s="383">
        <v>215653</v>
      </c>
      <c r="S52" s="294">
        <v>30129.149853305091</v>
      </c>
      <c r="T52" s="383">
        <v>17101.530822000001</v>
      </c>
      <c r="U52" s="383">
        <v>411357</v>
      </c>
      <c r="V52" s="294">
        <v>56469.502109901812</v>
      </c>
      <c r="W52" s="383">
        <v>32052.511788</v>
      </c>
      <c r="X52" s="383">
        <v>210155</v>
      </c>
      <c r="Y52" s="294">
        <v>28713.003954317792</v>
      </c>
      <c r="Z52" s="383">
        <v>16297.715817</v>
      </c>
      <c r="AA52" s="383">
        <v>621512</v>
      </c>
      <c r="AB52" s="294">
        <v>85182.506064219604</v>
      </c>
      <c r="AC52" s="383">
        <v>48350.227605</v>
      </c>
    </row>
    <row r="53" spans="2:29" hidden="1" outlineLevel="1" x14ac:dyDescent="0.25">
      <c r="B53" s="288">
        <v>40391</v>
      </c>
      <c r="C53" s="383">
        <v>286679</v>
      </c>
      <c r="D53" s="294">
        <v>39035.729210079196</v>
      </c>
      <c r="E53" s="383">
        <v>22135.189880999998</v>
      </c>
      <c r="F53" s="383">
        <v>120325</v>
      </c>
      <c r="G53" s="294">
        <v>16296.8318175777</v>
      </c>
      <c r="H53" s="383">
        <v>9241.1099790000007</v>
      </c>
      <c r="I53" s="383">
        <v>407004</v>
      </c>
      <c r="J53" s="294">
        <v>55332.561027656891</v>
      </c>
      <c r="K53" s="383">
        <v>31376.299859999999</v>
      </c>
      <c r="L53" s="383">
        <v>126047</v>
      </c>
      <c r="M53" s="294">
        <v>17640.40192608882</v>
      </c>
      <c r="N53" s="383">
        <v>10002.980707999999</v>
      </c>
      <c r="O53" s="383">
        <v>89942</v>
      </c>
      <c r="P53" s="294">
        <v>12343.15958955948</v>
      </c>
      <c r="Q53" s="383">
        <v>6999.1822050000001</v>
      </c>
      <c r="R53" s="383">
        <v>215989</v>
      </c>
      <c r="S53" s="294">
        <v>29983.5615156483</v>
      </c>
      <c r="T53" s="383">
        <v>17002.162913</v>
      </c>
      <c r="U53" s="383">
        <v>412726</v>
      </c>
      <c r="V53" s="294">
        <v>56676.13113616802</v>
      </c>
      <c r="W53" s="383">
        <v>32138.170589000001</v>
      </c>
      <c r="X53" s="383">
        <v>210267</v>
      </c>
      <c r="Y53" s="294">
        <v>28639.991407137171</v>
      </c>
      <c r="Z53" s="383">
        <v>16240.292184</v>
      </c>
      <c r="AA53" s="383">
        <v>622993</v>
      </c>
      <c r="AB53" s="294">
        <v>85316.122543305188</v>
      </c>
      <c r="AC53" s="383">
        <v>48378.462772999999</v>
      </c>
    </row>
    <row r="54" spans="2:29" hidden="1" outlineLevel="1" x14ac:dyDescent="0.25">
      <c r="B54" s="288">
        <v>40422</v>
      </c>
      <c r="C54" s="383">
        <v>286024</v>
      </c>
      <c r="D54" s="294">
        <v>38241.027307056887</v>
      </c>
      <c r="E54" s="383">
        <v>21771.278159000001</v>
      </c>
      <c r="F54" s="383">
        <v>119687</v>
      </c>
      <c r="G54" s="294">
        <v>15978.0699607185</v>
      </c>
      <c r="H54" s="383">
        <v>9096.5915420000001</v>
      </c>
      <c r="I54" s="383">
        <v>405711</v>
      </c>
      <c r="J54" s="294">
        <v>54219.097267775382</v>
      </c>
      <c r="K54" s="383">
        <v>30867.869701</v>
      </c>
      <c r="L54" s="383">
        <v>126265</v>
      </c>
      <c r="M54" s="294">
        <v>17627.408756624802</v>
      </c>
      <c r="N54" s="383">
        <v>10035.588641</v>
      </c>
      <c r="O54" s="383">
        <v>90028</v>
      </c>
      <c r="P54" s="294">
        <v>12354.72954348466</v>
      </c>
      <c r="Q54" s="383">
        <v>7033.7611829999996</v>
      </c>
      <c r="R54" s="383">
        <v>216293</v>
      </c>
      <c r="S54" s="294">
        <v>29982.138300109469</v>
      </c>
      <c r="T54" s="383">
        <v>17069.349824000001</v>
      </c>
      <c r="U54" s="383">
        <v>412289</v>
      </c>
      <c r="V54" s="294">
        <v>55868.436063681693</v>
      </c>
      <c r="W54" s="383">
        <v>31806.8668</v>
      </c>
      <c r="X54" s="383">
        <v>209715</v>
      </c>
      <c r="Y54" s="294">
        <v>28332.799504203169</v>
      </c>
      <c r="Z54" s="383">
        <v>16130.352725000001</v>
      </c>
      <c r="AA54" s="383">
        <v>622004</v>
      </c>
      <c r="AB54" s="294">
        <v>84201.235567884854</v>
      </c>
      <c r="AC54" s="383">
        <v>47937.219525</v>
      </c>
    </row>
    <row r="55" spans="2:29" hidden="1" outlineLevel="1" x14ac:dyDescent="0.25">
      <c r="B55" s="288">
        <v>40452</v>
      </c>
      <c r="C55" s="383">
        <v>286401</v>
      </c>
      <c r="D55" s="294">
        <v>38658.038266708267</v>
      </c>
      <c r="E55" s="383">
        <v>22030.268861</v>
      </c>
      <c r="F55" s="383">
        <v>119515</v>
      </c>
      <c r="G55" s="294">
        <v>16148.31738959028</v>
      </c>
      <c r="H55" s="383">
        <v>9202.5304359999991</v>
      </c>
      <c r="I55" s="383">
        <v>405916</v>
      </c>
      <c r="J55" s="294">
        <v>54806.355656298547</v>
      </c>
      <c r="K55" s="383">
        <v>31232.799297000001</v>
      </c>
      <c r="L55" s="383">
        <v>126450</v>
      </c>
      <c r="M55" s="294">
        <v>17603.615852063049</v>
      </c>
      <c r="N55" s="383">
        <v>10031.869374</v>
      </c>
      <c r="O55" s="383">
        <v>90089</v>
      </c>
      <c r="P55" s="294">
        <v>12319.660211835349</v>
      </c>
      <c r="Q55" s="383">
        <v>7020.6725150000002</v>
      </c>
      <c r="R55" s="383">
        <v>216539</v>
      </c>
      <c r="S55" s="294">
        <v>29923.2760638984</v>
      </c>
      <c r="T55" s="383">
        <v>17052.541889</v>
      </c>
      <c r="U55" s="383">
        <v>412851</v>
      </c>
      <c r="V55" s="294">
        <v>56261.654118771323</v>
      </c>
      <c r="W55" s="383">
        <v>32062.138234999999</v>
      </c>
      <c r="X55" s="383">
        <v>209604</v>
      </c>
      <c r="Y55" s="294">
        <v>28467.977601425631</v>
      </c>
      <c r="Z55" s="383">
        <v>16223.202950999999</v>
      </c>
      <c r="AA55" s="383">
        <v>622455</v>
      </c>
      <c r="AB55" s="294">
        <v>84729.63172019695</v>
      </c>
      <c r="AC55" s="383">
        <v>48285.341186000012</v>
      </c>
    </row>
    <row r="56" spans="2:29" hidden="1" outlineLevel="1" x14ac:dyDescent="0.25">
      <c r="B56" s="288">
        <v>40483</v>
      </c>
      <c r="C56" s="383">
        <v>286938</v>
      </c>
      <c r="D56" s="294">
        <v>38901.375357058947</v>
      </c>
      <c r="E56" s="383">
        <v>22184.544239999999</v>
      </c>
      <c r="F56" s="383">
        <v>119528</v>
      </c>
      <c r="G56" s="294">
        <v>16201.638885134729</v>
      </c>
      <c r="H56" s="383">
        <v>9239.4156070000008</v>
      </c>
      <c r="I56" s="383">
        <v>406466</v>
      </c>
      <c r="J56" s="294">
        <v>55103.014242193669</v>
      </c>
      <c r="K56" s="383">
        <v>31423.959846999998</v>
      </c>
      <c r="L56" s="383">
        <v>126434</v>
      </c>
      <c r="M56" s="294">
        <v>17601.731484100961</v>
      </c>
      <c r="N56" s="383">
        <v>10037.855659999999</v>
      </c>
      <c r="O56" s="383">
        <v>90074</v>
      </c>
      <c r="P56" s="294">
        <v>12294.160317154359</v>
      </c>
      <c r="Q56" s="383">
        <v>7011.0719980000003</v>
      </c>
      <c r="R56" s="383">
        <v>216508</v>
      </c>
      <c r="S56" s="294">
        <v>29895.891801255319</v>
      </c>
      <c r="T56" s="383">
        <v>17048.927658000001</v>
      </c>
      <c r="U56" s="383">
        <v>413372</v>
      </c>
      <c r="V56" s="294">
        <v>56503.106841159912</v>
      </c>
      <c r="W56" s="383">
        <v>32222.3999</v>
      </c>
      <c r="X56" s="383">
        <v>209602</v>
      </c>
      <c r="Y56" s="294">
        <v>28495.799202289079</v>
      </c>
      <c r="Z56" s="383">
        <v>16250.487605</v>
      </c>
      <c r="AA56" s="383">
        <v>622974</v>
      </c>
      <c r="AB56" s="294">
        <v>84998.90604344898</v>
      </c>
      <c r="AC56" s="383">
        <v>48472.887504999999</v>
      </c>
    </row>
    <row r="57" spans="2:29" collapsed="1" x14ac:dyDescent="0.25">
      <c r="B57" s="288">
        <v>40513</v>
      </c>
      <c r="C57" s="383">
        <v>287654</v>
      </c>
      <c r="D57" s="294">
        <v>38988.741485118568</v>
      </c>
      <c r="E57" s="383">
        <v>22260.577636999999</v>
      </c>
      <c r="F57" s="383">
        <v>119464</v>
      </c>
      <c r="G57" s="294">
        <v>16134.577255943819</v>
      </c>
      <c r="H57" s="383">
        <v>9212.0185459999993</v>
      </c>
      <c r="I57" s="383">
        <v>407118</v>
      </c>
      <c r="J57" s="294">
        <v>55123.318741062387</v>
      </c>
      <c r="K57" s="383">
        <v>31472.596183000001</v>
      </c>
      <c r="L57" s="383">
        <v>126415</v>
      </c>
      <c r="M57" s="294">
        <v>17486.777425638709</v>
      </c>
      <c r="N57" s="383">
        <v>9984.0556959999994</v>
      </c>
      <c r="O57" s="383">
        <v>89975</v>
      </c>
      <c r="P57" s="294">
        <v>12252.539996540499</v>
      </c>
      <c r="Q57" s="383">
        <v>6995.5737849999996</v>
      </c>
      <c r="R57" s="383">
        <v>216390</v>
      </c>
      <c r="S57" s="294">
        <v>29739.317422179211</v>
      </c>
      <c r="T57" s="383">
        <v>16979.629481</v>
      </c>
      <c r="U57" s="383">
        <v>414069</v>
      </c>
      <c r="V57" s="294">
        <v>56475.518910757281</v>
      </c>
      <c r="W57" s="383">
        <v>32244.633333000002</v>
      </c>
      <c r="X57" s="383">
        <v>209439</v>
      </c>
      <c r="Y57" s="294">
        <v>28387.11725248432</v>
      </c>
      <c r="Z57" s="383">
        <v>16207.592331</v>
      </c>
      <c r="AA57" s="383">
        <v>623508</v>
      </c>
      <c r="AB57" s="294">
        <v>84862.636163241608</v>
      </c>
      <c r="AC57" s="383">
        <v>48452.225663999998</v>
      </c>
    </row>
    <row r="58" spans="2:29" hidden="1" outlineLevel="1" x14ac:dyDescent="0.25">
      <c r="B58" s="288">
        <v>40544</v>
      </c>
      <c r="C58" s="383">
        <v>288408</v>
      </c>
      <c r="D58" s="294">
        <v>39383.597210606262</v>
      </c>
      <c r="E58" s="383">
        <v>22546.888666999999</v>
      </c>
      <c r="F58" s="383">
        <v>119753</v>
      </c>
      <c r="G58" s="294">
        <v>16271.161477983909</v>
      </c>
      <c r="H58" s="383">
        <v>9315.1487500000003</v>
      </c>
      <c r="I58" s="383">
        <v>408161</v>
      </c>
      <c r="J58" s="294">
        <v>55654.758688590176</v>
      </c>
      <c r="K58" s="383">
        <v>31862.037417</v>
      </c>
      <c r="L58" s="383">
        <v>126319</v>
      </c>
      <c r="M58" s="294">
        <v>17275.81950222651</v>
      </c>
      <c r="N58" s="383">
        <v>9890.3098379999992</v>
      </c>
      <c r="O58" s="383">
        <v>89864</v>
      </c>
      <c r="P58" s="294">
        <v>12118.165770398031</v>
      </c>
      <c r="Q58" s="383">
        <v>6937.5819840000004</v>
      </c>
      <c r="R58" s="383">
        <v>216183</v>
      </c>
      <c r="S58" s="294">
        <v>29393.985272624541</v>
      </c>
      <c r="T58" s="383">
        <v>16827.891822000001</v>
      </c>
      <c r="U58" s="383">
        <v>414727</v>
      </c>
      <c r="V58" s="294">
        <v>56659.416712832768</v>
      </c>
      <c r="W58" s="383">
        <v>32437.198505</v>
      </c>
      <c r="X58" s="383">
        <v>209617</v>
      </c>
      <c r="Y58" s="294">
        <v>28389.327248381938</v>
      </c>
      <c r="Z58" s="383">
        <v>16252.730734000001</v>
      </c>
      <c r="AA58" s="383">
        <v>624344</v>
      </c>
      <c r="AB58" s="294">
        <v>85048.743961214728</v>
      </c>
      <c r="AC58" s="383">
        <v>48689.929238999997</v>
      </c>
    </row>
    <row r="59" spans="2:29" hidden="1" outlineLevel="1" x14ac:dyDescent="0.25">
      <c r="B59" s="288">
        <v>40575</v>
      </c>
      <c r="C59" s="383">
        <v>288069</v>
      </c>
      <c r="D59" s="294">
        <v>38535.945024859757</v>
      </c>
      <c r="E59" s="383">
        <v>22112.373598999999</v>
      </c>
      <c r="F59" s="383">
        <v>119558</v>
      </c>
      <c r="G59" s="294">
        <v>15977.097259652101</v>
      </c>
      <c r="H59" s="383">
        <v>9167.8442919999998</v>
      </c>
      <c r="I59" s="383">
        <v>407627</v>
      </c>
      <c r="J59" s="294">
        <v>54513.042284511859</v>
      </c>
      <c r="K59" s="383">
        <v>31280.217891</v>
      </c>
      <c r="L59" s="383">
        <v>126149</v>
      </c>
      <c r="M59" s="294">
        <v>17131.935400323189</v>
      </c>
      <c r="N59" s="383">
        <v>9830.5038530000002</v>
      </c>
      <c r="O59" s="383">
        <v>89724</v>
      </c>
      <c r="P59" s="294">
        <v>12045.05937540243</v>
      </c>
      <c r="Q59" s="383">
        <v>6911.5952070000003</v>
      </c>
      <c r="R59" s="383">
        <v>215873</v>
      </c>
      <c r="S59" s="294">
        <v>29176.99477572563</v>
      </c>
      <c r="T59" s="383">
        <v>16742.09906</v>
      </c>
      <c r="U59" s="383">
        <v>414218</v>
      </c>
      <c r="V59" s="294">
        <v>55667.88042518295</v>
      </c>
      <c r="W59" s="383">
        <v>31942.877452000001</v>
      </c>
      <c r="X59" s="383">
        <v>209282</v>
      </c>
      <c r="Y59" s="294">
        <v>28022.156635054529</v>
      </c>
      <c r="Z59" s="383">
        <v>16079.439499</v>
      </c>
      <c r="AA59" s="383">
        <v>623500</v>
      </c>
      <c r="AB59" s="294">
        <v>83690.03706023749</v>
      </c>
      <c r="AC59" s="383">
        <v>48022.316951000001</v>
      </c>
    </row>
    <row r="60" spans="2:29" hidden="1" outlineLevel="1" x14ac:dyDescent="0.25">
      <c r="B60" s="288">
        <v>40603</v>
      </c>
      <c r="C60" s="383">
        <v>288568</v>
      </c>
      <c r="D60" s="294">
        <v>38543.937774193517</v>
      </c>
      <c r="E60" s="383">
        <v>22286.086187000001</v>
      </c>
      <c r="F60" s="383">
        <v>119590</v>
      </c>
      <c r="G60" s="294">
        <v>15949.996442432001</v>
      </c>
      <c r="H60" s="383">
        <v>9222.2802319999992</v>
      </c>
      <c r="I60" s="383">
        <v>408158</v>
      </c>
      <c r="J60" s="294">
        <v>54493.934216625523</v>
      </c>
      <c r="K60" s="383">
        <v>31508.366419000002</v>
      </c>
      <c r="L60" s="383">
        <v>126230</v>
      </c>
      <c r="M60" s="294">
        <v>17191.806579672069</v>
      </c>
      <c r="N60" s="383">
        <v>9940.294253</v>
      </c>
      <c r="O60" s="383">
        <v>89738</v>
      </c>
      <c r="P60" s="294">
        <v>12044.004925052621</v>
      </c>
      <c r="Q60" s="383">
        <v>6963.8378249999996</v>
      </c>
      <c r="R60" s="383">
        <v>215968</v>
      </c>
      <c r="S60" s="294">
        <v>29235.81150472469</v>
      </c>
      <c r="T60" s="383">
        <v>16904.132077999999</v>
      </c>
      <c r="U60" s="383">
        <v>414798</v>
      </c>
      <c r="V60" s="294">
        <v>55735.744353865593</v>
      </c>
      <c r="W60" s="383">
        <v>32226.380440000001</v>
      </c>
      <c r="X60" s="383">
        <v>209328</v>
      </c>
      <c r="Y60" s="294">
        <v>27994.00136748462</v>
      </c>
      <c r="Z60" s="383">
        <v>16186.118057</v>
      </c>
      <c r="AA60" s="383">
        <v>624126</v>
      </c>
      <c r="AB60" s="294">
        <v>83729.745721350206</v>
      </c>
      <c r="AC60" s="383">
        <v>48412.498497</v>
      </c>
    </row>
    <row r="61" spans="2:29" hidden="1" outlineLevel="1" x14ac:dyDescent="0.25">
      <c r="B61" s="288">
        <v>40634</v>
      </c>
      <c r="C61" s="383">
        <v>285145</v>
      </c>
      <c r="D61" s="294">
        <v>37259.969454241727</v>
      </c>
      <c r="E61" s="383">
        <v>21612.411466000001</v>
      </c>
      <c r="F61" s="383">
        <v>118210</v>
      </c>
      <c r="G61" s="294">
        <v>15447.99161302944</v>
      </c>
      <c r="H61" s="383">
        <v>8960.5105949999997</v>
      </c>
      <c r="I61" s="383">
        <v>403355</v>
      </c>
      <c r="J61" s="294">
        <v>52707.961067271179</v>
      </c>
      <c r="K61" s="383">
        <v>30572.922061000001</v>
      </c>
      <c r="L61" s="383">
        <v>126017</v>
      </c>
      <c r="M61" s="294">
        <v>17174.281929239511</v>
      </c>
      <c r="N61" s="383">
        <v>9961.83446</v>
      </c>
      <c r="O61" s="383">
        <v>89436</v>
      </c>
      <c r="P61" s="294">
        <v>11983.36747129781</v>
      </c>
      <c r="Q61" s="383">
        <v>6950.8771029999998</v>
      </c>
      <c r="R61" s="383">
        <v>215453</v>
      </c>
      <c r="S61" s="294">
        <v>29157.649400537332</v>
      </c>
      <c r="T61" s="383">
        <v>16912.711563000001</v>
      </c>
      <c r="U61" s="383">
        <v>411162</v>
      </c>
      <c r="V61" s="294">
        <v>54434.251383481249</v>
      </c>
      <c r="W61" s="383">
        <v>31574.245926</v>
      </c>
      <c r="X61" s="383">
        <v>207646</v>
      </c>
      <c r="Y61" s="294">
        <v>27431.35908432725</v>
      </c>
      <c r="Z61" s="383">
        <v>15911.387698</v>
      </c>
      <c r="AA61" s="383">
        <v>618808</v>
      </c>
      <c r="AB61" s="294">
        <v>81865.61046780851</v>
      </c>
      <c r="AC61" s="383">
        <v>47485.633624000002</v>
      </c>
    </row>
    <row r="62" spans="2:29" hidden="1" outlineLevel="1" x14ac:dyDescent="0.25">
      <c r="B62" s="288">
        <v>40664</v>
      </c>
      <c r="C62" s="383">
        <v>287109</v>
      </c>
      <c r="D62" s="294">
        <v>38754.360899678781</v>
      </c>
      <c r="E62" s="383">
        <v>22569.105210999998</v>
      </c>
      <c r="F62" s="383">
        <v>119022</v>
      </c>
      <c r="G62" s="294">
        <v>16099.41855254045</v>
      </c>
      <c r="H62" s="383">
        <v>9375.7054100000005</v>
      </c>
      <c r="I62" s="383">
        <v>406131</v>
      </c>
      <c r="J62" s="294">
        <v>54853.779452219227</v>
      </c>
      <c r="K62" s="383">
        <v>31944.810621000001</v>
      </c>
      <c r="L62" s="383">
        <v>125967</v>
      </c>
      <c r="M62" s="294">
        <v>16920.49431817505</v>
      </c>
      <c r="N62" s="383">
        <v>9853.8695420000004</v>
      </c>
      <c r="O62" s="383">
        <v>89387</v>
      </c>
      <c r="P62" s="294">
        <v>11871.330810670041</v>
      </c>
      <c r="Q62" s="383">
        <v>6913.4236209999999</v>
      </c>
      <c r="R62" s="383">
        <v>215354</v>
      </c>
      <c r="S62" s="294">
        <v>28791.825128845088</v>
      </c>
      <c r="T62" s="383">
        <v>16767.293162999998</v>
      </c>
      <c r="U62" s="383">
        <v>413076</v>
      </c>
      <c r="V62" s="294">
        <v>55674.855217853838</v>
      </c>
      <c r="W62" s="383">
        <v>32422.974752999999</v>
      </c>
      <c r="X62" s="383">
        <v>208409</v>
      </c>
      <c r="Y62" s="294">
        <v>27970.7493632105</v>
      </c>
      <c r="Z62" s="383">
        <v>16289.129031</v>
      </c>
      <c r="AA62" s="383">
        <v>621485</v>
      </c>
      <c r="AB62" s="294">
        <v>83645.604581064326</v>
      </c>
      <c r="AC62" s="383">
        <v>48712.103783999999</v>
      </c>
    </row>
    <row r="63" spans="2:29" hidden="1" outlineLevel="1" x14ac:dyDescent="0.25">
      <c r="B63" s="288">
        <v>40695</v>
      </c>
      <c r="C63" s="383">
        <v>287551</v>
      </c>
      <c r="D63" s="294">
        <v>38021.045763081303</v>
      </c>
      <c r="E63" s="383">
        <v>22179.625998</v>
      </c>
      <c r="F63" s="383">
        <v>119061</v>
      </c>
      <c r="G63" s="294">
        <v>15727.494104477861</v>
      </c>
      <c r="H63" s="383">
        <v>9174.6539350000003</v>
      </c>
      <c r="I63" s="383">
        <v>406612</v>
      </c>
      <c r="J63" s="294">
        <v>53748.539867559171</v>
      </c>
      <c r="K63" s="383">
        <v>31354.279933000002</v>
      </c>
      <c r="L63" s="383">
        <v>126043</v>
      </c>
      <c r="M63" s="294">
        <v>16985.541165871669</v>
      </c>
      <c r="N63" s="383">
        <v>9908.5373080000008</v>
      </c>
      <c r="O63" s="383">
        <v>89400</v>
      </c>
      <c r="P63" s="294">
        <v>11867.71534467016</v>
      </c>
      <c r="Q63" s="383">
        <v>6923.0470260000002</v>
      </c>
      <c r="R63" s="383">
        <v>215443</v>
      </c>
      <c r="S63" s="294">
        <v>28853.256510541829</v>
      </c>
      <c r="T63" s="383">
        <v>16831.584333999999</v>
      </c>
      <c r="U63" s="383">
        <v>413594</v>
      </c>
      <c r="V63" s="294">
        <v>55006.586928952973</v>
      </c>
      <c r="W63" s="383">
        <v>32088.163305999999</v>
      </c>
      <c r="X63" s="383">
        <v>208461</v>
      </c>
      <c r="Y63" s="294">
        <v>27595.209449148031</v>
      </c>
      <c r="Z63" s="383">
        <v>16097.700961</v>
      </c>
      <c r="AA63" s="383">
        <v>622055</v>
      </c>
      <c r="AB63" s="294">
        <v>82601.796378101004</v>
      </c>
      <c r="AC63" s="383">
        <v>48185.864266999997</v>
      </c>
    </row>
    <row r="64" spans="2:29" hidden="1" outlineLevel="1" x14ac:dyDescent="0.25">
      <c r="B64" s="288">
        <v>40725</v>
      </c>
      <c r="C64" s="383">
        <v>286810</v>
      </c>
      <c r="D64" s="294">
        <v>39075.514312478852</v>
      </c>
      <c r="E64" s="383">
        <v>22823.692652999998</v>
      </c>
      <c r="F64" s="383">
        <v>118793</v>
      </c>
      <c r="G64" s="294">
        <v>16190.41608882501</v>
      </c>
      <c r="H64" s="383">
        <v>9456.6914149999993</v>
      </c>
      <c r="I64" s="383">
        <v>405603</v>
      </c>
      <c r="J64" s="294">
        <v>55265.930401303864</v>
      </c>
      <c r="K64" s="383">
        <v>32280.384067999999</v>
      </c>
      <c r="L64" s="383">
        <v>125405</v>
      </c>
      <c r="M64" s="294">
        <v>17271.579356596671</v>
      </c>
      <c r="N64" s="383">
        <v>10088.190157000001</v>
      </c>
      <c r="O64" s="383">
        <v>88825</v>
      </c>
      <c r="P64" s="294">
        <v>12131.026690256651</v>
      </c>
      <c r="Q64" s="383">
        <v>7085.6348180000005</v>
      </c>
      <c r="R64" s="383">
        <v>214230</v>
      </c>
      <c r="S64" s="294">
        <v>29402.606046853311</v>
      </c>
      <c r="T64" s="383">
        <v>17173.824975</v>
      </c>
      <c r="U64" s="383">
        <v>412215</v>
      </c>
      <c r="V64" s="294">
        <v>56347.093669075519</v>
      </c>
      <c r="W64" s="383">
        <v>32911.882810000003</v>
      </c>
      <c r="X64" s="383">
        <v>207618</v>
      </c>
      <c r="Y64" s="294">
        <v>28321.442779081659</v>
      </c>
      <c r="Z64" s="383">
        <v>16542.326233</v>
      </c>
      <c r="AA64" s="383">
        <v>619833</v>
      </c>
      <c r="AB64" s="294">
        <v>84668.536448157174</v>
      </c>
      <c r="AC64" s="383">
        <v>49454.209043000003</v>
      </c>
    </row>
    <row r="65" spans="2:29" hidden="1" outlineLevel="1" x14ac:dyDescent="0.25">
      <c r="B65" s="288">
        <v>40756</v>
      </c>
      <c r="C65" s="383">
        <v>287169</v>
      </c>
      <c r="D65" s="294">
        <v>39088.802069460857</v>
      </c>
      <c r="E65" s="383">
        <v>22868.475003</v>
      </c>
      <c r="F65" s="383">
        <v>118828</v>
      </c>
      <c r="G65" s="294">
        <v>16180.79014702619</v>
      </c>
      <c r="H65" s="383">
        <v>9466.3938369999996</v>
      </c>
      <c r="I65" s="383">
        <v>405997</v>
      </c>
      <c r="J65" s="294">
        <v>55269.592216487057</v>
      </c>
      <c r="K65" s="383">
        <v>32334.868839999999</v>
      </c>
      <c r="L65" s="383">
        <v>125477</v>
      </c>
      <c r="M65" s="294">
        <v>17299.682089197231</v>
      </c>
      <c r="N65" s="383">
        <v>10120.989298</v>
      </c>
      <c r="O65" s="383">
        <v>89066</v>
      </c>
      <c r="P65" s="294">
        <v>12200.952083787941</v>
      </c>
      <c r="Q65" s="383">
        <v>7138.0332209999997</v>
      </c>
      <c r="R65" s="383">
        <v>214543</v>
      </c>
      <c r="S65" s="294">
        <v>29500.63417298517</v>
      </c>
      <c r="T65" s="383">
        <v>17259.022518999998</v>
      </c>
      <c r="U65" s="383">
        <v>412646</v>
      </c>
      <c r="V65" s="294">
        <v>56388.484158658102</v>
      </c>
      <c r="W65" s="383">
        <v>32989.464301</v>
      </c>
      <c r="X65" s="383">
        <v>207894</v>
      </c>
      <c r="Y65" s="294">
        <v>28381.742230814129</v>
      </c>
      <c r="Z65" s="383">
        <v>16604.427058000001</v>
      </c>
      <c r="AA65" s="383">
        <v>620540</v>
      </c>
      <c r="AB65" s="294">
        <v>84770.226389472227</v>
      </c>
      <c r="AC65" s="383">
        <v>49593.891359000001</v>
      </c>
    </row>
    <row r="66" spans="2:29" hidden="1" outlineLevel="1" x14ac:dyDescent="0.25">
      <c r="B66" s="288">
        <v>40787</v>
      </c>
      <c r="C66" s="383">
        <v>287346</v>
      </c>
      <c r="D66" s="294">
        <v>38967.810714254447</v>
      </c>
      <c r="E66" s="383">
        <v>22910.999168999999</v>
      </c>
      <c r="F66" s="383">
        <v>118398</v>
      </c>
      <c r="G66" s="294">
        <v>16067.771476688689</v>
      </c>
      <c r="H66" s="383">
        <v>9446.9946400000008</v>
      </c>
      <c r="I66" s="383">
        <v>405744</v>
      </c>
      <c r="J66" s="294">
        <v>55035.58219094314</v>
      </c>
      <c r="K66" s="383">
        <v>32357.993809</v>
      </c>
      <c r="L66" s="383">
        <v>125589</v>
      </c>
      <c r="M66" s="294">
        <v>17545.316662434041</v>
      </c>
      <c r="N66" s="383">
        <v>10315.712587</v>
      </c>
      <c r="O66" s="383">
        <v>89260</v>
      </c>
      <c r="P66" s="294">
        <v>12363.71138800038</v>
      </c>
      <c r="Q66" s="383">
        <v>7269.2044059999998</v>
      </c>
      <c r="R66" s="383">
        <v>214849</v>
      </c>
      <c r="S66" s="294">
        <v>29909.028050434408</v>
      </c>
      <c r="T66" s="383">
        <v>17584.916992999999</v>
      </c>
      <c r="U66" s="383">
        <v>412935</v>
      </c>
      <c r="V66" s="294">
        <v>56513.127376688477</v>
      </c>
      <c r="W66" s="383">
        <v>33226.711755999997</v>
      </c>
      <c r="X66" s="383">
        <v>207658</v>
      </c>
      <c r="Y66" s="294">
        <v>28431.48286468906</v>
      </c>
      <c r="Z66" s="383">
        <v>16716.199046000002</v>
      </c>
      <c r="AA66" s="383">
        <v>620593</v>
      </c>
      <c r="AB66" s="294">
        <v>84944.610241377552</v>
      </c>
      <c r="AC66" s="383">
        <v>49942.910801999999</v>
      </c>
    </row>
    <row r="67" spans="2:29" hidden="1" outlineLevel="1" x14ac:dyDescent="0.25">
      <c r="B67" s="288">
        <v>40817</v>
      </c>
      <c r="C67" s="383">
        <v>285805</v>
      </c>
      <c r="D67" s="294">
        <v>38384.767001260821</v>
      </c>
      <c r="E67" s="383">
        <v>22677.749441</v>
      </c>
      <c r="F67" s="383">
        <v>117820</v>
      </c>
      <c r="G67" s="294">
        <v>15783.676314423579</v>
      </c>
      <c r="H67" s="383">
        <v>9325.0079310000001</v>
      </c>
      <c r="I67" s="383">
        <v>403625</v>
      </c>
      <c r="J67" s="294">
        <v>54168.443315684402</v>
      </c>
      <c r="K67" s="383">
        <v>32002.757372</v>
      </c>
      <c r="L67" s="383">
        <v>125210</v>
      </c>
      <c r="M67" s="294">
        <v>17160.768477809161</v>
      </c>
      <c r="N67" s="383">
        <v>10138.595025000001</v>
      </c>
      <c r="O67" s="383">
        <v>89136</v>
      </c>
      <c r="P67" s="294">
        <v>12130.76897183572</v>
      </c>
      <c r="Q67" s="383">
        <v>7166.8675039999998</v>
      </c>
      <c r="R67" s="383">
        <v>214346</v>
      </c>
      <c r="S67" s="294">
        <v>29291.537449644889</v>
      </c>
      <c r="T67" s="383">
        <v>17305.462529</v>
      </c>
      <c r="U67" s="383">
        <v>411015</v>
      </c>
      <c r="V67" s="294">
        <v>55545.535479069978</v>
      </c>
      <c r="W67" s="383">
        <v>32816.344466000002</v>
      </c>
      <c r="X67" s="383">
        <v>206956</v>
      </c>
      <c r="Y67" s="294">
        <v>27914.445286259299</v>
      </c>
      <c r="Z67" s="383">
        <v>16491.875435000002</v>
      </c>
      <c r="AA67" s="383">
        <v>617971</v>
      </c>
      <c r="AB67" s="294">
        <v>83459.980765329296</v>
      </c>
      <c r="AC67" s="383">
        <v>49308.219900999997</v>
      </c>
    </row>
    <row r="68" spans="2:29" hidden="1" outlineLevel="1" x14ac:dyDescent="0.25">
      <c r="B68" s="288">
        <v>40848</v>
      </c>
      <c r="C68" s="383">
        <v>284570</v>
      </c>
      <c r="D68" s="294">
        <v>37641.945253780759</v>
      </c>
      <c r="E68" s="383">
        <v>22309.455910000001</v>
      </c>
      <c r="F68" s="383">
        <v>117123</v>
      </c>
      <c r="G68" s="294">
        <v>15499.629189686621</v>
      </c>
      <c r="H68" s="383">
        <v>9186.2493209999993</v>
      </c>
      <c r="I68" s="383">
        <v>401693</v>
      </c>
      <c r="J68" s="294">
        <v>53141.574443467383</v>
      </c>
      <c r="K68" s="383">
        <v>31495.705231</v>
      </c>
      <c r="L68" s="383">
        <v>124897</v>
      </c>
      <c r="M68" s="294">
        <v>16951.139932952621</v>
      </c>
      <c r="N68" s="383">
        <v>10046.524068000001</v>
      </c>
      <c r="O68" s="383">
        <v>88970</v>
      </c>
      <c r="P68" s="294">
        <v>11967.33601393045</v>
      </c>
      <c r="Q68" s="383">
        <v>7092.7459609999996</v>
      </c>
      <c r="R68" s="383">
        <v>213867</v>
      </c>
      <c r="S68" s="294">
        <v>28918.475946883071</v>
      </c>
      <c r="T68" s="383">
        <v>17139.270028999999</v>
      </c>
      <c r="U68" s="383">
        <v>409467</v>
      </c>
      <c r="V68" s="294">
        <v>54593.085186733377</v>
      </c>
      <c r="W68" s="383">
        <v>32355.979977999999</v>
      </c>
      <c r="X68" s="383">
        <v>206093</v>
      </c>
      <c r="Y68" s="294">
        <v>27466.96520361707</v>
      </c>
      <c r="Z68" s="383">
        <v>16278.995282</v>
      </c>
      <c r="AA68" s="383">
        <v>615560</v>
      </c>
      <c r="AB68" s="294">
        <v>82060.050390350458</v>
      </c>
      <c r="AC68" s="383">
        <v>48634.975259999999</v>
      </c>
    </row>
    <row r="69" spans="2:29" collapsed="1" x14ac:dyDescent="0.25">
      <c r="B69" s="288">
        <v>40878</v>
      </c>
      <c r="C69" s="383">
        <v>287245</v>
      </c>
      <c r="D69" s="294">
        <v>39478.561055621823</v>
      </c>
      <c r="E69" s="383">
        <v>23540.515168000002</v>
      </c>
      <c r="F69" s="383">
        <v>117871</v>
      </c>
      <c r="G69" s="294">
        <v>16101.83586873419</v>
      </c>
      <c r="H69" s="383">
        <v>9601.3000819999997</v>
      </c>
      <c r="I69" s="383">
        <v>405116</v>
      </c>
      <c r="J69" s="294">
        <v>55580.396924356013</v>
      </c>
      <c r="K69" s="383">
        <v>33141.81525</v>
      </c>
      <c r="L69" s="383">
        <v>124792</v>
      </c>
      <c r="M69" s="294">
        <v>16994.000433771289</v>
      </c>
      <c r="N69" s="383">
        <v>10133.285365</v>
      </c>
      <c r="O69" s="383">
        <v>89009</v>
      </c>
      <c r="P69" s="294">
        <v>12006.799641421911</v>
      </c>
      <c r="Q69" s="383">
        <v>7159.4871119999998</v>
      </c>
      <c r="R69" s="383">
        <v>213801</v>
      </c>
      <c r="S69" s="294">
        <v>29000.800075193201</v>
      </c>
      <c r="T69" s="383">
        <v>17292.772476999999</v>
      </c>
      <c r="U69" s="383">
        <v>412037</v>
      </c>
      <c r="V69" s="294">
        <v>56472.561489393112</v>
      </c>
      <c r="W69" s="383">
        <v>33673.800533000001</v>
      </c>
      <c r="X69" s="383">
        <v>206880</v>
      </c>
      <c r="Y69" s="294">
        <v>28108.635510156109</v>
      </c>
      <c r="Z69" s="383">
        <v>16760.787194</v>
      </c>
      <c r="AA69" s="383">
        <v>618917</v>
      </c>
      <c r="AB69" s="294">
        <v>84581.196999549211</v>
      </c>
      <c r="AC69" s="383">
        <v>50434.587726999998</v>
      </c>
    </row>
    <row r="70" spans="2:29" hidden="1" outlineLevel="1" x14ac:dyDescent="0.25">
      <c r="B70" s="288">
        <v>40909</v>
      </c>
      <c r="C70" s="383">
        <v>287462</v>
      </c>
      <c r="D70" s="294">
        <v>38358.347525101613</v>
      </c>
      <c r="E70" s="383">
        <v>22892.678969000001</v>
      </c>
      <c r="F70" s="383">
        <v>117685</v>
      </c>
      <c r="G70" s="294">
        <v>15690.886306708009</v>
      </c>
      <c r="H70" s="383">
        <v>9364.4915939999992</v>
      </c>
      <c r="I70" s="383">
        <v>405147</v>
      </c>
      <c r="J70" s="294">
        <v>54049.233831809623</v>
      </c>
      <c r="K70" s="383">
        <v>32257.170563</v>
      </c>
      <c r="L70" s="383">
        <v>123692</v>
      </c>
      <c r="M70" s="294">
        <v>16707.158063647559</v>
      </c>
      <c r="N70" s="383">
        <v>9971.0136309999998</v>
      </c>
      <c r="O70" s="383">
        <v>88526</v>
      </c>
      <c r="P70" s="294">
        <v>11837.263825227281</v>
      </c>
      <c r="Q70" s="383">
        <v>7064.6077869999999</v>
      </c>
      <c r="R70" s="383">
        <v>212218</v>
      </c>
      <c r="S70" s="294">
        <v>28544.421888874829</v>
      </c>
      <c r="T70" s="383">
        <v>17035.621417999999</v>
      </c>
      <c r="U70" s="383">
        <v>411154</v>
      </c>
      <c r="V70" s="294">
        <v>55065.505588749162</v>
      </c>
      <c r="W70" s="383">
        <v>32863.692600000002</v>
      </c>
      <c r="X70" s="383">
        <v>206211</v>
      </c>
      <c r="Y70" s="294">
        <v>27528.15013193529</v>
      </c>
      <c r="Z70" s="383">
        <v>16429.099381</v>
      </c>
      <c r="AA70" s="383">
        <v>617365</v>
      </c>
      <c r="AB70" s="294">
        <v>82593.655720684459</v>
      </c>
      <c r="AC70" s="383">
        <v>49292.791981000002</v>
      </c>
    </row>
    <row r="71" spans="2:29" hidden="1" outlineLevel="1" x14ac:dyDescent="0.25">
      <c r="B71" s="288">
        <v>40940</v>
      </c>
      <c r="C71" s="383">
        <v>288141</v>
      </c>
      <c r="D71" s="294">
        <v>38461.25278860033</v>
      </c>
      <c r="E71" s="383">
        <v>23043.246652999998</v>
      </c>
      <c r="F71" s="383">
        <v>117647</v>
      </c>
      <c r="G71" s="294">
        <v>15673.6669318405</v>
      </c>
      <c r="H71" s="383">
        <v>9390.5462480000006</v>
      </c>
      <c r="I71" s="383">
        <v>405788</v>
      </c>
      <c r="J71" s="294">
        <v>54134.919720440826</v>
      </c>
      <c r="K71" s="383">
        <v>32433.792901000001</v>
      </c>
      <c r="L71" s="383">
        <v>123321</v>
      </c>
      <c r="M71" s="294">
        <v>16474.80172877252</v>
      </c>
      <c r="N71" s="383">
        <v>9870.5292279999994</v>
      </c>
      <c r="O71" s="383">
        <v>88158</v>
      </c>
      <c r="P71" s="294">
        <v>11704.76426193475</v>
      </c>
      <c r="Q71" s="383">
        <v>7012.662104</v>
      </c>
      <c r="R71" s="383">
        <v>211479</v>
      </c>
      <c r="S71" s="294">
        <v>28179.56599070727</v>
      </c>
      <c r="T71" s="383">
        <v>16883.191331999999</v>
      </c>
      <c r="U71" s="383">
        <v>411462</v>
      </c>
      <c r="V71" s="294">
        <v>54936.054517372853</v>
      </c>
      <c r="W71" s="383">
        <v>32913.775880999987</v>
      </c>
      <c r="X71" s="383">
        <v>205805</v>
      </c>
      <c r="Y71" s="294">
        <v>27378.43119377525</v>
      </c>
      <c r="Z71" s="383">
        <v>16403.208352000001</v>
      </c>
      <c r="AA71" s="383">
        <v>617267</v>
      </c>
      <c r="AB71" s="294">
        <v>82314.485711148096</v>
      </c>
      <c r="AC71" s="383">
        <v>49316.984233000003</v>
      </c>
    </row>
    <row r="72" spans="2:29" hidden="1" outlineLevel="1" x14ac:dyDescent="0.25">
      <c r="B72" s="288">
        <v>40969</v>
      </c>
      <c r="C72" s="383">
        <v>288041</v>
      </c>
      <c r="D72" s="294">
        <v>38351.407324905602</v>
      </c>
      <c r="E72" s="383">
        <v>23014.933635000001</v>
      </c>
      <c r="F72" s="383">
        <v>117683</v>
      </c>
      <c r="G72" s="294">
        <v>15664.891160500079</v>
      </c>
      <c r="H72" s="383">
        <v>9400.6049739999999</v>
      </c>
      <c r="I72" s="383">
        <v>405724</v>
      </c>
      <c r="J72" s="294">
        <v>54016.298485405678</v>
      </c>
      <c r="K72" s="383">
        <v>32415.538608999999</v>
      </c>
      <c r="L72" s="383">
        <v>123408</v>
      </c>
      <c r="M72" s="294">
        <v>16633.279465600721</v>
      </c>
      <c r="N72" s="383">
        <v>9981.7412120000008</v>
      </c>
      <c r="O72" s="383">
        <v>88567</v>
      </c>
      <c r="P72" s="294">
        <v>11908.928431512029</v>
      </c>
      <c r="Q72" s="383">
        <v>7146.6268550000004</v>
      </c>
      <c r="R72" s="383">
        <v>211975</v>
      </c>
      <c r="S72" s="294">
        <v>28542.207897112759</v>
      </c>
      <c r="T72" s="383">
        <v>17128.368066999999</v>
      </c>
      <c r="U72" s="383">
        <v>411449</v>
      </c>
      <c r="V72" s="294">
        <v>54984.686790506334</v>
      </c>
      <c r="W72" s="383">
        <v>32996.674847000002</v>
      </c>
      <c r="X72" s="383">
        <v>206250</v>
      </c>
      <c r="Y72" s="294">
        <v>27573.819592012122</v>
      </c>
      <c r="Z72" s="383">
        <v>16547.231829</v>
      </c>
      <c r="AA72" s="383">
        <v>617699</v>
      </c>
      <c r="AB72" s="294">
        <v>82558.506382518448</v>
      </c>
      <c r="AC72" s="383">
        <v>49543.906675999999</v>
      </c>
    </row>
    <row r="73" spans="2:29" hidden="1" outlineLevel="1" x14ac:dyDescent="0.25">
      <c r="B73" s="288">
        <v>41000</v>
      </c>
      <c r="C73" s="383">
        <v>288120</v>
      </c>
      <c r="D73" s="294">
        <v>38290.923018744463</v>
      </c>
      <c r="E73" s="383">
        <v>22990.287704999999</v>
      </c>
      <c r="F73" s="383">
        <v>117158</v>
      </c>
      <c r="G73" s="294">
        <v>15558.91043056319</v>
      </c>
      <c r="H73" s="383">
        <v>9341.7394769999992</v>
      </c>
      <c r="I73" s="383">
        <v>405278</v>
      </c>
      <c r="J73" s="294">
        <v>53849.833449307647</v>
      </c>
      <c r="K73" s="383">
        <v>32332.027182000002</v>
      </c>
      <c r="L73" s="383">
        <v>122653</v>
      </c>
      <c r="M73" s="294">
        <v>16596.81579976896</v>
      </c>
      <c r="N73" s="383">
        <v>9964.9091779999999</v>
      </c>
      <c r="O73" s="383">
        <v>88182</v>
      </c>
      <c r="P73" s="294">
        <v>11852.27038764867</v>
      </c>
      <c r="Q73" s="383">
        <v>7116.2323779999997</v>
      </c>
      <c r="R73" s="383">
        <v>210835</v>
      </c>
      <c r="S73" s="294">
        <v>28449.08618741763</v>
      </c>
      <c r="T73" s="383">
        <v>17081.141555999999</v>
      </c>
      <c r="U73" s="383">
        <v>410773</v>
      </c>
      <c r="V73" s="294">
        <v>54887.738818513419</v>
      </c>
      <c r="W73" s="383">
        <v>32955.196882999997</v>
      </c>
      <c r="X73" s="383">
        <v>205340</v>
      </c>
      <c r="Y73" s="294">
        <v>27411.180818211851</v>
      </c>
      <c r="Z73" s="383">
        <v>16457.971855</v>
      </c>
      <c r="AA73" s="383">
        <v>616113</v>
      </c>
      <c r="AB73" s="294">
        <v>82298.919636725273</v>
      </c>
      <c r="AC73" s="383">
        <v>49413.168738</v>
      </c>
    </row>
    <row r="74" spans="2:29" hidden="1" outlineLevel="1" x14ac:dyDescent="0.25">
      <c r="B74" s="288">
        <v>41030</v>
      </c>
      <c r="C74" s="383">
        <v>288068</v>
      </c>
      <c r="D74" s="294">
        <v>38136.419520374599</v>
      </c>
      <c r="E74" s="383">
        <v>22904.546229</v>
      </c>
      <c r="F74" s="383">
        <v>117009</v>
      </c>
      <c r="G74" s="294">
        <v>15490.043927219611</v>
      </c>
      <c r="H74" s="383">
        <v>9303.2442919999994</v>
      </c>
      <c r="I74" s="383">
        <v>405077</v>
      </c>
      <c r="J74" s="294">
        <v>53626.463447594208</v>
      </c>
      <c r="K74" s="383">
        <v>32207.790520999999</v>
      </c>
      <c r="L74" s="383">
        <v>122948</v>
      </c>
      <c r="M74" s="294">
        <v>16724.909386669358</v>
      </c>
      <c r="N74" s="383">
        <v>10044.898421</v>
      </c>
      <c r="O74" s="383">
        <v>88223</v>
      </c>
      <c r="P74" s="294">
        <v>11833.020049181991</v>
      </c>
      <c r="Q74" s="383">
        <v>7106.8537150000002</v>
      </c>
      <c r="R74" s="383">
        <v>211171</v>
      </c>
      <c r="S74" s="294">
        <v>28557.929435851351</v>
      </c>
      <c r="T74" s="383">
        <v>17151.752135999999</v>
      </c>
      <c r="U74" s="383">
        <v>411016</v>
      </c>
      <c r="V74" s="294">
        <v>54861.328907043957</v>
      </c>
      <c r="W74" s="383">
        <v>32949.444649999998</v>
      </c>
      <c r="X74" s="383">
        <v>205232</v>
      </c>
      <c r="Y74" s="294">
        <v>27323.063976401601</v>
      </c>
      <c r="Z74" s="383">
        <v>16410.098007000001</v>
      </c>
      <c r="AA74" s="383">
        <v>616248</v>
      </c>
      <c r="AB74" s="294">
        <v>82184.392883445558</v>
      </c>
      <c r="AC74" s="383">
        <v>49359.542656999998</v>
      </c>
    </row>
    <row r="75" spans="2:29" hidden="1" outlineLevel="1" x14ac:dyDescent="0.25">
      <c r="B75" s="288">
        <v>41061</v>
      </c>
      <c r="C75" s="383">
        <v>288374</v>
      </c>
      <c r="D75" s="294">
        <v>38379.93434684517</v>
      </c>
      <c r="E75" s="383">
        <v>22982.535873000001</v>
      </c>
      <c r="F75" s="383">
        <v>117073</v>
      </c>
      <c r="G75" s="294">
        <v>15566.50656046609</v>
      </c>
      <c r="H75" s="383">
        <v>9321.4801310000003</v>
      </c>
      <c r="I75" s="383">
        <v>405447</v>
      </c>
      <c r="J75" s="294">
        <v>53946.440907311262</v>
      </c>
      <c r="K75" s="383">
        <v>32304.016004000001</v>
      </c>
      <c r="L75" s="383">
        <v>123076</v>
      </c>
      <c r="M75" s="294">
        <v>16792.023241296549</v>
      </c>
      <c r="N75" s="383">
        <v>10055.339674000001</v>
      </c>
      <c r="O75" s="383">
        <v>88439</v>
      </c>
      <c r="P75" s="294">
        <v>11933.082335884479</v>
      </c>
      <c r="Q75" s="383">
        <v>7145.7259510000004</v>
      </c>
      <c r="R75" s="383">
        <v>211515</v>
      </c>
      <c r="S75" s="294">
        <v>28725.105577181021</v>
      </c>
      <c r="T75" s="383">
        <v>17201.065624999999</v>
      </c>
      <c r="U75" s="383">
        <v>411450</v>
      </c>
      <c r="V75" s="294">
        <v>55171.957588141711</v>
      </c>
      <c r="W75" s="383">
        <v>33037.875547000003</v>
      </c>
      <c r="X75" s="383">
        <v>205512</v>
      </c>
      <c r="Y75" s="294">
        <v>27499.588896350571</v>
      </c>
      <c r="Z75" s="383">
        <v>16467.206082000001</v>
      </c>
      <c r="AA75" s="383">
        <v>616962</v>
      </c>
      <c r="AB75" s="294">
        <v>82671.546484492283</v>
      </c>
      <c r="AC75" s="383">
        <v>49505.081629</v>
      </c>
    </row>
    <row r="76" spans="2:29" hidden="1" outlineLevel="1" x14ac:dyDescent="0.25">
      <c r="B76" s="288">
        <v>41091</v>
      </c>
      <c r="C76" s="383">
        <v>288929</v>
      </c>
      <c r="D76" s="294">
        <v>39458.386375572707</v>
      </c>
      <c r="E76" s="383">
        <v>23625.224163999999</v>
      </c>
      <c r="F76" s="383">
        <v>117059</v>
      </c>
      <c r="G76" s="294">
        <v>15999.031882379189</v>
      </c>
      <c r="H76" s="383">
        <v>9579.2238190000007</v>
      </c>
      <c r="I76" s="383">
        <v>405988</v>
      </c>
      <c r="J76" s="294">
        <v>55457.418257951889</v>
      </c>
      <c r="K76" s="383">
        <v>33204.447982999998</v>
      </c>
      <c r="L76" s="383">
        <v>122827</v>
      </c>
      <c r="M76" s="294">
        <v>17182.667100620161</v>
      </c>
      <c r="N76" s="383">
        <v>10287.910867000001</v>
      </c>
      <c r="O76" s="383">
        <v>88350</v>
      </c>
      <c r="P76" s="294">
        <v>12242.46058882796</v>
      </c>
      <c r="Q76" s="383">
        <v>7330.0228999999999</v>
      </c>
      <c r="R76" s="383">
        <v>211177</v>
      </c>
      <c r="S76" s="294">
        <v>29425.127689448109</v>
      </c>
      <c r="T76" s="383">
        <v>17617.933766999999</v>
      </c>
      <c r="U76" s="383">
        <v>411756</v>
      </c>
      <c r="V76" s="294">
        <v>56641.053476192857</v>
      </c>
      <c r="W76" s="383">
        <v>33913.135030999998</v>
      </c>
      <c r="X76" s="383">
        <v>205409</v>
      </c>
      <c r="Y76" s="294">
        <v>28241.492471207141</v>
      </c>
      <c r="Z76" s="383">
        <v>16909.246718999999</v>
      </c>
      <c r="AA76" s="383">
        <v>617165</v>
      </c>
      <c r="AB76" s="294">
        <v>84882.545947400009</v>
      </c>
      <c r="AC76" s="383">
        <v>50822.38175</v>
      </c>
    </row>
    <row r="77" spans="2:29" hidden="1" outlineLevel="1" x14ac:dyDescent="0.25">
      <c r="B77" s="288">
        <v>41122</v>
      </c>
      <c r="C77" s="383">
        <v>287830</v>
      </c>
      <c r="D77" s="294">
        <v>39280.733963697203</v>
      </c>
      <c r="E77" s="383">
        <v>23570.869542</v>
      </c>
      <c r="F77" s="383">
        <v>116045</v>
      </c>
      <c r="G77" s="294">
        <v>15840.611903569061</v>
      </c>
      <c r="H77" s="383">
        <v>9505.3467430000001</v>
      </c>
      <c r="I77" s="383">
        <v>403875</v>
      </c>
      <c r="J77" s="294">
        <v>55121.34586726626</v>
      </c>
      <c r="K77" s="383">
        <v>33076.216285000002</v>
      </c>
      <c r="L77" s="383">
        <v>116667</v>
      </c>
      <c r="M77" s="294">
        <v>16064.266520156691</v>
      </c>
      <c r="N77" s="383">
        <v>9639.5533439999999</v>
      </c>
      <c r="O77" s="383">
        <v>81780</v>
      </c>
      <c r="P77" s="294">
        <v>11179.59978042735</v>
      </c>
      <c r="Q77" s="383">
        <v>6708.4512269999996</v>
      </c>
      <c r="R77" s="383">
        <v>198447</v>
      </c>
      <c r="S77" s="294">
        <v>27243.86630058405</v>
      </c>
      <c r="T77" s="383">
        <v>16348.004570999999</v>
      </c>
      <c r="U77" s="383">
        <v>404497</v>
      </c>
      <c r="V77" s="294">
        <v>55345.000483853888</v>
      </c>
      <c r="W77" s="383">
        <v>33210.422886</v>
      </c>
      <c r="X77" s="383">
        <v>197825</v>
      </c>
      <c r="Y77" s="294">
        <v>27020.211683996411</v>
      </c>
      <c r="Z77" s="383">
        <v>16213.79797</v>
      </c>
      <c r="AA77" s="383">
        <v>602322</v>
      </c>
      <c r="AB77" s="294">
        <v>82365.212167850303</v>
      </c>
      <c r="AC77" s="383">
        <v>49424.220856</v>
      </c>
    </row>
    <row r="78" spans="2:29" hidden="1" outlineLevel="1" x14ac:dyDescent="0.25">
      <c r="B78" s="288">
        <v>41153</v>
      </c>
      <c r="C78" s="383">
        <v>287533</v>
      </c>
      <c r="D78" s="294">
        <v>38724.839259338551</v>
      </c>
      <c r="E78" s="383">
        <v>23415.891329999999</v>
      </c>
      <c r="F78" s="383">
        <v>115611</v>
      </c>
      <c r="G78" s="294">
        <v>15549.771330426571</v>
      </c>
      <c r="H78" s="383">
        <v>9402.5375609999992</v>
      </c>
      <c r="I78" s="383">
        <v>403144</v>
      </c>
      <c r="J78" s="294">
        <v>54274.610589765143</v>
      </c>
      <c r="K78" s="383">
        <v>32818.428891000003</v>
      </c>
      <c r="L78" s="383">
        <v>116640</v>
      </c>
      <c r="M78" s="294">
        <v>16175.841474033459</v>
      </c>
      <c r="N78" s="383">
        <v>9781.1057029999993</v>
      </c>
      <c r="O78" s="383">
        <v>81736</v>
      </c>
      <c r="P78" s="294">
        <v>11184.838028167251</v>
      </c>
      <c r="Q78" s="383">
        <v>6763.177248</v>
      </c>
      <c r="R78" s="383">
        <v>198376</v>
      </c>
      <c r="S78" s="294">
        <v>27360.67950220071</v>
      </c>
      <c r="T78" s="383">
        <v>16544.282951000001</v>
      </c>
      <c r="U78" s="383">
        <v>404173</v>
      </c>
      <c r="V78" s="294">
        <v>54900.680733372013</v>
      </c>
      <c r="W78" s="383">
        <v>33196.997033</v>
      </c>
      <c r="X78" s="383">
        <v>197347</v>
      </c>
      <c r="Y78" s="294">
        <v>26734.609358593822</v>
      </c>
      <c r="Z78" s="383">
        <v>16165.714808999999</v>
      </c>
      <c r="AA78" s="383">
        <v>601520</v>
      </c>
      <c r="AB78" s="294">
        <v>81635.290091965842</v>
      </c>
      <c r="AC78" s="383">
        <v>49362.711841999997</v>
      </c>
    </row>
    <row r="79" spans="2:29" hidden="1" outlineLevel="1" x14ac:dyDescent="0.25">
      <c r="B79" s="288">
        <v>41183</v>
      </c>
      <c r="C79" s="383">
        <v>288146</v>
      </c>
      <c r="D79" s="294">
        <v>38930.410474969067</v>
      </c>
      <c r="E79" s="383">
        <v>23671.707484999999</v>
      </c>
      <c r="F79" s="383">
        <v>115666</v>
      </c>
      <c r="G79" s="294">
        <v>15633.06003789685</v>
      </c>
      <c r="H79" s="383">
        <v>9505.7108260000005</v>
      </c>
      <c r="I79" s="383">
        <v>403812</v>
      </c>
      <c r="J79" s="294">
        <v>54563.470512865933</v>
      </c>
      <c r="K79" s="383">
        <v>33177.418311000001</v>
      </c>
      <c r="L79" s="383">
        <v>115891</v>
      </c>
      <c r="M79" s="294">
        <v>15601.930310226069</v>
      </c>
      <c r="N79" s="383">
        <v>9486.7823380000009</v>
      </c>
      <c r="O79" s="383">
        <v>81467</v>
      </c>
      <c r="P79" s="294">
        <v>10922.84173219237</v>
      </c>
      <c r="Q79" s="383">
        <v>6641.6539469999998</v>
      </c>
      <c r="R79" s="383">
        <v>197358</v>
      </c>
      <c r="S79" s="294">
        <v>26524.772042418441</v>
      </c>
      <c r="T79" s="383">
        <v>16128.436285</v>
      </c>
      <c r="U79" s="383">
        <v>404037</v>
      </c>
      <c r="V79" s="294">
        <v>54532.340785195127</v>
      </c>
      <c r="W79" s="383">
        <v>33158.489823000004</v>
      </c>
      <c r="X79" s="383">
        <v>197133</v>
      </c>
      <c r="Y79" s="294">
        <v>26555.901770089218</v>
      </c>
      <c r="Z79" s="383">
        <v>16147.364772999999</v>
      </c>
      <c r="AA79" s="383">
        <v>601170</v>
      </c>
      <c r="AB79" s="294">
        <v>81088.242555284363</v>
      </c>
      <c r="AC79" s="383">
        <v>49305.854595999997</v>
      </c>
    </row>
    <row r="80" spans="2:29" hidden="1" outlineLevel="1" x14ac:dyDescent="0.25">
      <c r="B80" s="288">
        <v>41214</v>
      </c>
      <c r="C80" s="383">
        <v>288062</v>
      </c>
      <c r="D80" s="294">
        <v>38802.346201200882</v>
      </c>
      <c r="E80" s="383">
        <v>23487.576331</v>
      </c>
      <c r="F80" s="383">
        <v>115528</v>
      </c>
      <c r="G80" s="294">
        <v>15555.525314285451</v>
      </c>
      <c r="H80" s="383">
        <v>9415.9664030000004</v>
      </c>
      <c r="I80" s="383">
        <v>403590</v>
      </c>
      <c r="J80" s="294">
        <v>54357.871515486331</v>
      </c>
      <c r="K80" s="383">
        <v>32903.542734000002</v>
      </c>
      <c r="L80" s="383">
        <v>115087</v>
      </c>
      <c r="M80" s="294">
        <v>16073.17097416075</v>
      </c>
      <c r="N80" s="383">
        <v>9729.3042069999992</v>
      </c>
      <c r="O80" s="383">
        <v>81174</v>
      </c>
      <c r="P80" s="294">
        <v>11195.520202402629</v>
      </c>
      <c r="Q80" s="383">
        <v>6776.7973089999996</v>
      </c>
      <c r="R80" s="383">
        <v>196261</v>
      </c>
      <c r="S80" s="294">
        <v>27268.691176563381</v>
      </c>
      <c r="T80" s="383">
        <v>16506.101515999999</v>
      </c>
      <c r="U80" s="383">
        <v>403149</v>
      </c>
      <c r="V80" s="294">
        <v>54875.517175361631</v>
      </c>
      <c r="W80" s="383">
        <v>33216.880537999998</v>
      </c>
      <c r="X80" s="383">
        <v>196702</v>
      </c>
      <c r="Y80" s="294">
        <v>26751.045516688078</v>
      </c>
      <c r="Z80" s="383">
        <v>16192.763712</v>
      </c>
      <c r="AA80" s="383">
        <v>599851</v>
      </c>
      <c r="AB80" s="294">
        <v>81626.562692049716</v>
      </c>
      <c r="AC80" s="383">
        <v>49409.644249999998</v>
      </c>
    </row>
    <row r="81" spans="2:29" collapsed="1" x14ac:dyDescent="0.25">
      <c r="B81" s="288">
        <v>41244</v>
      </c>
      <c r="C81" s="383">
        <v>290081</v>
      </c>
      <c r="D81" s="294">
        <v>39585.034500762813</v>
      </c>
      <c r="E81" s="383">
        <v>23954.986983999999</v>
      </c>
      <c r="F81" s="383">
        <v>116042</v>
      </c>
      <c r="G81" s="294">
        <v>15796.901460058411</v>
      </c>
      <c r="H81" s="383">
        <v>9559.5361639999992</v>
      </c>
      <c r="I81" s="383">
        <v>406123</v>
      </c>
      <c r="J81" s="294">
        <v>55381.935960821233</v>
      </c>
      <c r="K81" s="383">
        <v>33514.523148</v>
      </c>
      <c r="L81" s="383">
        <v>114101</v>
      </c>
      <c r="M81" s="294">
        <v>15700.2404840693</v>
      </c>
      <c r="N81" s="383">
        <v>9501.0415219999995</v>
      </c>
      <c r="O81" s="383">
        <v>80753</v>
      </c>
      <c r="P81" s="294">
        <v>11000.12233969173</v>
      </c>
      <c r="Q81" s="383">
        <v>6656.7527550000004</v>
      </c>
      <c r="R81" s="383">
        <v>194854</v>
      </c>
      <c r="S81" s="294">
        <v>26700.362823761028</v>
      </c>
      <c r="T81" s="383">
        <v>16157.794277000001</v>
      </c>
      <c r="U81" s="383">
        <v>404182</v>
      </c>
      <c r="V81" s="294">
        <v>55285.274984832118</v>
      </c>
      <c r="W81" s="383">
        <v>33456.028506000002</v>
      </c>
      <c r="X81" s="383">
        <v>196795</v>
      </c>
      <c r="Y81" s="294">
        <v>26797.023799750139</v>
      </c>
      <c r="Z81" s="383">
        <v>16216.288919000001</v>
      </c>
      <c r="AA81" s="383">
        <v>600977</v>
      </c>
      <c r="AB81" s="294">
        <v>82082.298784582264</v>
      </c>
      <c r="AC81" s="383">
        <v>49672.317425000001</v>
      </c>
    </row>
    <row r="82" spans="2:29" hidden="1" outlineLevel="1" x14ac:dyDescent="0.25">
      <c r="B82" s="288">
        <v>41275</v>
      </c>
      <c r="C82" s="383">
        <v>291117</v>
      </c>
      <c r="D82" s="294">
        <v>39300.818207243043</v>
      </c>
      <c r="E82" s="383">
        <v>23825.269948000001</v>
      </c>
      <c r="F82" s="383">
        <v>116175</v>
      </c>
      <c r="G82" s="294">
        <v>15655.778697247049</v>
      </c>
      <c r="H82" s="383">
        <v>9490.9767969999994</v>
      </c>
      <c r="I82" s="383">
        <v>407292</v>
      </c>
      <c r="J82" s="294">
        <v>54956.596904490078</v>
      </c>
      <c r="K82" s="383">
        <v>33316.246744999997</v>
      </c>
      <c r="L82" s="383">
        <v>114577</v>
      </c>
      <c r="M82" s="294">
        <v>15886.100255671079</v>
      </c>
      <c r="N82" s="383">
        <v>9630.6042539999999</v>
      </c>
      <c r="O82" s="383">
        <v>80974</v>
      </c>
      <c r="P82" s="294">
        <v>11080.73403713675</v>
      </c>
      <c r="Q82" s="383">
        <v>6717.4550479999998</v>
      </c>
      <c r="R82" s="383">
        <v>195551</v>
      </c>
      <c r="S82" s="294">
        <v>26966.834292807831</v>
      </c>
      <c r="T82" s="383">
        <v>16348.059302</v>
      </c>
      <c r="U82" s="383">
        <v>405694</v>
      </c>
      <c r="V82" s="294">
        <v>55186.918462914116</v>
      </c>
      <c r="W82" s="383">
        <v>33455.874201999999</v>
      </c>
      <c r="X82" s="383">
        <v>197149</v>
      </c>
      <c r="Y82" s="294">
        <v>26736.512734383799</v>
      </c>
      <c r="Z82" s="383">
        <v>16208.431844999999</v>
      </c>
      <c r="AA82" s="383">
        <v>602843</v>
      </c>
      <c r="AB82" s="294">
        <v>81923.431197297905</v>
      </c>
      <c r="AC82" s="383">
        <v>49664.306046999998</v>
      </c>
    </row>
    <row r="83" spans="2:29" hidden="1" outlineLevel="1" x14ac:dyDescent="0.25">
      <c r="B83" s="288">
        <v>41306</v>
      </c>
      <c r="C83" s="383">
        <v>291221</v>
      </c>
      <c r="D83" s="294">
        <v>39007.784540712652</v>
      </c>
      <c r="E83" s="383">
        <v>23675.656448000002</v>
      </c>
      <c r="F83" s="383">
        <v>116163</v>
      </c>
      <c r="G83" s="294">
        <v>15571.775275540809</v>
      </c>
      <c r="H83" s="383">
        <v>9451.241747</v>
      </c>
      <c r="I83" s="383">
        <v>407384</v>
      </c>
      <c r="J83" s="294">
        <v>54579.559816253459</v>
      </c>
      <c r="K83" s="383">
        <v>33126.898195000002</v>
      </c>
      <c r="L83" s="383">
        <v>114575</v>
      </c>
      <c r="M83" s="294">
        <v>15764.886204025761</v>
      </c>
      <c r="N83" s="383">
        <v>9568.4498390000008</v>
      </c>
      <c r="O83" s="383">
        <v>81066</v>
      </c>
      <c r="P83" s="294">
        <v>11069.02867907801</v>
      </c>
      <c r="Q83" s="383">
        <v>6718.313365</v>
      </c>
      <c r="R83" s="383">
        <v>195641</v>
      </c>
      <c r="S83" s="294">
        <v>26833.914883103771</v>
      </c>
      <c r="T83" s="383">
        <v>16286.763204000001</v>
      </c>
      <c r="U83" s="383">
        <v>405796</v>
      </c>
      <c r="V83" s="294">
        <v>54772.670744738411</v>
      </c>
      <c r="W83" s="383">
        <v>33244.106287000002</v>
      </c>
      <c r="X83" s="383">
        <v>197229</v>
      </c>
      <c r="Y83" s="294">
        <v>26640.803954618819</v>
      </c>
      <c r="Z83" s="383">
        <v>16169.555112</v>
      </c>
      <c r="AA83" s="383">
        <v>603025</v>
      </c>
      <c r="AB83" s="294">
        <v>81413.474699357233</v>
      </c>
      <c r="AC83" s="383">
        <v>49413.661398999997</v>
      </c>
    </row>
    <row r="84" spans="2:29" hidden="1" outlineLevel="1" x14ac:dyDescent="0.25">
      <c r="B84" s="288">
        <v>41334</v>
      </c>
      <c r="C84" s="383">
        <v>290983</v>
      </c>
      <c r="D84" s="294">
        <v>38801.272712072707</v>
      </c>
      <c r="E84" s="383">
        <v>23681.559782</v>
      </c>
      <c r="F84" s="383">
        <v>116050</v>
      </c>
      <c r="G84" s="294">
        <v>15474.553007521279</v>
      </c>
      <c r="H84" s="383">
        <v>9444.5755649999992</v>
      </c>
      <c r="I84" s="383">
        <v>407033</v>
      </c>
      <c r="J84" s="294">
        <v>54275.825719594002</v>
      </c>
      <c r="K84" s="383">
        <v>33126.135347000003</v>
      </c>
      <c r="L84" s="383">
        <v>114606</v>
      </c>
      <c r="M84" s="294">
        <v>15716.89403469008</v>
      </c>
      <c r="N84" s="383">
        <v>9592.4834329999994</v>
      </c>
      <c r="O84" s="383">
        <v>81057</v>
      </c>
      <c r="P84" s="294">
        <v>10999.192341536391</v>
      </c>
      <c r="Q84" s="383">
        <v>6713.1311109999997</v>
      </c>
      <c r="R84" s="383">
        <v>195663</v>
      </c>
      <c r="S84" s="294">
        <v>26716.086376226482</v>
      </c>
      <c r="T84" s="383">
        <v>16305.614544</v>
      </c>
      <c r="U84" s="383">
        <v>405589</v>
      </c>
      <c r="V84" s="294">
        <v>54518.166746762792</v>
      </c>
      <c r="W84" s="383">
        <v>33274.043214999998</v>
      </c>
      <c r="X84" s="383">
        <v>197107</v>
      </c>
      <c r="Y84" s="294">
        <v>26473.74534905767</v>
      </c>
      <c r="Z84" s="383">
        <v>16157.706676</v>
      </c>
      <c r="AA84" s="383">
        <v>602696</v>
      </c>
      <c r="AB84" s="294">
        <v>80991.912095820473</v>
      </c>
      <c r="AC84" s="383">
        <v>49431.749890999999</v>
      </c>
    </row>
    <row r="85" spans="2:29" hidden="1" outlineLevel="1" x14ac:dyDescent="0.25">
      <c r="B85" s="288">
        <v>41365</v>
      </c>
      <c r="C85" s="383">
        <v>291102</v>
      </c>
      <c r="D85" s="294">
        <v>38920.970298582208</v>
      </c>
      <c r="E85" s="383">
        <v>23712.734690000001</v>
      </c>
      <c r="F85" s="383">
        <v>116061</v>
      </c>
      <c r="G85" s="294">
        <v>15537.889254664449</v>
      </c>
      <c r="H85" s="383">
        <v>9466.5123380000005</v>
      </c>
      <c r="I85" s="383">
        <v>407163</v>
      </c>
      <c r="J85" s="294">
        <v>54458.859553246657</v>
      </c>
      <c r="K85" s="383">
        <v>33179.247027999998</v>
      </c>
      <c r="L85" s="383">
        <v>114367</v>
      </c>
      <c r="M85" s="294">
        <v>15558.637986403981</v>
      </c>
      <c r="N85" s="383">
        <v>9479.1535739999999</v>
      </c>
      <c r="O85" s="383">
        <v>81062</v>
      </c>
      <c r="P85" s="294">
        <v>10936.129004146889</v>
      </c>
      <c r="Q85" s="383">
        <v>6662.8741170000003</v>
      </c>
      <c r="R85" s="383">
        <v>195429</v>
      </c>
      <c r="S85" s="294">
        <v>26494.76699055087</v>
      </c>
      <c r="T85" s="383">
        <v>16142.027690999999</v>
      </c>
      <c r="U85" s="383">
        <v>405469</v>
      </c>
      <c r="V85" s="294">
        <v>54479.608284986192</v>
      </c>
      <c r="W85" s="383">
        <v>33191.888264000001</v>
      </c>
      <c r="X85" s="383">
        <v>197123</v>
      </c>
      <c r="Y85" s="294">
        <v>26474.018258811349</v>
      </c>
      <c r="Z85" s="383">
        <v>16129.386455</v>
      </c>
      <c r="AA85" s="383">
        <v>602592</v>
      </c>
      <c r="AB85" s="294">
        <v>80953.626543797523</v>
      </c>
      <c r="AC85" s="383">
        <v>49321.274718999986</v>
      </c>
    </row>
    <row r="86" spans="2:29" hidden="1" outlineLevel="1" x14ac:dyDescent="0.25">
      <c r="B86" s="288">
        <v>41395</v>
      </c>
      <c r="C86" s="383">
        <v>287944</v>
      </c>
      <c r="D86" s="294">
        <v>38344.374772854069</v>
      </c>
      <c r="E86" s="383">
        <v>23349.133922000001</v>
      </c>
      <c r="F86" s="383">
        <v>115158</v>
      </c>
      <c r="G86" s="294">
        <v>15294.903527790109</v>
      </c>
      <c r="H86" s="383">
        <v>9313.5630170000004</v>
      </c>
      <c r="I86" s="383">
        <v>403102</v>
      </c>
      <c r="J86" s="294">
        <v>53639.278300644182</v>
      </c>
      <c r="K86" s="383">
        <v>32662.696939000001</v>
      </c>
      <c r="L86" s="383">
        <v>113862</v>
      </c>
      <c r="M86" s="294">
        <v>15517.44806435252</v>
      </c>
      <c r="N86" s="383">
        <v>9449.0776060000007</v>
      </c>
      <c r="O86" s="383">
        <v>80923</v>
      </c>
      <c r="P86" s="294">
        <v>10908.921287225039</v>
      </c>
      <c r="Q86" s="383">
        <v>6642.7961230000001</v>
      </c>
      <c r="R86" s="383">
        <v>194785</v>
      </c>
      <c r="S86" s="294">
        <v>26426.369351577559</v>
      </c>
      <c r="T86" s="383">
        <v>16091.873729000001</v>
      </c>
      <c r="U86" s="383">
        <v>401806</v>
      </c>
      <c r="V86" s="294">
        <v>53861.822837206593</v>
      </c>
      <c r="W86" s="383">
        <v>32798.211528</v>
      </c>
      <c r="X86" s="383">
        <v>196081</v>
      </c>
      <c r="Y86" s="294">
        <v>26203.824815015141</v>
      </c>
      <c r="Z86" s="383">
        <v>15956.35914</v>
      </c>
      <c r="AA86" s="383">
        <v>597887</v>
      </c>
      <c r="AB86" s="294">
        <v>80065.647652221742</v>
      </c>
      <c r="AC86" s="383">
        <v>48754.570668</v>
      </c>
    </row>
    <row r="87" spans="2:29" hidden="1" outlineLevel="1" x14ac:dyDescent="0.25">
      <c r="B87" s="288">
        <v>41426</v>
      </c>
      <c r="C87" s="383">
        <v>287746</v>
      </c>
      <c r="D87" s="294">
        <v>38123.748889032096</v>
      </c>
      <c r="E87" s="383">
        <v>23321.256514000001</v>
      </c>
      <c r="F87" s="383">
        <v>114755</v>
      </c>
      <c r="G87" s="294">
        <v>15166.88779524482</v>
      </c>
      <c r="H87" s="383">
        <v>9277.9669130000002</v>
      </c>
      <c r="I87" s="383">
        <v>402501</v>
      </c>
      <c r="J87" s="294">
        <v>53290.636684276913</v>
      </c>
      <c r="K87" s="383">
        <v>32599.223427000001</v>
      </c>
      <c r="L87" s="383">
        <v>113747</v>
      </c>
      <c r="M87" s="294">
        <v>15432.339370146919</v>
      </c>
      <c r="N87" s="383">
        <v>9440.3503209999999</v>
      </c>
      <c r="O87" s="383">
        <v>80780</v>
      </c>
      <c r="P87" s="294">
        <v>10859.953584999161</v>
      </c>
      <c r="Q87" s="383">
        <v>6643.3068800000001</v>
      </c>
      <c r="R87" s="383">
        <v>194527</v>
      </c>
      <c r="S87" s="294">
        <v>26292.29295514608</v>
      </c>
      <c r="T87" s="383">
        <v>16083.657201</v>
      </c>
      <c r="U87" s="383">
        <v>401493</v>
      </c>
      <c r="V87" s="294">
        <v>53556.088259179007</v>
      </c>
      <c r="W87" s="383">
        <v>32761.606834999999</v>
      </c>
      <c r="X87" s="383">
        <v>195535</v>
      </c>
      <c r="Y87" s="294">
        <v>26026.841380243979</v>
      </c>
      <c r="Z87" s="383">
        <v>15921.273793</v>
      </c>
      <c r="AA87" s="383">
        <v>597028</v>
      </c>
      <c r="AB87" s="294">
        <v>79582.929639422975</v>
      </c>
      <c r="AC87" s="383">
        <v>48682.880627999999</v>
      </c>
    </row>
    <row r="88" spans="2:29" hidden="1" outlineLevel="1" x14ac:dyDescent="0.25">
      <c r="B88" s="288">
        <v>41456</v>
      </c>
      <c r="C88" s="383">
        <v>286900</v>
      </c>
      <c r="D88" s="294">
        <v>38422.599489163556</v>
      </c>
      <c r="E88" s="383">
        <v>23516.711159999999</v>
      </c>
      <c r="F88" s="383">
        <v>113823</v>
      </c>
      <c r="G88" s="294">
        <v>15210.51836862561</v>
      </c>
      <c r="H88" s="383">
        <v>9309.6607679999997</v>
      </c>
      <c r="I88" s="383">
        <v>400723</v>
      </c>
      <c r="J88" s="294">
        <v>53633.117857789162</v>
      </c>
      <c r="K88" s="383">
        <v>32826.371928</v>
      </c>
      <c r="L88" s="383">
        <v>113259</v>
      </c>
      <c r="M88" s="294">
        <v>15591.631167364239</v>
      </c>
      <c r="N88" s="383">
        <v>9542.9224350000004</v>
      </c>
      <c r="O88" s="383">
        <v>80448</v>
      </c>
      <c r="P88" s="294">
        <v>10982.114097141</v>
      </c>
      <c r="Q88" s="383">
        <v>6721.6484200000004</v>
      </c>
      <c r="R88" s="383">
        <v>193707</v>
      </c>
      <c r="S88" s="294">
        <v>26573.74526450524</v>
      </c>
      <c r="T88" s="383">
        <v>16264.570855</v>
      </c>
      <c r="U88" s="383">
        <v>400159</v>
      </c>
      <c r="V88" s="294">
        <v>54014.230656527798</v>
      </c>
      <c r="W88" s="383">
        <v>33059.633594999999</v>
      </c>
      <c r="X88" s="383">
        <v>194271</v>
      </c>
      <c r="Y88" s="294">
        <v>26192.632465766601</v>
      </c>
      <c r="Z88" s="383">
        <v>16031.309187999999</v>
      </c>
      <c r="AA88" s="383">
        <v>594430</v>
      </c>
      <c r="AB88" s="294">
        <v>80206.863122294395</v>
      </c>
      <c r="AC88" s="383">
        <v>49090.942782999999</v>
      </c>
    </row>
    <row r="89" spans="2:29" hidden="1" outlineLevel="1" x14ac:dyDescent="0.25">
      <c r="B89" s="288">
        <v>41487</v>
      </c>
      <c r="C89" s="383">
        <v>286299</v>
      </c>
      <c r="D89" s="294">
        <v>38459.906331455633</v>
      </c>
      <c r="E89" s="383">
        <v>23606.504903000001</v>
      </c>
      <c r="F89" s="383">
        <v>112889</v>
      </c>
      <c r="G89" s="294">
        <v>15141.0136915197</v>
      </c>
      <c r="H89" s="383">
        <v>9293.481135</v>
      </c>
      <c r="I89" s="383">
        <v>399188</v>
      </c>
      <c r="J89" s="294">
        <v>53600.920022975333</v>
      </c>
      <c r="K89" s="383">
        <v>32899.986038000003</v>
      </c>
      <c r="L89" s="383">
        <v>112410</v>
      </c>
      <c r="M89" s="294">
        <v>15291.478186672821</v>
      </c>
      <c r="N89" s="383">
        <v>9385.8355159999992</v>
      </c>
      <c r="O89" s="383">
        <v>79869</v>
      </c>
      <c r="P89" s="294">
        <v>10790.6907717144</v>
      </c>
      <c r="Q89" s="383">
        <v>6623.273921</v>
      </c>
      <c r="R89" s="383">
        <v>192279</v>
      </c>
      <c r="S89" s="294">
        <v>26082.16895838721</v>
      </c>
      <c r="T89" s="383">
        <v>16009.109436999999</v>
      </c>
      <c r="U89" s="383">
        <v>398709</v>
      </c>
      <c r="V89" s="294">
        <v>53751.384518128441</v>
      </c>
      <c r="W89" s="383">
        <v>32992.340419</v>
      </c>
      <c r="X89" s="383">
        <v>192758</v>
      </c>
      <c r="Y89" s="294">
        <v>25931.704463234099</v>
      </c>
      <c r="Z89" s="383">
        <v>15916.755056</v>
      </c>
      <c r="AA89" s="383">
        <v>591467</v>
      </c>
      <c r="AB89" s="294">
        <v>79683.08898136254</v>
      </c>
      <c r="AC89" s="383">
        <v>48909.095475000002</v>
      </c>
    </row>
    <row r="90" spans="2:29" hidden="1" outlineLevel="1" x14ac:dyDescent="0.25">
      <c r="B90" s="288">
        <v>41518</v>
      </c>
      <c r="C90" s="383">
        <v>287419</v>
      </c>
      <c r="D90" s="294">
        <v>39591.496517927342</v>
      </c>
      <c r="E90" s="383">
        <v>24419.698527</v>
      </c>
      <c r="F90" s="383">
        <v>112931</v>
      </c>
      <c r="G90" s="294">
        <v>15820.509110478781</v>
      </c>
      <c r="H90" s="383">
        <v>9757.9555459999992</v>
      </c>
      <c r="I90" s="383">
        <v>400350</v>
      </c>
      <c r="J90" s="294">
        <v>55412.005628406121</v>
      </c>
      <c r="K90" s="383">
        <v>34177.654072999998</v>
      </c>
      <c r="L90" s="383">
        <v>110949</v>
      </c>
      <c r="M90" s="294">
        <v>15197.271097371869</v>
      </c>
      <c r="N90" s="383">
        <v>9373.5476369999997</v>
      </c>
      <c r="O90" s="383">
        <v>78807</v>
      </c>
      <c r="P90" s="294">
        <v>10558.230749521061</v>
      </c>
      <c r="Q90" s="383">
        <v>6512.2269820000001</v>
      </c>
      <c r="R90" s="383">
        <v>189756</v>
      </c>
      <c r="S90" s="294">
        <v>25755.50184689293</v>
      </c>
      <c r="T90" s="383">
        <v>15885.774619</v>
      </c>
      <c r="U90" s="383">
        <v>398368</v>
      </c>
      <c r="V90" s="294">
        <v>54788.767615299214</v>
      </c>
      <c r="W90" s="383">
        <v>33793.246163999996</v>
      </c>
      <c r="X90" s="383">
        <v>191738</v>
      </c>
      <c r="Y90" s="294">
        <v>26378.739859999841</v>
      </c>
      <c r="Z90" s="383">
        <v>16270.182527999999</v>
      </c>
      <c r="AA90" s="383">
        <v>590106</v>
      </c>
      <c r="AB90" s="294">
        <v>81167.507475299048</v>
      </c>
      <c r="AC90" s="383">
        <v>50063.428692000001</v>
      </c>
    </row>
    <row r="91" spans="2:29" hidden="1" outlineLevel="1" x14ac:dyDescent="0.25">
      <c r="B91" s="288">
        <v>41548</v>
      </c>
      <c r="C91" s="383">
        <v>287421</v>
      </c>
      <c r="D91" s="294">
        <v>38687.060755626902</v>
      </c>
      <c r="E91" s="383">
        <v>23932.815301999999</v>
      </c>
      <c r="F91" s="383">
        <v>112713</v>
      </c>
      <c r="G91" s="294">
        <v>15212.35168899531</v>
      </c>
      <c r="H91" s="383">
        <v>9410.7537809999994</v>
      </c>
      <c r="I91" s="383">
        <v>400134</v>
      </c>
      <c r="J91" s="294">
        <v>53899.412444622212</v>
      </c>
      <c r="K91" s="383">
        <v>33343.569083000002</v>
      </c>
      <c r="L91" s="383">
        <v>110059</v>
      </c>
      <c r="M91" s="294">
        <v>14973.8172026955</v>
      </c>
      <c r="N91" s="383">
        <v>9263.1901849999995</v>
      </c>
      <c r="O91" s="383">
        <v>77668</v>
      </c>
      <c r="P91" s="294">
        <v>10415.476459488689</v>
      </c>
      <c r="Q91" s="383">
        <v>6443.2828319999999</v>
      </c>
      <c r="R91" s="383">
        <v>187727</v>
      </c>
      <c r="S91" s="294">
        <v>25389.293662184191</v>
      </c>
      <c r="T91" s="383">
        <v>15706.473017</v>
      </c>
      <c r="U91" s="383">
        <v>397480</v>
      </c>
      <c r="V91" s="294">
        <v>53660.877958322388</v>
      </c>
      <c r="W91" s="383">
        <v>33196.005487000002</v>
      </c>
      <c r="X91" s="383">
        <v>190381</v>
      </c>
      <c r="Y91" s="294">
        <v>25627.828148484001</v>
      </c>
      <c r="Z91" s="383">
        <v>15854.036613</v>
      </c>
      <c r="AA91" s="383">
        <v>587861</v>
      </c>
      <c r="AB91" s="294">
        <v>79288.706106806407</v>
      </c>
      <c r="AC91" s="383">
        <v>49050.042100000013</v>
      </c>
    </row>
    <row r="92" spans="2:29" hidden="1" outlineLevel="1" x14ac:dyDescent="0.25">
      <c r="B92" s="288">
        <v>41579</v>
      </c>
      <c r="C92" s="383">
        <v>288032</v>
      </c>
      <c r="D92" s="294">
        <v>38671.362100737053</v>
      </c>
      <c r="E92" s="383">
        <v>23981.533175</v>
      </c>
      <c r="F92" s="383">
        <v>112717</v>
      </c>
      <c r="G92" s="294">
        <v>15126.225547364909</v>
      </c>
      <c r="H92" s="383">
        <v>9380.3284930000009</v>
      </c>
      <c r="I92" s="383">
        <v>400749</v>
      </c>
      <c r="J92" s="294">
        <v>53797.587648101959</v>
      </c>
      <c r="K92" s="383">
        <v>33361.861667999998</v>
      </c>
      <c r="L92" s="383">
        <v>109706</v>
      </c>
      <c r="M92" s="294">
        <v>14882.651073333611</v>
      </c>
      <c r="N92" s="383">
        <v>9229.2790079999995</v>
      </c>
      <c r="O92" s="383">
        <v>77463</v>
      </c>
      <c r="P92" s="294">
        <v>10316.895837813991</v>
      </c>
      <c r="Q92" s="383">
        <v>6397.8863520000004</v>
      </c>
      <c r="R92" s="383">
        <v>187169</v>
      </c>
      <c r="S92" s="294">
        <v>25199.546911147601</v>
      </c>
      <c r="T92" s="383">
        <v>15627.165360000001</v>
      </c>
      <c r="U92" s="383">
        <v>397738</v>
      </c>
      <c r="V92" s="294">
        <v>53554.013174070657</v>
      </c>
      <c r="W92" s="383">
        <v>33210.812183000002</v>
      </c>
      <c r="X92" s="383">
        <v>190180</v>
      </c>
      <c r="Y92" s="294">
        <v>25443.1213851789</v>
      </c>
      <c r="Z92" s="383">
        <v>15778.214845</v>
      </c>
      <c r="AA92" s="383">
        <v>587918</v>
      </c>
      <c r="AB92" s="294">
        <v>78997.134559249564</v>
      </c>
      <c r="AC92" s="383">
        <v>48989.027027999997</v>
      </c>
    </row>
    <row r="93" spans="2:29" collapsed="1" x14ac:dyDescent="0.25">
      <c r="B93" s="288">
        <v>41609</v>
      </c>
      <c r="C93" s="383">
        <v>288459</v>
      </c>
      <c r="D93" s="294">
        <v>38570.447592787386</v>
      </c>
      <c r="E93" s="383">
        <v>24003.442306000001</v>
      </c>
      <c r="F93" s="383">
        <v>112309</v>
      </c>
      <c r="G93" s="294">
        <v>15022.364403001069</v>
      </c>
      <c r="H93" s="383">
        <v>9348.8273989999998</v>
      </c>
      <c r="I93" s="383">
        <v>400768</v>
      </c>
      <c r="J93" s="294">
        <v>53592.811995788448</v>
      </c>
      <c r="K93" s="383">
        <v>33352.269704999999</v>
      </c>
      <c r="L93" s="383">
        <v>109144</v>
      </c>
      <c r="M93" s="294">
        <v>14639.506024416291</v>
      </c>
      <c r="N93" s="383">
        <v>9110.5641799999994</v>
      </c>
      <c r="O93" s="383">
        <v>77638</v>
      </c>
      <c r="P93" s="294">
        <v>10157.72885229364</v>
      </c>
      <c r="Q93" s="383">
        <v>6321.4319169999999</v>
      </c>
      <c r="R93" s="383">
        <v>186782</v>
      </c>
      <c r="S93" s="294">
        <v>24797.234876709939</v>
      </c>
      <c r="T93" s="383">
        <v>15431.996096999999</v>
      </c>
      <c r="U93" s="383">
        <v>397603</v>
      </c>
      <c r="V93" s="294">
        <v>53209.953617203682</v>
      </c>
      <c r="W93" s="383">
        <v>33114.006485999998</v>
      </c>
      <c r="X93" s="383">
        <v>189947</v>
      </c>
      <c r="Y93" s="294">
        <v>25180.093255294709</v>
      </c>
      <c r="Z93" s="383">
        <v>15670.259316</v>
      </c>
      <c r="AA93" s="383">
        <v>587550</v>
      </c>
      <c r="AB93" s="294">
        <v>78390.04687249838</v>
      </c>
      <c r="AC93" s="383">
        <v>48784.265801999987</v>
      </c>
    </row>
    <row r="94" spans="2:29" hidden="1" outlineLevel="1" x14ac:dyDescent="0.25">
      <c r="B94" s="288">
        <v>41640</v>
      </c>
      <c r="C94" s="383">
        <v>287495</v>
      </c>
      <c r="D94" s="294">
        <v>38324.778967178398</v>
      </c>
      <c r="E94" s="383">
        <v>23893.249675999999</v>
      </c>
      <c r="F94" s="383">
        <v>111320</v>
      </c>
      <c r="G94" s="294">
        <v>14829.36314724664</v>
      </c>
      <c r="H94" s="383">
        <v>9245.2373050000006</v>
      </c>
      <c r="I94" s="383">
        <v>398815</v>
      </c>
      <c r="J94" s="294">
        <v>53154.142114425042</v>
      </c>
      <c r="K94" s="383">
        <v>33138.486981000002</v>
      </c>
      <c r="L94" s="383">
        <v>108852</v>
      </c>
      <c r="M94" s="294">
        <v>14880.563102176769</v>
      </c>
      <c r="N94" s="383">
        <v>9277.1574710000004</v>
      </c>
      <c r="O94" s="383">
        <v>77061</v>
      </c>
      <c r="P94" s="294">
        <v>10348.88195295778</v>
      </c>
      <c r="Q94" s="383">
        <v>6451.920325</v>
      </c>
      <c r="R94" s="383">
        <v>185913</v>
      </c>
      <c r="S94" s="294">
        <v>25229.445055134562</v>
      </c>
      <c r="T94" s="383">
        <v>15729.077796</v>
      </c>
      <c r="U94" s="383">
        <v>396347</v>
      </c>
      <c r="V94" s="294">
        <v>53205.342069355167</v>
      </c>
      <c r="W94" s="383">
        <v>33170.407146999998</v>
      </c>
      <c r="X94" s="383">
        <v>188381</v>
      </c>
      <c r="Y94" s="294">
        <v>25178.245100204429</v>
      </c>
      <c r="Z94" s="383">
        <v>15697.15763</v>
      </c>
      <c r="AA94" s="383">
        <v>584728</v>
      </c>
      <c r="AB94" s="294">
        <v>78383.5871695596</v>
      </c>
      <c r="AC94" s="383">
        <v>48867.564777</v>
      </c>
    </row>
    <row r="95" spans="2:29" hidden="1" outlineLevel="1" x14ac:dyDescent="0.25">
      <c r="B95" s="288">
        <v>41671</v>
      </c>
      <c r="C95" s="383">
        <v>285935</v>
      </c>
      <c r="D95" s="294">
        <v>37839.322673703849</v>
      </c>
      <c r="E95" s="383">
        <v>23705.404308000001</v>
      </c>
      <c r="F95" s="383">
        <v>111117</v>
      </c>
      <c r="G95" s="294">
        <v>14712.90351913401</v>
      </c>
      <c r="H95" s="383">
        <v>9217.2719230000002</v>
      </c>
      <c r="I95" s="383">
        <v>397052</v>
      </c>
      <c r="J95" s="294">
        <v>52552.226192837858</v>
      </c>
      <c r="K95" s="383">
        <v>32922.676230999998</v>
      </c>
      <c r="L95" s="383">
        <v>107883</v>
      </c>
      <c r="M95" s="294">
        <v>14553.622177674149</v>
      </c>
      <c r="N95" s="383">
        <v>9117.4860829999998</v>
      </c>
      <c r="O95" s="383">
        <v>75818</v>
      </c>
      <c r="P95" s="294">
        <v>10040.261583455749</v>
      </c>
      <c r="Q95" s="383">
        <v>6289.9767590000001</v>
      </c>
      <c r="R95" s="383">
        <v>183701</v>
      </c>
      <c r="S95" s="294">
        <v>24593.88376112991</v>
      </c>
      <c r="T95" s="383">
        <v>15407.462842000001</v>
      </c>
      <c r="U95" s="383">
        <v>393818</v>
      </c>
      <c r="V95" s="294">
        <v>52392.944851378001</v>
      </c>
      <c r="W95" s="383">
        <v>32822.890391000001</v>
      </c>
      <c r="X95" s="383">
        <v>186935</v>
      </c>
      <c r="Y95" s="294">
        <v>24753.16510258977</v>
      </c>
      <c r="Z95" s="383">
        <v>15507.248681999999</v>
      </c>
      <c r="AA95" s="383">
        <v>580753</v>
      </c>
      <c r="AB95" s="294">
        <v>77146.109953967767</v>
      </c>
      <c r="AC95" s="383">
        <v>48330.139072999998</v>
      </c>
    </row>
    <row r="96" spans="2:29" hidden="1" outlineLevel="1" x14ac:dyDescent="0.25">
      <c r="B96" s="288">
        <v>41699</v>
      </c>
      <c r="C96" s="383">
        <v>286445</v>
      </c>
      <c r="D96" s="294">
        <v>37675.068367149062</v>
      </c>
      <c r="E96" s="383">
        <v>23800.129353</v>
      </c>
      <c r="F96" s="383">
        <v>111073</v>
      </c>
      <c r="G96" s="294">
        <v>14605.071169704919</v>
      </c>
      <c r="H96" s="383">
        <v>9226.3291910000007</v>
      </c>
      <c r="I96" s="383">
        <v>397518</v>
      </c>
      <c r="J96" s="294">
        <v>52280.139536853982</v>
      </c>
      <c r="K96" s="383">
        <v>33026.458544000001</v>
      </c>
      <c r="L96" s="383">
        <v>107894</v>
      </c>
      <c r="M96" s="294">
        <v>14571.75036317678</v>
      </c>
      <c r="N96" s="383">
        <v>9205.2797399999999</v>
      </c>
      <c r="O96" s="383">
        <v>75876</v>
      </c>
      <c r="P96" s="294">
        <v>10088.02262604126</v>
      </c>
      <c r="Q96" s="383">
        <v>6372.8150690000002</v>
      </c>
      <c r="R96" s="383">
        <v>183770</v>
      </c>
      <c r="S96" s="294">
        <v>24659.77298921804</v>
      </c>
      <c r="T96" s="383">
        <v>15578.094809</v>
      </c>
      <c r="U96" s="383">
        <v>394339</v>
      </c>
      <c r="V96" s="294">
        <v>52246.818730325853</v>
      </c>
      <c r="W96" s="383">
        <v>33005.409093000002</v>
      </c>
      <c r="X96" s="383">
        <v>186949</v>
      </c>
      <c r="Y96" s="294">
        <v>24693.093795746179</v>
      </c>
      <c r="Z96" s="383">
        <v>15599.144259999999</v>
      </c>
      <c r="AA96" s="383">
        <v>581288</v>
      </c>
      <c r="AB96" s="294">
        <v>76939.912526072032</v>
      </c>
      <c r="AC96" s="383">
        <v>48604.553353000003</v>
      </c>
    </row>
    <row r="97" spans="2:29" hidden="1" outlineLevel="1" x14ac:dyDescent="0.25">
      <c r="B97" s="288">
        <v>41730</v>
      </c>
      <c r="C97" s="383">
        <v>287373</v>
      </c>
      <c r="D97" s="294">
        <v>37494.211147433569</v>
      </c>
      <c r="E97" s="383">
        <v>23832.959578999998</v>
      </c>
      <c r="F97" s="383">
        <v>111174</v>
      </c>
      <c r="G97" s="294">
        <v>14529.469434349439</v>
      </c>
      <c r="H97" s="383">
        <v>9235.5658949999997</v>
      </c>
      <c r="I97" s="383">
        <v>398547</v>
      </c>
      <c r="J97" s="294">
        <v>52023.680581783017</v>
      </c>
      <c r="K97" s="383">
        <v>33068.525474000002</v>
      </c>
      <c r="L97" s="383">
        <v>107871</v>
      </c>
      <c r="M97" s="294">
        <v>14431.316872226689</v>
      </c>
      <c r="N97" s="383">
        <v>9173.1758360000003</v>
      </c>
      <c r="O97" s="383">
        <v>75651</v>
      </c>
      <c r="P97" s="294">
        <v>9853.4461864926743</v>
      </c>
      <c r="Q97" s="383">
        <v>6263.2811170000004</v>
      </c>
      <c r="R97" s="383">
        <v>183522</v>
      </c>
      <c r="S97" s="294">
        <v>24284.763058719371</v>
      </c>
      <c r="T97" s="383">
        <v>15436.456953000001</v>
      </c>
      <c r="U97" s="383">
        <v>395244</v>
      </c>
      <c r="V97" s="294">
        <v>51925.528019660262</v>
      </c>
      <c r="W97" s="383">
        <v>33006.135414999997</v>
      </c>
      <c r="X97" s="383">
        <v>186825</v>
      </c>
      <c r="Y97" s="294">
        <v>24382.915620842119</v>
      </c>
      <c r="Z97" s="383">
        <v>15498.847012</v>
      </c>
      <c r="AA97" s="383">
        <v>582069</v>
      </c>
      <c r="AB97" s="294">
        <v>76308.443640502388</v>
      </c>
      <c r="AC97" s="383">
        <v>48504.982427000003</v>
      </c>
    </row>
    <row r="98" spans="2:29" hidden="1" outlineLevel="1" x14ac:dyDescent="0.25">
      <c r="B98" s="288">
        <v>41760</v>
      </c>
      <c r="C98" s="383">
        <v>287751</v>
      </c>
      <c r="D98" s="294">
        <v>37442.026503966074</v>
      </c>
      <c r="E98" s="383">
        <v>23880.144901</v>
      </c>
      <c r="F98" s="383">
        <v>111202</v>
      </c>
      <c r="G98" s="294">
        <v>14483.96332956418</v>
      </c>
      <c r="H98" s="383">
        <v>9237.7249670000001</v>
      </c>
      <c r="I98" s="383">
        <v>398953</v>
      </c>
      <c r="J98" s="294">
        <v>51925.989833530257</v>
      </c>
      <c r="K98" s="383">
        <v>33117.869868000002</v>
      </c>
      <c r="L98" s="383">
        <v>107839</v>
      </c>
      <c r="M98" s="294">
        <v>14251.029145515769</v>
      </c>
      <c r="N98" s="383">
        <v>9089.1619059999994</v>
      </c>
      <c r="O98" s="383">
        <v>75719</v>
      </c>
      <c r="P98" s="294">
        <v>9850.3258134260977</v>
      </c>
      <c r="Q98" s="383">
        <v>6282.4379369999997</v>
      </c>
      <c r="R98" s="383">
        <v>183558</v>
      </c>
      <c r="S98" s="294">
        <v>24101.354958941869</v>
      </c>
      <c r="T98" s="383">
        <v>15371.599843</v>
      </c>
      <c r="U98" s="383">
        <v>395590</v>
      </c>
      <c r="V98" s="294">
        <v>51693.055649481837</v>
      </c>
      <c r="W98" s="383">
        <v>32969.306807000001</v>
      </c>
      <c r="X98" s="383">
        <v>186921</v>
      </c>
      <c r="Y98" s="294">
        <v>24334.289142990281</v>
      </c>
      <c r="Z98" s="383">
        <v>15520.162904000001</v>
      </c>
      <c r="AA98" s="383">
        <v>582511</v>
      </c>
      <c r="AB98" s="294">
        <v>76027.344792472126</v>
      </c>
      <c r="AC98" s="383">
        <v>48489.469710999998</v>
      </c>
    </row>
    <row r="99" spans="2:29" hidden="1" outlineLevel="1" x14ac:dyDescent="0.25">
      <c r="B99" s="288">
        <v>41791</v>
      </c>
      <c r="C99" s="383">
        <v>288957</v>
      </c>
      <c r="D99" s="294">
        <v>37802.731322768217</v>
      </c>
      <c r="E99" s="383">
        <v>24122.680604000001</v>
      </c>
      <c r="F99" s="383">
        <v>111355</v>
      </c>
      <c r="G99" s="294">
        <v>14565.30590634182</v>
      </c>
      <c r="H99" s="383">
        <v>9294.4136569999991</v>
      </c>
      <c r="I99" s="383">
        <v>400312</v>
      </c>
      <c r="J99" s="294">
        <v>52368.037229110043</v>
      </c>
      <c r="K99" s="383">
        <v>33417.094260999998</v>
      </c>
      <c r="L99" s="383">
        <v>107906</v>
      </c>
      <c r="M99" s="294">
        <v>14328.381314738999</v>
      </c>
      <c r="N99" s="383">
        <v>9143.2273260000002</v>
      </c>
      <c r="O99" s="383">
        <v>75992</v>
      </c>
      <c r="P99" s="294">
        <v>9989.975631195839</v>
      </c>
      <c r="Q99" s="383">
        <v>6374.8036970000003</v>
      </c>
      <c r="R99" s="383">
        <v>183898</v>
      </c>
      <c r="S99" s="294">
        <v>24318.35694593484</v>
      </c>
      <c r="T99" s="383">
        <v>15518.031023</v>
      </c>
      <c r="U99" s="383">
        <v>396863</v>
      </c>
      <c r="V99" s="294">
        <v>52131.11263750722</v>
      </c>
      <c r="W99" s="383">
        <v>33265.907930000001</v>
      </c>
      <c r="X99" s="383">
        <v>187347</v>
      </c>
      <c r="Y99" s="294">
        <v>24555.281537537659</v>
      </c>
      <c r="Z99" s="383">
        <v>15669.217354</v>
      </c>
      <c r="AA99" s="383">
        <v>584210</v>
      </c>
      <c r="AB99" s="294">
        <v>76686.394175044872</v>
      </c>
      <c r="AC99" s="383">
        <v>48935.125283999987</v>
      </c>
    </row>
    <row r="100" spans="2:29" hidden="1" outlineLevel="1" x14ac:dyDescent="0.25">
      <c r="B100" s="288">
        <v>41821</v>
      </c>
      <c r="C100" s="383">
        <v>289553</v>
      </c>
      <c r="D100" s="294">
        <v>39351.92999176286</v>
      </c>
      <c r="E100" s="383">
        <v>25169.576538000001</v>
      </c>
      <c r="F100" s="383">
        <v>111373</v>
      </c>
      <c r="G100" s="294">
        <v>15150.084836575121</v>
      </c>
      <c r="H100" s="383">
        <v>9690.0258749999994</v>
      </c>
      <c r="I100" s="383">
        <v>400926</v>
      </c>
      <c r="J100" s="294">
        <v>54502.014828337968</v>
      </c>
      <c r="K100" s="383">
        <v>34859.602413000001</v>
      </c>
      <c r="L100" s="383">
        <v>107060</v>
      </c>
      <c r="M100" s="294">
        <v>14773.007466098999</v>
      </c>
      <c r="N100" s="383">
        <v>9448.8464019999992</v>
      </c>
      <c r="O100" s="383">
        <v>74825</v>
      </c>
      <c r="P100" s="294">
        <v>10150.109438509689</v>
      </c>
      <c r="Q100" s="383">
        <v>6492.0311769999998</v>
      </c>
      <c r="R100" s="383">
        <v>181885</v>
      </c>
      <c r="S100" s="294">
        <v>24923.116904608691</v>
      </c>
      <c r="T100" s="383">
        <v>15940.877579</v>
      </c>
      <c r="U100" s="383">
        <v>396613</v>
      </c>
      <c r="V100" s="294">
        <v>54124.937457861859</v>
      </c>
      <c r="W100" s="383">
        <v>34618.422939999997</v>
      </c>
      <c r="X100" s="383">
        <v>186198</v>
      </c>
      <c r="Y100" s="294">
        <v>25300.194275084799</v>
      </c>
      <c r="Z100" s="383">
        <v>16182.057052</v>
      </c>
      <c r="AA100" s="383">
        <v>582811</v>
      </c>
      <c r="AB100" s="294">
        <v>79425.131732946669</v>
      </c>
      <c r="AC100" s="383">
        <v>50800.479992</v>
      </c>
    </row>
    <row r="101" spans="2:29" hidden="1" outlineLevel="1" x14ac:dyDescent="0.25">
      <c r="B101" s="288">
        <v>41852</v>
      </c>
      <c r="C101" s="383">
        <v>289755</v>
      </c>
      <c r="D101" s="294">
        <v>39121.398799322043</v>
      </c>
      <c r="E101" s="383">
        <v>25103.368823000001</v>
      </c>
      <c r="F101" s="383">
        <v>111178</v>
      </c>
      <c r="G101" s="294">
        <v>15036.575554249161</v>
      </c>
      <c r="H101" s="383">
        <v>9648.6504459999996</v>
      </c>
      <c r="I101" s="383">
        <v>400933</v>
      </c>
      <c r="J101" s="294">
        <v>54157.97435357119</v>
      </c>
      <c r="K101" s="383">
        <v>34752.019268999997</v>
      </c>
      <c r="L101" s="383">
        <v>106935</v>
      </c>
      <c r="M101" s="294">
        <v>14625.08135357133</v>
      </c>
      <c r="N101" s="383">
        <v>9384.6033769999995</v>
      </c>
      <c r="O101" s="383">
        <v>74941</v>
      </c>
      <c r="P101" s="294">
        <v>10112.14999804135</v>
      </c>
      <c r="Q101" s="383">
        <v>6488.7513939999999</v>
      </c>
      <c r="R101" s="383">
        <v>181876</v>
      </c>
      <c r="S101" s="294">
        <v>24737.231351612689</v>
      </c>
      <c r="T101" s="383">
        <v>15873.354771</v>
      </c>
      <c r="U101" s="383">
        <v>396690</v>
      </c>
      <c r="V101" s="294">
        <v>53746.480152893368</v>
      </c>
      <c r="W101" s="383">
        <v>34487.972199999997</v>
      </c>
      <c r="X101" s="383">
        <v>186119</v>
      </c>
      <c r="Y101" s="294">
        <v>25148.725552290511</v>
      </c>
      <c r="Z101" s="383">
        <v>16137.40184</v>
      </c>
      <c r="AA101" s="383">
        <v>582809</v>
      </c>
      <c r="AB101" s="294">
        <v>78895.205705183878</v>
      </c>
      <c r="AC101" s="383">
        <v>50625.374040000002</v>
      </c>
    </row>
    <row r="102" spans="2:29" hidden="1" outlineLevel="1" x14ac:dyDescent="0.25">
      <c r="B102" s="288">
        <v>41883</v>
      </c>
      <c r="C102" s="383">
        <v>289334</v>
      </c>
      <c r="D102" s="294">
        <v>38840.844997578657</v>
      </c>
      <c r="E102" s="383">
        <v>25131.917138000001</v>
      </c>
      <c r="F102" s="383">
        <v>110940</v>
      </c>
      <c r="G102" s="294">
        <v>14894.64505261281</v>
      </c>
      <c r="H102" s="383">
        <v>9637.5602870000002</v>
      </c>
      <c r="I102" s="383">
        <v>400274</v>
      </c>
      <c r="J102" s="294">
        <v>53735.490050191467</v>
      </c>
      <c r="K102" s="383">
        <v>34769.477424999997</v>
      </c>
      <c r="L102" s="383">
        <v>106925</v>
      </c>
      <c r="M102" s="294">
        <v>14613.5521593906</v>
      </c>
      <c r="N102" s="383">
        <v>9455.6795039999997</v>
      </c>
      <c r="O102" s="383">
        <v>75437</v>
      </c>
      <c r="P102" s="294">
        <v>10050.65661518729</v>
      </c>
      <c r="Q102" s="383">
        <v>6503.2640060000003</v>
      </c>
      <c r="R102" s="383">
        <v>182362</v>
      </c>
      <c r="S102" s="294">
        <v>24664.208774577881</v>
      </c>
      <c r="T102" s="383">
        <v>15958.943509999999</v>
      </c>
      <c r="U102" s="383">
        <v>396259</v>
      </c>
      <c r="V102" s="294">
        <v>53454.397156969273</v>
      </c>
      <c r="W102" s="383">
        <v>34587.596641999997</v>
      </c>
      <c r="X102" s="383">
        <v>186377</v>
      </c>
      <c r="Y102" s="294">
        <v>24945.301667800089</v>
      </c>
      <c r="Z102" s="383">
        <v>16140.824293</v>
      </c>
      <c r="AA102" s="383">
        <v>582636</v>
      </c>
      <c r="AB102" s="294">
        <v>78399.698824769352</v>
      </c>
      <c r="AC102" s="383">
        <v>50728.420934999987</v>
      </c>
    </row>
    <row r="103" spans="2:29" hidden="1" outlineLevel="1" x14ac:dyDescent="0.25">
      <c r="B103" s="288">
        <v>41913</v>
      </c>
      <c r="C103" s="383">
        <v>289527</v>
      </c>
      <c r="D103" s="294">
        <v>38415.686823742013</v>
      </c>
      <c r="E103" s="383">
        <v>25115.561541999999</v>
      </c>
      <c r="F103" s="383">
        <v>110909</v>
      </c>
      <c r="G103" s="294">
        <v>14722.03650812052</v>
      </c>
      <c r="H103" s="383">
        <v>9625.0319729999992</v>
      </c>
      <c r="I103" s="383">
        <v>400436</v>
      </c>
      <c r="J103" s="294">
        <v>53137.723331862537</v>
      </c>
      <c r="K103" s="383">
        <v>34740.593515</v>
      </c>
      <c r="L103" s="383">
        <v>106689</v>
      </c>
      <c r="M103" s="294">
        <v>14400.42499764598</v>
      </c>
      <c r="N103" s="383">
        <v>9414.7675120000004</v>
      </c>
      <c r="O103" s="383">
        <v>74919</v>
      </c>
      <c r="P103" s="294">
        <v>9946.5858445243721</v>
      </c>
      <c r="Q103" s="383">
        <v>6502.9187179999999</v>
      </c>
      <c r="R103" s="383">
        <v>181608</v>
      </c>
      <c r="S103" s="294">
        <v>24347.010842170352</v>
      </c>
      <c r="T103" s="383">
        <v>15917.686229999999</v>
      </c>
      <c r="U103" s="383">
        <v>396216</v>
      </c>
      <c r="V103" s="294">
        <v>52816.111821388004</v>
      </c>
      <c r="W103" s="383">
        <v>34530.329054000002</v>
      </c>
      <c r="X103" s="383">
        <v>185828</v>
      </c>
      <c r="Y103" s="294">
        <v>24668.622352644888</v>
      </c>
      <c r="Z103" s="383">
        <v>16127.950691</v>
      </c>
      <c r="AA103" s="383">
        <v>582044</v>
      </c>
      <c r="AB103" s="294">
        <v>77484.734174032885</v>
      </c>
      <c r="AC103" s="383">
        <v>50658.279745</v>
      </c>
    </row>
    <row r="104" spans="2:29" hidden="1" outlineLevel="1" x14ac:dyDescent="0.25">
      <c r="B104" s="288">
        <v>41944</v>
      </c>
      <c r="C104" s="383">
        <v>289642</v>
      </c>
      <c r="D104" s="294">
        <v>38456.606172463398</v>
      </c>
      <c r="E104" s="383">
        <v>25148.544835000001</v>
      </c>
      <c r="F104" s="383">
        <v>110935</v>
      </c>
      <c r="G104" s="294">
        <v>14785.88923610396</v>
      </c>
      <c r="H104" s="383">
        <v>9669.1735279999994</v>
      </c>
      <c r="I104" s="383">
        <v>400577</v>
      </c>
      <c r="J104" s="294">
        <v>53242.49540856736</v>
      </c>
      <c r="K104" s="383">
        <v>34817.718363</v>
      </c>
      <c r="L104" s="383">
        <v>106361</v>
      </c>
      <c r="M104" s="294">
        <v>14361.768664427531</v>
      </c>
      <c r="N104" s="383">
        <v>9391.8215650000002</v>
      </c>
      <c r="O104" s="383">
        <v>74860</v>
      </c>
      <c r="P104" s="294">
        <v>9975.9956561219478</v>
      </c>
      <c r="Q104" s="383">
        <v>6523.762729</v>
      </c>
      <c r="R104" s="383">
        <v>181221</v>
      </c>
      <c r="S104" s="294">
        <v>24337.764320549479</v>
      </c>
      <c r="T104" s="383">
        <v>15915.584294</v>
      </c>
      <c r="U104" s="383">
        <v>396003</v>
      </c>
      <c r="V104" s="294">
        <v>52818.374836890929</v>
      </c>
      <c r="W104" s="383">
        <v>34540.366399999999</v>
      </c>
      <c r="X104" s="383">
        <v>185795</v>
      </c>
      <c r="Y104" s="294">
        <v>24761.884892225909</v>
      </c>
      <c r="Z104" s="383">
        <v>16192.936256999999</v>
      </c>
      <c r="AA104" s="383">
        <v>581798</v>
      </c>
      <c r="AB104" s="294">
        <v>77580.259729116835</v>
      </c>
      <c r="AC104" s="383">
        <v>50733.302657</v>
      </c>
    </row>
    <row r="105" spans="2:29" collapsed="1" x14ac:dyDescent="0.25">
      <c r="B105" s="288">
        <v>41974</v>
      </c>
      <c r="C105" s="383">
        <v>290598</v>
      </c>
      <c r="D105" s="294">
        <v>38832.805251825448</v>
      </c>
      <c r="E105" s="383">
        <v>25289.592285999999</v>
      </c>
      <c r="F105" s="383">
        <v>111058</v>
      </c>
      <c r="G105" s="294">
        <v>14822.25156089136</v>
      </c>
      <c r="H105" s="383">
        <v>9652.8874570000007</v>
      </c>
      <c r="I105" s="383">
        <v>401656</v>
      </c>
      <c r="J105" s="294">
        <v>53655.056812716823</v>
      </c>
      <c r="K105" s="383">
        <v>34942.479743000004</v>
      </c>
      <c r="L105" s="383">
        <v>106311</v>
      </c>
      <c r="M105" s="294">
        <v>14364.758809969369</v>
      </c>
      <c r="N105" s="383">
        <v>9354.9485089999998</v>
      </c>
      <c r="O105" s="383">
        <v>75235</v>
      </c>
      <c r="P105" s="294">
        <v>9956.7611338677088</v>
      </c>
      <c r="Q105" s="383">
        <v>6484.2709130000003</v>
      </c>
      <c r="R105" s="383">
        <v>181546</v>
      </c>
      <c r="S105" s="294">
        <v>24321.51994383708</v>
      </c>
      <c r="T105" s="383">
        <v>15839.219422</v>
      </c>
      <c r="U105" s="383">
        <v>396909</v>
      </c>
      <c r="V105" s="294">
        <v>53197.564061794823</v>
      </c>
      <c r="W105" s="383">
        <v>34644.540795000001</v>
      </c>
      <c r="X105" s="383">
        <v>186293</v>
      </c>
      <c r="Y105" s="294">
        <v>24779.012694759069</v>
      </c>
      <c r="Z105" s="383">
        <v>16137.158369999999</v>
      </c>
      <c r="AA105" s="383">
        <v>583202</v>
      </c>
      <c r="AB105" s="294">
        <v>77976.576756553899</v>
      </c>
      <c r="AC105" s="383">
        <v>50781.699165000013</v>
      </c>
    </row>
    <row r="106" spans="2:29" hidden="1" outlineLevel="1" x14ac:dyDescent="0.25">
      <c r="B106" s="288">
        <v>42005</v>
      </c>
      <c r="C106" s="383">
        <v>288077</v>
      </c>
      <c r="D106" s="294">
        <v>38422.571306353842</v>
      </c>
      <c r="E106" s="383">
        <v>25041.804984999999</v>
      </c>
      <c r="F106" s="383">
        <v>110424</v>
      </c>
      <c r="G106" s="294">
        <v>14731.009440218289</v>
      </c>
      <c r="H106" s="383">
        <v>9600.8948149999997</v>
      </c>
      <c r="I106" s="383">
        <v>398501</v>
      </c>
      <c r="J106" s="294">
        <v>53153.58074657213</v>
      </c>
      <c r="K106" s="383">
        <v>34642.699800000002</v>
      </c>
      <c r="L106" s="383">
        <v>105707</v>
      </c>
      <c r="M106" s="294">
        <v>14287.27918077946</v>
      </c>
      <c r="N106" s="383">
        <v>9311.6948410000005</v>
      </c>
      <c r="O106" s="383">
        <v>74385</v>
      </c>
      <c r="P106" s="294">
        <v>9921.2674117448514</v>
      </c>
      <c r="Q106" s="383">
        <v>6466.1587</v>
      </c>
      <c r="R106" s="383">
        <v>180092</v>
      </c>
      <c r="S106" s="294">
        <v>24208.546592524312</v>
      </c>
      <c r="T106" s="383">
        <v>15777.853541</v>
      </c>
      <c r="U106" s="383">
        <v>393784</v>
      </c>
      <c r="V106" s="294">
        <v>52709.850487133299</v>
      </c>
      <c r="W106" s="383">
        <v>34353.499825999999</v>
      </c>
      <c r="X106" s="383">
        <v>184809</v>
      </c>
      <c r="Y106" s="294">
        <v>24652.276851963139</v>
      </c>
      <c r="Z106" s="383">
        <v>16067.053515</v>
      </c>
      <c r="AA106" s="383">
        <v>578593</v>
      </c>
      <c r="AB106" s="294">
        <v>77362.127339096434</v>
      </c>
      <c r="AC106" s="383">
        <v>50420.553341000013</v>
      </c>
    </row>
    <row r="107" spans="2:29" hidden="1" outlineLevel="1" x14ac:dyDescent="0.25">
      <c r="B107" s="288">
        <v>42036</v>
      </c>
      <c r="C107" s="383">
        <v>288289</v>
      </c>
      <c r="D107" s="294">
        <v>38199.173143531523</v>
      </c>
      <c r="E107" s="383">
        <v>24983.780566000001</v>
      </c>
      <c r="F107" s="383">
        <v>110423</v>
      </c>
      <c r="G107" s="294">
        <v>14652.703952033549</v>
      </c>
      <c r="H107" s="383">
        <v>9583.4519469999996</v>
      </c>
      <c r="I107" s="383">
        <v>398712</v>
      </c>
      <c r="J107" s="294">
        <v>52851.877095565069</v>
      </c>
      <c r="K107" s="383">
        <v>34567.232513000003</v>
      </c>
      <c r="L107" s="383">
        <v>105538</v>
      </c>
      <c r="M107" s="294">
        <v>14152.63200401289</v>
      </c>
      <c r="N107" s="383">
        <v>9256.3849769999997</v>
      </c>
      <c r="O107" s="383">
        <v>74432</v>
      </c>
      <c r="P107" s="294">
        <v>9853.9119396932583</v>
      </c>
      <c r="Q107" s="383">
        <v>6444.8508529999999</v>
      </c>
      <c r="R107" s="383">
        <v>179970</v>
      </c>
      <c r="S107" s="294">
        <v>24006.54394370615</v>
      </c>
      <c r="T107" s="383">
        <v>15701.23583</v>
      </c>
      <c r="U107" s="383">
        <v>393827</v>
      </c>
      <c r="V107" s="294">
        <v>52351.805147544408</v>
      </c>
      <c r="W107" s="383">
        <v>34240.165543000003</v>
      </c>
      <c r="X107" s="383">
        <v>184855</v>
      </c>
      <c r="Y107" s="294">
        <v>24506.615891726811</v>
      </c>
      <c r="Z107" s="383">
        <v>16028.302799999999</v>
      </c>
      <c r="AA107" s="383">
        <v>578682</v>
      </c>
      <c r="AB107" s="294">
        <v>76858.421039271227</v>
      </c>
      <c r="AC107" s="383">
        <v>50268.468343</v>
      </c>
    </row>
    <row r="108" spans="2:29" hidden="1" outlineLevel="1" x14ac:dyDescent="0.25">
      <c r="B108" s="288">
        <v>42064</v>
      </c>
      <c r="C108" s="383">
        <v>288568</v>
      </c>
      <c r="D108" s="294">
        <v>38039.101080850996</v>
      </c>
      <c r="E108" s="383">
        <v>25035.526484999999</v>
      </c>
      <c r="F108" s="383">
        <v>110370</v>
      </c>
      <c r="G108" s="294">
        <v>14539.224416063311</v>
      </c>
      <c r="H108" s="383">
        <v>9569.0257550000006</v>
      </c>
      <c r="I108" s="383">
        <v>398938</v>
      </c>
      <c r="J108" s="294">
        <v>52578.325496914309</v>
      </c>
      <c r="K108" s="383">
        <v>34604.552239999997</v>
      </c>
      <c r="L108" s="383">
        <v>105402</v>
      </c>
      <c r="M108" s="294">
        <v>13990.224722009991</v>
      </c>
      <c r="N108" s="383">
        <v>9207.7002769999999</v>
      </c>
      <c r="O108" s="383">
        <v>74896</v>
      </c>
      <c r="P108" s="294">
        <v>9932.3300549387532</v>
      </c>
      <c r="Q108" s="383">
        <v>6536.9870760000003</v>
      </c>
      <c r="R108" s="383">
        <v>180298</v>
      </c>
      <c r="S108" s="294">
        <v>23922.554776948738</v>
      </c>
      <c r="T108" s="383">
        <v>15744.687352999999</v>
      </c>
      <c r="U108" s="383">
        <v>393970</v>
      </c>
      <c r="V108" s="294">
        <v>52029.325802860993</v>
      </c>
      <c r="W108" s="383">
        <v>34243.226761999998</v>
      </c>
      <c r="X108" s="383">
        <v>185266</v>
      </c>
      <c r="Y108" s="294">
        <v>24471.554471002059</v>
      </c>
      <c r="Z108" s="383">
        <v>16106.012831</v>
      </c>
      <c r="AA108" s="383">
        <v>579236</v>
      </c>
      <c r="AB108" s="294">
        <v>76500.880273863047</v>
      </c>
      <c r="AC108" s="383">
        <v>50349.239592999998</v>
      </c>
    </row>
    <row r="109" spans="2:29" hidden="1" outlineLevel="1" x14ac:dyDescent="0.25">
      <c r="B109" s="288">
        <v>42095</v>
      </c>
      <c r="C109" s="383">
        <v>288868</v>
      </c>
      <c r="D109" s="294">
        <v>37784.420438485933</v>
      </c>
      <c r="E109" s="383">
        <v>25010.859542999999</v>
      </c>
      <c r="F109" s="383">
        <v>110349</v>
      </c>
      <c r="G109" s="294">
        <v>14435.69572540893</v>
      </c>
      <c r="H109" s="383">
        <v>9555.5034059999998</v>
      </c>
      <c r="I109" s="383">
        <v>399217</v>
      </c>
      <c r="J109" s="294">
        <v>52220.116163894869</v>
      </c>
      <c r="K109" s="383">
        <v>34566.362949000002</v>
      </c>
      <c r="L109" s="383">
        <v>105285</v>
      </c>
      <c r="M109" s="294">
        <v>13977.54472427156</v>
      </c>
      <c r="N109" s="383">
        <v>9252.2368690000003</v>
      </c>
      <c r="O109" s="383">
        <v>74817</v>
      </c>
      <c r="P109" s="294">
        <v>9907.6721872769922</v>
      </c>
      <c r="Q109" s="383">
        <v>6558.2426459999997</v>
      </c>
      <c r="R109" s="383">
        <v>180102</v>
      </c>
      <c r="S109" s="294">
        <v>23885.216911548559</v>
      </c>
      <c r="T109" s="383">
        <v>15810.479515000001</v>
      </c>
      <c r="U109" s="383">
        <v>394153</v>
      </c>
      <c r="V109" s="294">
        <v>51761.965162757493</v>
      </c>
      <c r="W109" s="383">
        <v>34263.096411999999</v>
      </c>
      <c r="X109" s="383">
        <v>185166</v>
      </c>
      <c r="Y109" s="294">
        <v>24343.367912685932</v>
      </c>
      <c r="Z109" s="383">
        <v>16113.746052</v>
      </c>
      <c r="AA109" s="383">
        <v>579319</v>
      </c>
      <c r="AB109" s="294">
        <v>76105.333075443428</v>
      </c>
      <c r="AC109" s="383">
        <v>50376.842464000001</v>
      </c>
    </row>
    <row r="110" spans="2:29" hidden="1" outlineLevel="1" x14ac:dyDescent="0.25">
      <c r="B110" s="288">
        <v>42125</v>
      </c>
      <c r="C110" s="383">
        <v>289236</v>
      </c>
      <c r="D110" s="294">
        <v>37787.795283109379</v>
      </c>
      <c r="E110" s="383">
        <v>25057.285103999999</v>
      </c>
      <c r="F110" s="383">
        <v>110347</v>
      </c>
      <c r="G110" s="294">
        <v>14441.04461199974</v>
      </c>
      <c r="H110" s="383">
        <v>9575.9323700000004</v>
      </c>
      <c r="I110" s="383">
        <v>399583</v>
      </c>
      <c r="J110" s="294">
        <v>52228.839895109108</v>
      </c>
      <c r="K110" s="383">
        <v>34633.217473999997</v>
      </c>
      <c r="L110" s="383">
        <v>105163</v>
      </c>
      <c r="M110" s="294">
        <v>13959.53240521509</v>
      </c>
      <c r="N110" s="383">
        <v>9256.6391019999992</v>
      </c>
      <c r="O110" s="383">
        <v>74786</v>
      </c>
      <c r="P110" s="294">
        <v>9915.7831365151142</v>
      </c>
      <c r="Q110" s="383">
        <v>6575.2077680000002</v>
      </c>
      <c r="R110" s="383">
        <v>179949</v>
      </c>
      <c r="S110" s="294">
        <v>23875.3155417302</v>
      </c>
      <c r="T110" s="383">
        <v>15831.846869999999</v>
      </c>
      <c r="U110" s="383">
        <v>394399</v>
      </c>
      <c r="V110" s="294">
        <v>51747.327688324469</v>
      </c>
      <c r="W110" s="383">
        <v>34313.924206000003</v>
      </c>
      <c r="X110" s="383">
        <v>185133</v>
      </c>
      <c r="Y110" s="294">
        <v>24356.82774851485</v>
      </c>
      <c r="Z110" s="383">
        <v>16151.140138000001</v>
      </c>
      <c r="AA110" s="383">
        <v>579532</v>
      </c>
      <c r="AB110" s="294">
        <v>76104.155436839312</v>
      </c>
      <c r="AC110" s="383">
        <v>50465.064343999999</v>
      </c>
    </row>
    <row r="111" spans="2:29" hidden="1" outlineLevel="1" x14ac:dyDescent="0.25">
      <c r="B111" s="288">
        <v>42156</v>
      </c>
      <c r="C111" s="383">
        <v>289051</v>
      </c>
      <c r="D111" s="294">
        <v>37562.176803633767</v>
      </c>
      <c r="E111" s="383">
        <v>25028.350238999999</v>
      </c>
      <c r="F111" s="383">
        <v>110287</v>
      </c>
      <c r="G111" s="294">
        <v>14343.93882216677</v>
      </c>
      <c r="H111" s="383">
        <v>9557.6229920000005</v>
      </c>
      <c r="I111" s="383">
        <v>399338</v>
      </c>
      <c r="J111" s="294">
        <v>51906.115625800543</v>
      </c>
      <c r="K111" s="383">
        <v>34585.973231000004</v>
      </c>
      <c r="L111" s="383">
        <v>104884</v>
      </c>
      <c r="M111" s="294">
        <v>13889.9936566779</v>
      </c>
      <c r="N111" s="383">
        <v>9255.1512089999997</v>
      </c>
      <c r="O111" s="383">
        <v>74517</v>
      </c>
      <c r="P111" s="294">
        <v>9824.0398556794207</v>
      </c>
      <c r="Q111" s="383">
        <v>6545.9334680000002</v>
      </c>
      <c r="R111" s="383">
        <v>179401</v>
      </c>
      <c r="S111" s="294">
        <v>23714.03351235732</v>
      </c>
      <c r="T111" s="383">
        <v>15801.084677000001</v>
      </c>
      <c r="U111" s="383">
        <v>393935</v>
      </c>
      <c r="V111" s="294">
        <v>51452.170460311667</v>
      </c>
      <c r="W111" s="383">
        <v>34283.501448000003</v>
      </c>
      <c r="X111" s="383">
        <v>184804</v>
      </c>
      <c r="Y111" s="294">
        <v>24167.978677846189</v>
      </c>
      <c r="Z111" s="383">
        <v>16103.55646</v>
      </c>
      <c r="AA111" s="383">
        <v>578739</v>
      </c>
      <c r="AB111" s="294">
        <v>75620.149138157867</v>
      </c>
      <c r="AC111" s="383">
        <v>50387.057908000002</v>
      </c>
    </row>
    <row r="112" spans="2:29" hidden="1" outlineLevel="1" x14ac:dyDescent="0.25">
      <c r="B112" s="288">
        <v>42186</v>
      </c>
      <c r="C112" s="383">
        <v>289446</v>
      </c>
      <c r="D112" s="294">
        <v>39066.723972440988</v>
      </c>
      <c r="E112" s="383">
        <v>26140.906973000001</v>
      </c>
      <c r="F112" s="383">
        <v>110438</v>
      </c>
      <c r="G112" s="294">
        <v>14921.22650273452</v>
      </c>
      <c r="H112" s="383">
        <v>9984.312844</v>
      </c>
      <c r="I112" s="383">
        <v>399884</v>
      </c>
      <c r="J112" s="294">
        <v>53987.950475175501</v>
      </c>
      <c r="K112" s="383">
        <v>36125.219816999997</v>
      </c>
      <c r="L112" s="383">
        <v>105035</v>
      </c>
      <c r="M112" s="294">
        <v>14571.781012580301</v>
      </c>
      <c r="N112" s="383">
        <v>9750.4866839999995</v>
      </c>
      <c r="O112" s="383">
        <v>74672</v>
      </c>
      <c r="P112" s="294">
        <v>10355.616258397549</v>
      </c>
      <c r="Q112" s="383">
        <v>6929.3038610000003</v>
      </c>
      <c r="R112" s="383">
        <v>179707</v>
      </c>
      <c r="S112" s="294">
        <v>24927.39727097785</v>
      </c>
      <c r="T112" s="383">
        <v>16679.790545</v>
      </c>
      <c r="U112" s="383">
        <v>394481</v>
      </c>
      <c r="V112" s="294">
        <v>53638.504985021289</v>
      </c>
      <c r="W112" s="383">
        <v>35891.393657000001</v>
      </c>
      <c r="X112" s="383">
        <v>185110</v>
      </c>
      <c r="Y112" s="294">
        <v>25276.842761132069</v>
      </c>
      <c r="Z112" s="383">
        <v>16913.616705</v>
      </c>
      <c r="AA112" s="383">
        <v>579591</v>
      </c>
      <c r="AB112" s="294">
        <v>78915.347746153348</v>
      </c>
      <c r="AC112" s="383">
        <v>52805.010362000001</v>
      </c>
    </row>
    <row r="113" spans="2:29" hidden="1" outlineLevel="1" x14ac:dyDescent="0.25">
      <c r="B113" s="288">
        <v>42217</v>
      </c>
      <c r="C113" s="383">
        <v>289186</v>
      </c>
      <c r="D113" s="294">
        <v>38675.143391614904</v>
      </c>
      <c r="E113" s="383">
        <v>26053.736005999999</v>
      </c>
      <c r="F113" s="383">
        <v>110169</v>
      </c>
      <c r="G113" s="294">
        <v>14743.54824599118</v>
      </c>
      <c r="H113" s="383">
        <v>9932.0773009999994</v>
      </c>
      <c r="I113" s="383">
        <v>399355</v>
      </c>
      <c r="J113" s="294">
        <v>53418.691637606084</v>
      </c>
      <c r="K113" s="383">
        <v>35985.813306999997</v>
      </c>
      <c r="L113" s="383">
        <v>104933</v>
      </c>
      <c r="M113" s="294">
        <v>14424.402333633559</v>
      </c>
      <c r="N113" s="383">
        <v>9717.0827950000003</v>
      </c>
      <c r="O113" s="383">
        <v>74524</v>
      </c>
      <c r="P113" s="294">
        <v>10142.07710591364</v>
      </c>
      <c r="Q113" s="383">
        <v>6832.2694190000002</v>
      </c>
      <c r="R113" s="383">
        <v>179457</v>
      </c>
      <c r="S113" s="294">
        <v>24566.479439547202</v>
      </c>
      <c r="T113" s="383">
        <v>16549.352213999999</v>
      </c>
      <c r="U113" s="383">
        <v>394119</v>
      </c>
      <c r="V113" s="294">
        <v>53099.545725248463</v>
      </c>
      <c r="W113" s="383">
        <v>35770.818801000001</v>
      </c>
      <c r="X113" s="383">
        <v>184693</v>
      </c>
      <c r="Y113" s="294">
        <v>24885.625351904819</v>
      </c>
      <c r="Z113" s="383">
        <v>16764.346720000001</v>
      </c>
      <c r="AA113" s="383">
        <v>578812</v>
      </c>
      <c r="AB113" s="294">
        <v>77985.171077153267</v>
      </c>
      <c r="AC113" s="383">
        <v>52535.165521000003</v>
      </c>
    </row>
    <row r="114" spans="2:29" hidden="1" outlineLevel="1" x14ac:dyDescent="0.25">
      <c r="B114" s="288">
        <v>42248</v>
      </c>
      <c r="C114" s="383">
        <v>289306</v>
      </c>
      <c r="D114" s="294">
        <v>38664.957312516519</v>
      </c>
      <c r="E114" s="383">
        <v>26180.153942000001</v>
      </c>
      <c r="F114" s="383">
        <v>109983</v>
      </c>
      <c r="G114" s="294">
        <v>14713.837262913859</v>
      </c>
      <c r="H114" s="383">
        <v>9962.781583</v>
      </c>
      <c r="I114" s="383">
        <v>399289</v>
      </c>
      <c r="J114" s="294">
        <v>53378.794575430373</v>
      </c>
      <c r="K114" s="383">
        <v>36142.935525000001</v>
      </c>
      <c r="L114" s="383">
        <v>104826</v>
      </c>
      <c r="M114" s="294">
        <v>14425.092025159051</v>
      </c>
      <c r="N114" s="383">
        <v>9767.2713509999994</v>
      </c>
      <c r="O114" s="383">
        <v>74536</v>
      </c>
      <c r="P114" s="294">
        <v>10179.834139045641</v>
      </c>
      <c r="Q114" s="383">
        <v>6892.7950110000002</v>
      </c>
      <c r="R114" s="383">
        <v>179362</v>
      </c>
      <c r="S114" s="294">
        <v>24604.926164204691</v>
      </c>
      <c r="T114" s="383">
        <v>16660.066362000001</v>
      </c>
      <c r="U114" s="383">
        <v>394132</v>
      </c>
      <c r="V114" s="294">
        <v>53090.049337675569</v>
      </c>
      <c r="W114" s="383">
        <v>35947.425293</v>
      </c>
      <c r="X114" s="383">
        <v>184519</v>
      </c>
      <c r="Y114" s="294">
        <v>24893.671401959491</v>
      </c>
      <c r="Z114" s="383">
        <v>16855.576593999998</v>
      </c>
      <c r="AA114" s="383">
        <v>578651</v>
      </c>
      <c r="AB114" s="294">
        <v>77983.720739635057</v>
      </c>
      <c r="AC114" s="383">
        <v>52803.001887000013</v>
      </c>
    </row>
    <row r="115" spans="2:29" hidden="1" outlineLevel="1" x14ac:dyDescent="0.25">
      <c r="B115" s="288">
        <v>42278</v>
      </c>
      <c r="C115" s="383">
        <v>289406</v>
      </c>
      <c r="D115" s="294">
        <v>38511.643821805243</v>
      </c>
      <c r="E115" s="383">
        <v>26182.709630000001</v>
      </c>
      <c r="F115" s="383">
        <v>109773</v>
      </c>
      <c r="G115" s="294">
        <v>14629.51667414427</v>
      </c>
      <c r="H115" s="383">
        <v>9946.0928980000008</v>
      </c>
      <c r="I115" s="383">
        <v>399179</v>
      </c>
      <c r="J115" s="294">
        <v>53141.160495949509</v>
      </c>
      <c r="K115" s="383">
        <v>36128.802528</v>
      </c>
      <c r="L115" s="383">
        <v>104834</v>
      </c>
      <c r="M115" s="294">
        <v>14359.48329577486</v>
      </c>
      <c r="N115" s="383">
        <v>9762.5067190000009</v>
      </c>
      <c r="O115" s="383">
        <v>74656</v>
      </c>
      <c r="P115" s="294">
        <v>10139.64415892187</v>
      </c>
      <c r="Q115" s="383">
        <v>6893.586781</v>
      </c>
      <c r="R115" s="383">
        <v>179490</v>
      </c>
      <c r="S115" s="294">
        <v>24499.127454696729</v>
      </c>
      <c r="T115" s="383">
        <v>16656.093499999999</v>
      </c>
      <c r="U115" s="383">
        <v>394240</v>
      </c>
      <c r="V115" s="294">
        <v>52871.127117580101</v>
      </c>
      <c r="W115" s="383">
        <v>35945.216349000002</v>
      </c>
      <c r="X115" s="383">
        <v>184429</v>
      </c>
      <c r="Y115" s="294">
        <v>24769.16083306614</v>
      </c>
      <c r="Z115" s="383">
        <v>16839.679679000001</v>
      </c>
      <c r="AA115" s="383">
        <v>578669</v>
      </c>
      <c r="AB115" s="294">
        <v>77640.287950646234</v>
      </c>
      <c r="AC115" s="383">
        <v>52784.896028000003</v>
      </c>
    </row>
    <row r="116" spans="2:29" hidden="1" outlineLevel="1" x14ac:dyDescent="0.25">
      <c r="B116" s="288">
        <v>42309</v>
      </c>
      <c r="C116" s="383">
        <v>289596</v>
      </c>
      <c r="D116" s="294">
        <v>38514.578031312129</v>
      </c>
      <c r="E116" s="383">
        <v>26177.962984999998</v>
      </c>
      <c r="F116" s="383">
        <v>109685</v>
      </c>
      <c r="G116" s="294">
        <v>14627.95891600735</v>
      </c>
      <c r="H116" s="383">
        <v>9942.4733859999997</v>
      </c>
      <c r="I116" s="383">
        <v>399281</v>
      </c>
      <c r="J116" s="294">
        <v>53142.536947319488</v>
      </c>
      <c r="K116" s="383">
        <v>36120.436371000003</v>
      </c>
      <c r="L116" s="383">
        <v>104776</v>
      </c>
      <c r="M116" s="294">
        <v>14318.23626171342</v>
      </c>
      <c r="N116" s="383">
        <v>9731.9580800000003</v>
      </c>
      <c r="O116" s="383">
        <v>74747</v>
      </c>
      <c r="P116" s="294">
        <v>10126.836217736471</v>
      </c>
      <c r="Q116" s="383">
        <v>6883.1065330000001</v>
      </c>
      <c r="R116" s="383">
        <v>179523</v>
      </c>
      <c r="S116" s="294">
        <v>24445.072479449889</v>
      </c>
      <c r="T116" s="383">
        <v>16615.064612999999</v>
      </c>
      <c r="U116" s="383">
        <v>394372</v>
      </c>
      <c r="V116" s="294">
        <v>52832.814293025542</v>
      </c>
      <c r="W116" s="383">
        <v>35909.921065000002</v>
      </c>
      <c r="X116" s="383">
        <v>184432</v>
      </c>
      <c r="Y116" s="294">
        <v>24754.795133743821</v>
      </c>
      <c r="Z116" s="383">
        <v>16825.579919</v>
      </c>
      <c r="AA116" s="383">
        <v>578804</v>
      </c>
      <c r="AB116" s="294">
        <v>77587.60942676937</v>
      </c>
      <c r="AC116" s="383">
        <v>52735.500983999998</v>
      </c>
    </row>
    <row r="117" spans="2:29" collapsed="1" x14ac:dyDescent="0.25">
      <c r="B117" s="288">
        <v>42339</v>
      </c>
      <c r="C117" s="383">
        <v>289818</v>
      </c>
      <c r="D117" s="294">
        <v>38547.849011811857</v>
      </c>
      <c r="E117" s="383">
        <v>26203.198940999999</v>
      </c>
      <c r="F117" s="383">
        <v>109696</v>
      </c>
      <c r="G117" s="294">
        <v>14609.596374091539</v>
      </c>
      <c r="H117" s="383">
        <v>9930.9862950000006</v>
      </c>
      <c r="I117" s="383">
        <v>399514</v>
      </c>
      <c r="J117" s="294">
        <v>53157.445385903397</v>
      </c>
      <c r="K117" s="383">
        <v>36134.185235999998</v>
      </c>
      <c r="L117" s="383">
        <v>104882</v>
      </c>
      <c r="M117" s="294">
        <v>14340.41111038342</v>
      </c>
      <c r="N117" s="383">
        <v>9748.0055269999993</v>
      </c>
      <c r="O117" s="383">
        <v>74896</v>
      </c>
      <c r="P117" s="294">
        <v>10147.30510525399</v>
      </c>
      <c r="Q117" s="383">
        <v>6897.7092419999999</v>
      </c>
      <c r="R117" s="383">
        <v>179778</v>
      </c>
      <c r="S117" s="294">
        <v>24487.716215637411</v>
      </c>
      <c r="T117" s="383">
        <v>16645.714768999998</v>
      </c>
      <c r="U117" s="383">
        <v>394700</v>
      </c>
      <c r="V117" s="294">
        <v>52888.260122195279</v>
      </c>
      <c r="W117" s="383">
        <v>35951.204468000004</v>
      </c>
      <c r="X117" s="383">
        <v>184592</v>
      </c>
      <c r="Y117" s="294">
        <v>24756.901479345532</v>
      </c>
      <c r="Z117" s="383">
        <v>16828.695537</v>
      </c>
      <c r="AA117" s="383">
        <v>579292</v>
      </c>
      <c r="AB117" s="294">
        <v>77645.161601540807</v>
      </c>
      <c r="AC117" s="383">
        <v>52779.900005000003</v>
      </c>
    </row>
    <row r="118" spans="2:29" hidden="1" outlineLevel="1" x14ac:dyDescent="0.25">
      <c r="B118" s="288">
        <v>42370</v>
      </c>
      <c r="C118" s="383">
        <v>289772</v>
      </c>
      <c r="D118" s="294">
        <v>38342.995245415332</v>
      </c>
      <c r="E118" s="383">
        <v>26186.624080000001</v>
      </c>
      <c r="F118" s="383">
        <v>109526</v>
      </c>
      <c r="G118" s="294">
        <v>14520.27680116257</v>
      </c>
      <c r="H118" s="383">
        <v>9916.727363</v>
      </c>
      <c r="I118" s="383">
        <v>399298</v>
      </c>
      <c r="J118" s="294">
        <v>52863.272046577898</v>
      </c>
      <c r="K118" s="383">
        <v>36103.351443</v>
      </c>
      <c r="L118" s="383">
        <v>104970</v>
      </c>
      <c r="M118" s="294">
        <v>14320.21031370018</v>
      </c>
      <c r="N118" s="383">
        <v>9780.0905180000009</v>
      </c>
      <c r="O118" s="383">
        <v>74980</v>
      </c>
      <c r="P118" s="294">
        <v>10088.279861270879</v>
      </c>
      <c r="Q118" s="383">
        <v>6889.8632109999999</v>
      </c>
      <c r="R118" s="383">
        <v>179950</v>
      </c>
      <c r="S118" s="294">
        <v>24408.490174971059</v>
      </c>
      <c r="T118" s="383">
        <v>16669.953729000001</v>
      </c>
      <c r="U118" s="383">
        <v>394742</v>
      </c>
      <c r="V118" s="294">
        <v>52663.205559115508</v>
      </c>
      <c r="W118" s="383">
        <v>35966.714598000013</v>
      </c>
      <c r="X118" s="383">
        <v>184506</v>
      </c>
      <c r="Y118" s="294">
        <v>24608.55666243345</v>
      </c>
      <c r="Z118" s="383">
        <v>16806.590574000002</v>
      </c>
      <c r="AA118" s="383">
        <v>579248</v>
      </c>
      <c r="AB118" s="294">
        <v>77271.762221548954</v>
      </c>
      <c r="AC118" s="383">
        <v>52773.305172</v>
      </c>
    </row>
    <row r="119" spans="2:29" hidden="1" outlineLevel="1" x14ac:dyDescent="0.25">
      <c r="B119" s="288">
        <v>42401</v>
      </c>
      <c r="C119" s="383">
        <v>290041</v>
      </c>
      <c r="D119" s="294">
        <v>38323.877514492931</v>
      </c>
      <c r="E119" s="383">
        <v>26246.322201999999</v>
      </c>
      <c r="F119" s="383">
        <v>109494</v>
      </c>
      <c r="G119" s="294">
        <v>14512.224625967439</v>
      </c>
      <c r="H119" s="383">
        <v>9938.7783309999995</v>
      </c>
      <c r="I119" s="383">
        <v>399535</v>
      </c>
      <c r="J119" s="294">
        <v>52836.102140460367</v>
      </c>
      <c r="K119" s="383">
        <v>36185.100532999997</v>
      </c>
      <c r="L119" s="383">
        <v>105124</v>
      </c>
      <c r="M119" s="294">
        <v>14304.609397870719</v>
      </c>
      <c r="N119" s="383">
        <v>9796.5918789999996</v>
      </c>
      <c r="O119" s="383">
        <v>75133</v>
      </c>
      <c r="P119" s="294">
        <v>10124.33680450437</v>
      </c>
      <c r="Q119" s="383">
        <v>6933.7087760000004</v>
      </c>
      <c r="R119" s="383">
        <v>180257</v>
      </c>
      <c r="S119" s="294">
        <v>24428.946202375089</v>
      </c>
      <c r="T119" s="383">
        <v>16730.300654999999</v>
      </c>
      <c r="U119" s="383">
        <v>395165</v>
      </c>
      <c r="V119" s="294">
        <v>52628.486912363653</v>
      </c>
      <c r="W119" s="383">
        <v>36042.914081000003</v>
      </c>
      <c r="X119" s="383">
        <v>184627</v>
      </c>
      <c r="Y119" s="294">
        <v>24636.561430471811</v>
      </c>
      <c r="Z119" s="383">
        <v>16872.487107000001</v>
      </c>
      <c r="AA119" s="383">
        <v>579792</v>
      </c>
      <c r="AB119" s="294">
        <v>77265.048342835449</v>
      </c>
      <c r="AC119" s="383">
        <v>52915.401188000003</v>
      </c>
    </row>
    <row r="120" spans="2:29" hidden="1" outlineLevel="1" x14ac:dyDescent="0.25">
      <c r="B120" s="288">
        <v>42430</v>
      </c>
      <c r="C120" s="383">
        <v>289522</v>
      </c>
      <c r="D120" s="294">
        <v>37951.446303595367</v>
      </c>
      <c r="E120" s="383">
        <v>26089.860443000001</v>
      </c>
      <c r="F120" s="383">
        <v>109195</v>
      </c>
      <c r="G120" s="294">
        <v>14331.94590359002</v>
      </c>
      <c r="H120" s="383">
        <v>9852.5485829999998</v>
      </c>
      <c r="I120" s="383">
        <v>398717</v>
      </c>
      <c r="J120" s="294">
        <v>52283.392207185389</v>
      </c>
      <c r="K120" s="383">
        <v>35942.409026000001</v>
      </c>
      <c r="L120" s="383">
        <v>105070</v>
      </c>
      <c r="M120" s="294">
        <v>14105.71383681244</v>
      </c>
      <c r="N120" s="383">
        <v>9697.0245219999997</v>
      </c>
      <c r="O120" s="383">
        <v>74986</v>
      </c>
      <c r="P120" s="294">
        <v>9959.1359000338161</v>
      </c>
      <c r="Q120" s="383">
        <v>6846.4443670000001</v>
      </c>
      <c r="R120" s="383">
        <v>180056</v>
      </c>
      <c r="S120" s="294">
        <v>24064.849736846249</v>
      </c>
      <c r="T120" s="383">
        <v>16543.468889</v>
      </c>
      <c r="U120" s="383">
        <v>394592</v>
      </c>
      <c r="V120" s="294">
        <v>52057.160140407803</v>
      </c>
      <c r="W120" s="383">
        <v>35786.884964999997</v>
      </c>
      <c r="X120" s="383">
        <v>184181</v>
      </c>
      <c r="Y120" s="294">
        <v>24291.081803623831</v>
      </c>
      <c r="Z120" s="383">
        <v>16698.99295</v>
      </c>
      <c r="AA120" s="383">
        <v>578773</v>
      </c>
      <c r="AB120" s="294">
        <v>76348.241944031644</v>
      </c>
      <c r="AC120" s="383">
        <v>52485.877914999997</v>
      </c>
    </row>
    <row r="121" spans="2:29" hidden="1" outlineLevel="1" x14ac:dyDescent="0.25">
      <c r="B121" s="288">
        <v>42461</v>
      </c>
      <c r="C121" s="383">
        <v>290006</v>
      </c>
      <c r="D121" s="294">
        <v>38099.687986684447</v>
      </c>
      <c r="E121" s="383">
        <v>26277.141800000001</v>
      </c>
      <c r="F121" s="383">
        <v>109202</v>
      </c>
      <c r="G121" s="294">
        <v>14344.372804508859</v>
      </c>
      <c r="H121" s="383">
        <v>9893.2337279999992</v>
      </c>
      <c r="I121" s="383">
        <v>399208</v>
      </c>
      <c r="J121" s="294">
        <v>52444.060791193297</v>
      </c>
      <c r="K121" s="383">
        <v>36170.375527999997</v>
      </c>
      <c r="L121" s="383">
        <v>105346</v>
      </c>
      <c r="M121" s="294">
        <v>14233.583217162521</v>
      </c>
      <c r="N121" s="383">
        <v>9816.8227690000003</v>
      </c>
      <c r="O121" s="383">
        <v>75254</v>
      </c>
      <c r="P121" s="294">
        <v>10110.01120076818</v>
      </c>
      <c r="Q121" s="383">
        <v>6972.8182029999998</v>
      </c>
      <c r="R121" s="383">
        <v>180600</v>
      </c>
      <c r="S121" s="294">
        <v>24343.594417930701</v>
      </c>
      <c r="T121" s="383">
        <v>16789.640972000001</v>
      </c>
      <c r="U121" s="383">
        <v>395352</v>
      </c>
      <c r="V121" s="294">
        <v>52333.271203846984</v>
      </c>
      <c r="W121" s="383">
        <v>36093.964569000003</v>
      </c>
      <c r="X121" s="383">
        <v>184456</v>
      </c>
      <c r="Y121" s="294">
        <v>24454.384005277039</v>
      </c>
      <c r="Z121" s="383">
        <v>16866.051931000002</v>
      </c>
      <c r="AA121" s="383">
        <v>579808</v>
      </c>
      <c r="AB121" s="294">
        <v>76787.655209124001</v>
      </c>
      <c r="AC121" s="383">
        <v>52960.016499999998</v>
      </c>
    </row>
    <row r="122" spans="2:29" hidden="1" outlineLevel="1" x14ac:dyDescent="0.25">
      <c r="B122" s="288">
        <v>42491</v>
      </c>
      <c r="C122" s="383">
        <v>290387</v>
      </c>
      <c r="D122" s="294">
        <v>38023.369691650129</v>
      </c>
      <c r="E122" s="383">
        <v>26283.366634000002</v>
      </c>
      <c r="F122" s="383">
        <v>109075</v>
      </c>
      <c r="G122" s="294">
        <v>14308.120961909161</v>
      </c>
      <c r="H122" s="383">
        <v>9890.3803669999998</v>
      </c>
      <c r="I122" s="383">
        <v>399462</v>
      </c>
      <c r="J122" s="294">
        <v>52331.490653559304</v>
      </c>
      <c r="K122" s="383">
        <v>36173.747001000003</v>
      </c>
      <c r="L122" s="383">
        <v>105384</v>
      </c>
      <c r="M122" s="294">
        <v>14049.47714452509</v>
      </c>
      <c r="N122" s="383">
        <v>9711.5947849999993</v>
      </c>
      <c r="O122" s="383">
        <v>75437</v>
      </c>
      <c r="P122" s="294">
        <v>10026.66009052902</v>
      </c>
      <c r="Q122" s="383">
        <v>6930.8529310000004</v>
      </c>
      <c r="R122" s="383">
        <v>180821</v>
      </c>
      <c r="S122" s="294">
        <v>24076.13723505411</v>
      </c>
      <c r="T122" s="383">
        <v>16642.447715999999</v>
      </c>
      <c r="U122" s="383">
        <v>395771</v>
      </c>
      <c r="V122" s="294">
        <v>52072.846836175217</v>
      </c>
      <c r="W122" s="383">
        <v>35994.961418999999</v>
      </c>
      <c r="X122" s="383">
        <v>184512</v>
      </c>
      <c r="Y122" s="294">
        <v>24334.781052438178</v>
      </c>
      <c r="Z122" s="383">
        <v>16821.233297999999</v>
      </c>
      <c r="AA122" s="383">
        <v>580283</v>
      </c>
      <c r="AB122" s="294">
        <v>76407.62788861341</v>
      </c>
      <c r="AC122" s="383">
        <v>52816.194717000013</v>
      </c>
    </row>
    <row r="123" spans="2:29" hidden="1" outlineLevel="1" x14ac:dyDescent="0.25">
      <c r="B123" s="288">
        <v>42522</v>
      </c>
      <c r="C123" s="383">
        <v>290710</v>
      </c>
      <c r="D123" s="294">
        <v>37802.386499200817</v>
      </c>
      <c r="E123" s="383">
        <v>26248.141976999999</v>
      </c>
      <c r="F123" s="383">
        <v>109011</v>
      </c>
      <c r="G123" s="294">
        <v>14178.03524470519</v>
      </c>
      <c r="H123" s="383">
        <v>9844.5393669999994</v>
      </c>
      <c r="I123" s="383">
        <v>399721</v>
      </c>
      <c r="J123" s="294">
        <v>51980.421743906008</v>
      </c>
      <c r="K123" s="383">
        <v>36092.681343999997</v>
      </c>
      <c r="L123" s="383">
        <v>105613</v>
      </c>
      <c r="M123" s="294">
        <v>14164.796309342209</v>
      </c>
      <c r="N123" s="383">
        <v>9835.3468929999999</v>
      </c>
      <c r="O123" s="383">
        <v>75584</v>
      </c>
      <c r="P123" s="294">
        <v>10050.458172144519</v>
      </c>
      <c r="Q123" s="383">
        <v>6978.5502310000002</v>
      </c>
      <c r="R123" s="383">
        <v>181197</v>
      </c>
      <c r="S123" s="294">
        <v>24215.254481486729</v>
      </c>
      <c r="T123" s="383">
        <v>16813.897123999999</v>
      </c>
      <c r="U123" s="383">
        <v>396323</v>
      </c>
      <c r="V123" s="294">
        <v>51967.182808543032</v>
      </c>
      <c r="W123" s="383">
        <v>36083.488870000001</v>
      </c>
      <c r="X123" s="383">
        <v>184595</v>
      </c>
      <c r="Y123" s="294">
        <v>24228.493416849709</v>
      </c>
      <c r="Z123" s="383">
        <v>16823.089597999999</v>
      </c>
      <c r="AA123" s="383">
        <v>580918</v>
      </c>
      <c r="AB123" s="294">
        <v>76195.67622539273</v>
      </c>
      <c r="AC123" s="383">
        <v>52906.578467999992</v>
      </c>
    </row>
    <row r="124" spans="2:29" hidden="1" outlineLevel="1" x14ac:dyDescent="0.25">
      <c r="B124" s="288">
        <v>42552</v>
      </c>
      <c r="C124" s="383">
        <v>290754</v>
      </c>
      <c r="D124" s="294">
        <v>39272.135245676218</v>
      </c>
      <c r="E124" s="383">
        <v>27334.633774000002</v>
      </c>
      <c r="F124" s="383">
        <v>108892</v>
      </c>
      <c r="G124" s="294">
        <v>14743.751677875191</v>
      </c>
      <c r="H124" s="383">
        <v>10262.112056</v>
      </c>
      <c r="I124" s="383">
        <v>399646</v>
      </c>
      <c r="J124" s="294">
        <v>54015.886923551407</v>
      </c>
      <c r="K124" s="383">
        <v>37596.74583</v>
      </c>
      <c r="L124" s="383">
        <v>105761</v>
      </c>
      <c r="M124" s="294">
        <v>14636.68699947162</v>
      </c>
      <c r="N124" s="383">
        <v>10187.591693</v>
      </c>
      <c r="O124" s="383">
        <v>75723</v>
      </c>
      <c r="P124" s="294">
        <v>10401.56749575174</v>
      </c>
      <c r="Q124" s="383">
        <v>7239.8161289999998</v>
      </c>
      <c r="R124" s="383">
        <v>181484</v>
      </c>
      <c r="S124" s="294">
        <v>25038.254495223351</v>
      </c>
      <c r="T124" s="383">
        <v>17427.407822000001</v>
      </c>
      <c r="U124" s="383">
        <v>396515</v>
      </c>
      <c r="V124" s="294">
        <v>53908.822245147843</v>
      </c>
      <c r="W124" s="383">
        <v>37522.225466999997</v>
      </c>
      <c r="X124" s="383">
        <v>184615</v>
      </c>
      <c r="Y124" s="294">
        <v>25145.319173626929</v>
      </c>
      <c r="Z124" s="383">
        <v>17501.928185000001</v>
      </c>
      <c r="AA124" s="383">
        <v>581130</v>
      </c>
      <c r="AB124" s="294">
        <v>79054.141418774772</v>
      </c>
      <c r="AC124" s="383">
        <v>55024.153652000001</v>
      </c>
    </row>
    <row r="125" spans="2:29" hidden="1" outlineLevel="1" x14ac:dyDescent="0.25">
      <c r="B125" s="288">
        <v>42583</v>
      </c>
      <c r="C125" s="383">
        <v>290722</v>
      </c>
      <c r="D125" s="294">
        <v>39284.820052770847</v>
      </c>
      <c r="E125" s="383">
        <v>27356.818115999999</v>
      </c>
      <c r="F125" s="383">
        <v>108727</v>
      </c>
      <c r="G125" s="294">
        <v>14712.224496992851</v>
      </c>
      <c r="H125" s="383">
        <v>10245.169739999999</v>
      </c>
      <c r="I125" s="383">
        <v>399449</v>
      </c>
      <c r="J125" s="294">
        <v>53997.044549763697</v>
      </c>
      <c r="K125" s="383">
        <v>37601.987856</v>
      </c>
      <c r="L125" s="383">
        <v>105741</v>
      </c>
      <c r="M125" s="294">
        <v>14594.91812862289</v>
      </c>
      <c r="N125" s="383">
        <v>10163.480960999999</v>
      </c>
      <c r="O125" s="383">
        <v>75743</v>
      </c>
      <c r="P125" s="294">
        <v>10356.51190646276</v>
      </c>
      <c r="Q125" s="383">
        <v>7211.9768439999998</v>
      </c>
      <c r="R125" s="383">
        <v>181484</v>
      </c>
      <c r="S125" s="294">
        <v>24951.43003508565</v>
      </c>
      <c r="T125" s="383">
        <v>17375.457804999998</v>
      </c>
      <c r="U125" s="383">
        <v>396463</v>
      </c>
      <c r="V125" s="294">
        <v>53879.738181393739</v>
      </c>
      <c r="W125" s="383">
        <v>37520.299077000003</v>
      </c>
      <c r="X125" s="383">
        <v>184470</v>
      </c>
      <c r="Y125" s="294">
        <v>25068.736403455619</v>
      </c>
      <c r="Z125" s="383">
        <v>17457.146583999998</v>
      </c>
      <c r="AA125" s="383">
        <v>580933</v>
      </c>
      <c r="AB125" s="294">
        <v>78948.474584849362</v>
      </c>
      <c r="AC125" s="383">
        <v>54977.445660999998</v>
      </c>
    </row>
    <row r="126" spans="2:29" hidden="1" outlineLevel="1" x14ac:dyDescent="0.25">
      <c r="B126" s="288">
        <v>42614</v>
      </c>
      <c r="C126" s="383">
        <v>290590</v>
      </c>
      <c r="D126" s="294">
        <v>39170.535760577368</v>
      </c>
      <c r="E126" s="383">
        <v>27343.619532000001</v>
      </c>
      <c r="F126" s="383">
        <v>108480</v>
      </c>
      <c r="G126" s="294">
        <v>14666.65943302051</v>
      </c>
      <c r="H126" s="383">
        <v>10238.296402</v>
      </c>
      <c r="I126" s="383">
        <v>399070</v>
      </c>
      <c r="J126" s="294">
        <v>53837.195193597872</v>
      </c>
      <c r="K126" s="383">
        <v>37581.915933999997</v>
      </c>
      <c r="L126" s="383">
        <v>105661</v>
      </c>
      <c r="M126" s="294">
        <v>14578.65299481757</v>
      </c>
      <c r="N126" s="383">
        <v>10176.862099</v>
      </c>
      <c r="O126" s="383">
        <v>75770</v>
      </c>
      <c r="P126" s="294">
        <v>10363.95703193583</v>
      </c>
      <c r="Q126" s="383">
        <v>7234.7261129999997</v>
      </c>
      <c r="R126" s="383">
        <v>181431</v>
      </c>
      <c r="S126" s="294">
        <v>24942.610026753398</v>
      </c>
      <c r="T126" s="383">
        <v>17411.588211999999</v>
      </c>
      <c r="U126" s="383">
        <v>396251</v>
      </c>
      <c r="V126" s="294">
        <v>53749.188755394927</v>
      </c>
      <c r="W126" s="383">
        <v>37520.481631000002</v>
      </c>
      <c r="X126" s="383">
        <v>184250</v>
      </c>
      <c r="Y126" s="294">
        <v>25030.61646495634</v>
      </c>
      <c r="Z126" s="383">
        <v>17473.022515000001</v>
      </c>
      <c r="AA126" s="383">
        <v>580501</v>
      </c>
      <c r="AB126" s="294">
        <v>78779.805220351263</v>
      </c>
      <c r="AC126" s="383">
        <v>54993.504145999992</v>
      </c>
    </row>
    <row r="127" spans="2:29" hidden="1" outlineLevel="1" x14ac:dyDescent="0.25">
      <c r="B127" s="288">
        <v>42644</v>
      </c>
      <c r="C127" s="383">
        <v>290392</v>
      </c>
      <c r="D127" s="294">
        <v>39061.206399032249</v>
      </c>
      <c r="E127" s="383">
        <v>27312.508570999998</v>
      </c>
      <c r="F127" s="383">
        <v>108234</v>
      </c>
      <c r="G127" s="294">
        <v>14567.677391492891</v>
      </c>
      <c r="H127" s="383">
        <v>10186.060552000001</v>
      </c>
      <c r="I127" s="383">
        <v>398626</v>
      </c>
      <c r="J127" s="294">
        <v>53628.883790525142</v>
      </c>
      <c r="K127" s="383">
        <v>37498.569123000001</v>
      </c>
      <c r="L127" s="383">
        <v>105680</v>
      </c>
      <c r="M127" s="294">
        <v>14554.60032438306</v>
      </c>
      <c r="N127" s="383">
        <v>10176.916761</v>
      </c>
      <c r="O127" s="383">
        <v>75906</v>
      </c>
      <c r="P127" s="294">
        <v>10389.78960866146</v>
      </c>
      <c r="Q127" s="383">
        <v>7264.7837559999998</v>
      </c>
      <c r="R127" s="383">
        <v>181586</v>
      </c>
      <c r="S127" s="294">
        <v>24944.38993304452</v>
      </c>
      <c r="T127" s="383">
        <v>17441.700517000001</v>
      </c>
      <c r="U127" s="383">
        <v>396072</v>
      </c>
      <c r="V127" s="294">
        <v>53615.806723415313</v>
      </c>
      <c r="W127" s="383">
        <v>37489.425331999999</v>
      </c>
      <c r="X127" s="383">
        <v>184140</v>
      </c>
      <c r="Y127" s="294">
        <v>24957.467000154342</v>
      </c>
      <c r="Z127" s="383">
        <v>17450.844308</v>
      </c>
      <c r="AA127" s="383">
        <v>580212</v>
      </c>
      <c r="AB127" s="294">
        <v>78573.27372356967</v>
      </c>
      <c r="AC127" s="383">
        <v>54940.269639999999</v>
      </c>
    </row>
    <row r="128" spans="2:29" hidden="1" outlineLevel="1" x14ac:dyDescent="0.25">
      <c r="B128" s="288">
        <v>42675</v>
      </c>
      <c r="C128" s="383">
        <v>290974</v>
      </c>
      <c r="D128" s="294">
        <v>39329.466773243483</v>
      </c>
      <c r="E128" s="383">
        <v>27514.86681</v>
      </c>
      <c r="F128" s="383">
        <v>108240</v>
      </c>
      <c r="G128" s="294">
        <v>14649.969956640271</v>
      </c>
      <c r="H128" s="383">
        <v>10249.108498</v>
      </c>
      <c r="I128" s="383">
        <v>399214</v>
      </c>
      <c r="J128" s="294">
        <v>53979.436729883753</v>
      </c>
      <c r="K128" s="383">
        <v>37763.975308000001</v>
      </c>
      <c r="L128" s="383">
        <v>105692</v>
      </c>
      <c r="M128" s="294">
        <v>14572.13942820072</v>
      </c>
      <c r="N128" s="383">
        <v>10194.658315999999</v>
      </c>
      <c r="O128" s="383">
        <v>76030</v>
      </c>
      <c r="P128" s="294">
        <v>10411.32167302213</v>
      </c>
      <c r="Q128" s="383">
        <v>7283.7531920000001</v>
      </c>
      <c r="R128" s="383">
        <v>181722</v>
      </c>
      <c r="S128" s="294">
        <v>24983.461101222849</v>
      </c>
      <c r="T128" s="383">
        <v>17478.411508000001</v>
      </c>
      <c r="U128" s="383">
        <v>396666</v>
      </c>
      <c r="V128" s="294">
        <v>53901.6062014442</v>
      </c>
      <c r="W128" s="383">
        <v>37709.525126</v>
      </c>
      <c r="X128" s="383">
        <v>184270</v>
      </c>
      <c r="Y128" s="294">
        <v>25061.291629662399</v>
      </c>
      <c r="Z128" s="383">
        <v>17532.861690000002</v>
      </c>
      <c r="AA128" s="383">
        <v>580936</v>
      </c>
      <c r="AB128" s="294">
        <v>78962.897831106602</v>
      </c>
      <c r="AC128" s="383">
        <v>55242.386815999998</v>
      </c>
    </row>
    <row r="129" spans="2:29" collapsed="1" x14ac:dyDescent="0.25">
      <c r="B129" s="288">
        <v>42705</v>
      </c>
      <c r="C129" s="383">
        <v>290606</v>
      </c>
      <c r="D129" s="294">
        <v>39093.870283734221</v>
      </c>
      <c r="E129" s="383">
        <v>27294.187395000001</v>
      </c>
      <c r="F129" s="383">
        <v>108045</v>
      </c>
      <c r="G129" s="294">
        <v>14549.748259478791</v>
      </c>
      <c r="H129" s="383">
        <v>10158.205178</v>
      </c>
      <c r="I129" s="383">
        <v>398651</v>
      </c>
      <c r="J129" s="294">
        <v>53643.618543213022</v>
      </c>
      <c r="K129" s="383">
        <v>37452.392572999997</v>
      </c>
      <c r="L129" s="383">
        <v>105476</v>
      </c>
      <c r="M129" s="294">
        <v>14467.247092373929</v>
      </c>
      <c r="N129" s="383">
        <v>10100.605296</v>
      </c>
      <c r="O129" s="383">
        <v>75845</v>
      </c>
      <c r="P129" s="294">
        <v>10351.66657369817</v>
      </c>
      <c r="Q129" s="383">
        <v>7227.2283420000003</v>
      </c>
      <c r="R129" s="383">
        <v>181321</v>
      </c>
      <c r="S129" s="294">
        <v>24818.913666072109</v>
      </c>
      <c r="T129" s="383">
        <v>17327.833638</v>
      </c>
      <c r="U129" s="383">
        <v>396082</v>
      </c>
      <c r="V129" s="294">
        <v>53561.117376108152</v>
      </c>
      <c r="W129" s="383">
        <v>37394.792691000002</v>
      </c>
      <c r="X129" s="383">
        <v>183890</v>
      </c>
      <c r="Y129" s="294">
        <v>24901.414833176968</v>
      </c>
      <c r="Z129" s="383">
        <v>17385.433519999999</v>
      </c>
      <c r="AA129" s="383">
        <v>579972</v>
      </c>
      <c r="AB129" s="294">
        <v>78462.532209285127</v>
      </c>
      <c r="AC129" s="383">
        <v>54780.226211000001</v>
      </c>
    </row>
    <row r="130" spans="2:29" hidden="1" outlineLevel="1" x14ac:dyDescent="0.25">
      <c r="B130" s="288">
        <v>42736</v>
      </c>
      <c r="C130" s="383">
        <v>291095</v>
      </c>
      <c r="D130" s="294">
        <v>42997.651805858477</v>
      </c>
      <c r="E130" s="383">
        <v>30181.828090999999</v>
      </c>
      <c r="F130" s="383">
        <v>108041</v>
      </c>
      <c r="G130" s="294">
        <v>15963.723885127931</v>
      </c>
      <c r="H130" s="383">
        <v>11205.597277000001</v>
      </c>
      <c r="I130" s="383">
        <v>399136</v>
      </c>
      <c r="J130" s="294">
        <v>58961.375690986402</v>
      </c>
      <c r="K130" s="383">
        <v>41387.425367999997</v>
      </c>
      <c r="L130" s="383">
        <v>105535</v>
      </c>
      <c r="M130" s="294">
        <v>15926.89516941595</v>
      </c>
      <c r="N130" s="383">
        <v>11179.74568</v>
      </c>
      <c r="O130" s="383">
        <v>75921</v>
      </c>
      <c r="P130" s="294">
        <v>11375.11233570912</v>
      </c>
      <c r="Q130" s="383">
        <v>7984.6612690000002</v>
      </c>
      <c r="R130" s="383">
        <v>181456</v>
      </c>
      <c r="S130" s="294">
        <v>27302.007505125071</v>
      </c>
      <c r="T130" s="383">
        <v>19164.406949</v>
      </c>
      <c r="U130" s="383">
        <v>396630</v>
      </c>
      <c r="V130" s="294">
        <v>58924.546975274417</v>
      </c>
      <c r="W130" s="383">
        <v>41361.573771000003</v>
      </c>
      <c r="X130" s="383">
        <v>183962</v>
      </c>
      <c r="Y130" s="294">
        <v>27338.836220837049</v>
      </c>
      <c r="Z130" s="383">
        <v>19190.258546000001</v>
      </c>
      <c r="AA130" s="383">
        <v>580592</v>
      </c>
      <c r="AB130" s="294">
        <v>86263.383196111477</v>
      </c>
      <c r="AC130" s="383">
        <v>60551.832316999993</v>
      </c>
    </row>
    <row r="131" spans="2:29" hidden="1" outlineLevel="1" x14ac:dyDescent="0.25">
      <c r="B131" s="288">
        <v>42767</v>
      </c>
      <c r="C131" s="383">
        <v>291502</v>
      </c>
      <c r="D131" s="294">
        <v>42945.419408099049</v>
      </c>
      <c r="E131" s="383">
        <v>30217.329634999998</v>
      </c>
      <c r="F131" s="383">
        <v>108057</v>
      </c>
      <c r="G131" s="294">
        <v>15918.65132890675</v>
      </c>
      <c r="H131" s="383">
        <v>11200.708741</v>
      </c>
      <c r="I131" s="383">
        <v>399559</v>
      </c>
      <c r="J131" s="294">
        <v>58864.070737005801</v>
      </c>
      <c r="K131" s="383">
        <v>41418.038375999997</v>
      </c>
      <c r="L131" s="383">
        <v>105511</v>
      </c>
      <c r="M131" s="294">
        <v>15808.83920059294</v>
      </c>
      <c r="N131" s="383">
        <v>11123.442542999999</v>
      </c>
      <c r="O131" s="383">
        <v>75979</v>
      </c>
      <c r="P131" s="294">
        <v>11321.92604282731</v>
      </c>
      <c r="Q131" s="383">
        <v>7966.3530140000003</v>
      </c>
      <c r="R131" s="383">
        <v>181490</v>
      </c>
      <c r="S131" s="294">
        <v>27130.765243420261</v>
      </c>
      <c r="T131" s="383">
        <v>19089.795557000001</v>
      </c>
      <c r="U131" s="383">
        <v>397013</v>
      </c>
      <c r="V131" s="294">
        <v>58754.258608691991</v>
      </c>
      <c r="W131" s="383">
        <v>41340.772177999999</v>
      </c>
      <c r="X131" s="383">
        <v>184036</v>
      </c>
      <c r="Y131" s="294">
        <v>27240.57737173406</v>
      </c>
      <c r="Z131" s="383">
        <v>19167.061754999999</v>
      </c>
      <c r="AA131" s="383">
        <v>581049</v>
      </c>
      <c r="AB131" s="294">
        <v>85994.835980426054</v>
      </c>
      <c r="AC131" s="383">
        <v>60507.833933000002</v>
      </c>
    </row>
    <row r="132" spans="2:29" hidden="1" outlineLevel="1" x14ac:dyDescent="0.25">
      <c r="B132" s="288">
        <v>42795</v>
      </c>
      <c r="C132" s="383">
        <v>291371</v>
      </c>
      <c r="D132" s="294">
        <v>42700.310582605132</v>
      </c>
      <c r="E132" s="383">
        <v>30159.711812000001</v>
      </c>
      <c r="F132" s="383">
        <v>107931</v>
      </c>
      <c r="G132" s="294">
        <v>15833.418867111919</v>
      </c>
      <c r="H132" s="383">
        <v>11183.322639</v>
      </c>
      <c r="I132" s="383">
        <v>399302</v>
      </c>
      <c r="J132" s="294">
        <v>58533.729449717051</v>
      </c>
      <c r="K132" s="383">
        <v>41343.034451</v>
      </c>
      <c r="L132" s="383">
        <v>105627</v>
      </c>
      <c r="M132" s="294">
        <v>15786.89945694263</v>
      </c>
      <c r="N132" s="383">
        <v>11150.465453999999</v>
      </c>
      <c r="O132" s="383">
        <v>76113</v>
      </c>
      <c r="P132" s="294">
        <v>11334.48673625945</v>
      </c>
      <c r="Q132" s="383">
        <v>8005.6760439999998</v>
      </c>
      <c r="R132" s="383">
        <v>181740</v>
      </c>
      <c r="S132" s="294">
        <v>27121.386193202081</v>
      </c>
      <c r="T132" s="383">
        <v>19156.141498000001</v>
      </c>
      <c r="U132" s="383">
        <v>396998</v>
      </c>
      <c r="V132" s="294">
        <v>58487.210039547746</v>
      </c>
      <c r="W132" s="383">
        <v>41310.177265999999</v>
      </c>
      <c r="X132" s="383">
        <v>184044</v>
      </c>
      <c r="Y132" s="294">
        <v>27167.905603371379</v>
      </c>
      <c r="Z132" s="383">
        <v>19188.998683000002</v>
      </c>
      <c r="AA132" s="383">
        <v>581042</v>
      </c>
      <c r="AB132" s="294">
        <v>85655.115642919132</v>
      </c>
      <c r="AC132" s="383">
        <v>60499.175948999997</v>
      </c>
    </row>
    <row r="133" spans="2:29" hidden="1" outlineLevel="1" x14ac:dyDescent="0.25">
      <c r="B133" s="288">
        <v>42826</v>
      </c>
      <c r="C133" s="383">
        <v>291764</v>
      </c>
      <c r="D133" s="294">
        <v>42747.376486879177</v>
      </c>
      <c r="E133" s="383">
        <v>30265.242558999998</v>
      </c>
      <c r="F133" s="383">
        <v>108038</v>
      </c>
      <c r="G133" s="294">
        <v>15850.284033481101</v>
      </c>
      <c r="H133" s="383">
        <v>11222.038177</v>
      </c>
      <c r="I133" s="383">
        <v>399802</v>
      </c>
      <c r="J133" s="294">
        <v>58597.660520360267</v>
      </c>
      <c r="K133" s="383">
        <v>41487.280736000001</v>
      </c>
      <c r="L133" s="383">
        <v>105610</v>
      </c>
      <c r="M133" s="294">
        <v>15688.97155380034</v>
      </c>
      <c r="N133" s="383">
        <v>11107.828563999999</v>
      </c>
      <c r="O133" s="383">
        <v>76247</v>
      </c>
      <c r="P133" s="294">
        <v>11298.664536851549</v>
      </c>
      <c r="Q133" s="383">
        <v>7999.4809249999998</v>
      </c>
      <c r="R133" s="383">
        <v>181857</v>
      </c>
      <c r="S133" s="294">
        <v>26987.636090651889</v>
      </c>
      <c r="T133" s="383">
        <v>19107.309488999999</v>
      </c>
      <c r="U133" s="383">
        <v>397374</v>
      </c>
      <c r="V133" s="294">
        <v>58436.348040679521</v>
      </c>
      <c r="W133" s="383">
        <v>41373.071123000002</v>
      </c>
      <c r="X133" s="383">
        <v>184285</v>
      </c>
      <c r="Y133" s="294">
        <v>27148.948570332639</v>
      </c>
      <c r="Z133" s="383">
        <v>19221.519101999998</v>
      </c>
      <c r="AA133" s="383">
        <v>581659</v>
      </c>
      <c r="AB133" s="294">
        <v>85585.296611012163</v>
      </c>
      <c r="AC133" s="383">
        <v>60594.590225</v>
      </c>
    </row>
    <row r="134" spans="2:29" hidden="1" outlineLevel="1" x14ac:dyDescent="0.25">
      <c r="B134" s="288">
        <v>42856</v>
      </c>
      <c r="C134" s="383">
        <v>292373</v>
      </c>
      <c r="D134" s="294">
        <v>42825.165117182623</v>
      </c>
      <c r="E134" s="383">
        <v>30358.785506</v>
      </c>
      <c r="F134" s="383">
        <v>108173</v>
      </c>
      <c r="G134" s="294">
        <v>15859.396242523349</v>
      </c>
      <c r="H134" s="383">
        <v>11242.735608000001</v>
      </c>
      <c r="I134" s="383">
        <v>400546</v>
      </c>
      <c r="J134" s="294">
        <v>58684.561359705978</v>
      </c>
      <c r="K134" s="383">
        <v>41601.521114000003</v>
      </c>
      <c r="L134" s="383">
        <v>105793</v>
      </c>
      <c r="M134" s="294">
        <v>15767.02125308107</v>
      </c>
      <c r="N134" s="383">
        <v>11177.250921999999</v>
      </c>
      <c r="O134" s="383">
        <v>76469</v>
      </c>
      <c r="P134" s="294">
        <v>11328.818370865691</v>
      </c>
      <c r="Q134" s="383">
        <v>8031.0062090000001</v>
      </c>
      <c r="R134" s="383">
        <v>182262</v>
      </c>
      <c r="S134" s="294">
        <v>27095.839623946769</v>
      </c>
      <c r="T134" s="383">
        <v>19208.257130999998</v>
      </c>
      <c r="U134" s="383">
        <v>398166</v>
      </c>
      <c r="V134" s="294">
        <v>58592.186370263698</v>
      </c>
      <c r="W134" s="383">
        <v>41536.036427999999</v>
      </c>
      <c r="X134" s="383">
        <v>184642</v>
      </c>
      <c r="Y134" s="294">
        <v>27188.214613389031</v>
      </c>
      <c r="Z134" s="383">
        <v>19273.741816999998</v>
      </c>
      <c r="AA134" s="383">
        <v>582808</v>
      </c>
      <c r="AB134" s="294">
        <v>85780.40098365274</v>
      </c>
      <c r="AC134" s="383">
        <v>60809.778245000001</v>
      </c>
    </row>
    <row r="135" spans="2:29" hidden="1" outlineLevel="1" x14ac:dyDescent="0.25">
      <c r="B135" s="288">
        <v>42887</v>
      </c>
      <c r="C135" s="383">
        <v>291766</v>
      </c>
      <c r="D135" s="294">
        <v>42638.89587198494</v>
      </c>
      <c r="E135" s="383">
        <v>30108.905911999998</v>
      </c>
      <c r="F135" s="383">
        <v>107911</v>
      </c>
      <c r="G135" s="294">
        <v>15768.34219932881</v>
      </c>
      <c r="H135" s="383">
        <v>11134.611296999999</v>
      </c>
      <c r="I135" s="383">
        <v>399677</v>
      </c>
      <c r="J135" s="294">
        <v>58407.238071313754</v>
      </c>
      <c r="K135" s="383">
        <v>41243.517208999998</v>
      </c>
      <c r="L135" s="383">
        <v>105559</v>
      </c>
      <c r="M135" s="294">
        <v>15700.021821335869</v>
      </c>
      <c r="N135" s="383">
        <v>11086.367743999999</v>
      </c>
      <c r="O135" s="383">
        <v>76366</v>
      </c>
      <c r="P135" s="294">
        <v>11301.19114414356</v>
      </c>
      <c r="Q135" s="383">
        <v>7980.1902440000003</v>
      </c>
      <c r="R135" s="383">
        <v>181925</v>
      </c>
      <c r="S135" s="294">
        <v>27001.21296547943</v>
      </c>
      <c r="T135" s="383">
        <v>19066.557988</v>
      </c>
      <c r="U135" s="383">
        <v>397325</v>
      </c>
      <c r="V135" s="294">
        <v>58338.917693320807</v>
      </c>
      <c r="W135" s="383">
        <v>41195.273655999998</v>
      </c>
      <c r="X135" s="383">
        <v>184277</v>
      </c>
      <c r="Y135" s="294">
        <v>27069.533343472369</v>
      </c>
      <c r="Z135" s="383">
        <v>19114.801541000001</v>
      </c>
      <c r="AA135" s="383">
        <v>581602</v>
      </c>
      <c r="AB135" s="294">
        <v>85408.45103679318</v>
      </c>
      <c r="AC135" s="383">
        <v>60310.075196999998</v>
      </c>
    </row>
    <row r="136" spans="2:29" hidden="1" outlineLevel="1" x14ac:dyDescent="0.25">
      <c r="B136" s="288">
        <v>42917</v>
      </c>
      <c r="C136" s="383">
        <v>291786</v>
      </c>
      <c r="D136" s="294">
        <v>43667.643975665087</v>
      </c>
      <c r="E136" s="383">
        <v>30909.688848000002</v>
      </c>
      <c r="F136" s="383">
        <v>107824</v>
      </c>
      <c r="G136" s="294">
        <v>16160.46472347105</v>
      </c>
      <c r="H136" s="383">
        <v>11439.017330999999</v>
      </c>
      <c r="I136" s="383">
        <v>399610</v>
      </c>
      <c r="J136" s="294">
        <v>59828.108699136137</v>
      </c>
      <c r="K136" s="383">
        <v>42348.706179000001</v>
      </c>
      <c r="L136" s="383">
        <v>105652</v>
      </c>
      <c r="M136" s="294">
        <v>16147.654181863911</v>
      </c>
      <c r="N136" s="383">
        <v>11429.949522000001</v>
      </c>
      <c r="O136" s="383">
        <v>76509</v>
      </c>
      <c r="P136" s="294">
        <v>11615.6120227176</v>
      </c>
      <c r="Q136" s="383">
        <v>8221.9904879999995</v>
      </c>
      <c r="R136" s="383">
        <v>182161</v>
      </c>
      <c r="S136" s="294">
        <v>27763.266204581501</v>
      </c>
      <c r="T136" s="383">
        <v>19651.940009999998</v>
      </c>
      <c r="U136" s="383">
        <v>397438</v>
      </c>
      <c r="V136" s="294">
        <v>59815.298157529003</v>
      </c>
      <c r="W136" s="383">
        <v>42339.638370000001</v>
      </c>
      <c r="X136" s="383">
        <v>184333</v>
      </c>
      <c r="Y136" s="294">
        <v>27776.07674618865</v>
      </c>
      <c r="Z136" s="383">
        <v>19661.007818999999</v>
      </c>
      <c r="AA136" s="383">
        <v>581771</v>
      </c>
      <c r="AB136" s="294">
        <v>87591.374903717631</v>
      </c>
      <c r="AC136" s="383">
        <v>62000.646188999999</v>
      </c>
    </row>
    <row r="137" spans="2:29" hidden="1" outlineLevel="1" x14ac:dyDescent="0.25">
      <c r="B137" s="288">
        <v>42948</v>
      </c>
      <c r="C137" s="383">
        <v>291749</v>
      </c>
      <c r="D137" s="294">
        <v>43345.463054634689</v>
      </c>
      <c r="E137" s="383">
        <v>30743.653221</v>
      </c>
      <c r="F137" s="383">
        <v>107568</v>
      </c>
      <c r="G137" s="294">
        <v>15990.892836475859</v>
      </c>
      <c r="H137" s="383">
        <v>11341.866701000001</v>
      </c>
      <c r="I137" s="383">
        <v>399317</v>
      </c>
      <c r="J137" s="294">
        <v>59336.35589111055</v>
      </c>
      <c r="K137" s="383">
        <v>42085.519921999999</v>
      </c>
      <c r="L137" s="383">
        <v>105661</v>
      </c>
      <c r="M137" s="294">
        <v>16014.521336100919</v>
      </c>
      <c r="N137" s="383">
        <v>11358.625695999999</v>
      </c>
      <c r="O137" s="383">
        <v>76579</v>
      </c>
      <c r="P137" s="294">
        <v>11514.12763087219</v>
      </c>
      <c r="Q137" s="383">
        <v>8166.6297249999998</v>
      </c>
      <c r="R137" s="383">
        <v>182240</v>
      </c>
      <c r="S137" s="294">
        <v>27528.648966973109</v>
      </c>
      <c r="T137" s="383">
        <v>19525.255421000002</v>
      </c>
      <c r="U137" s="383">
        <v>397410</v>
      </c>
      <c r="V137" s="294">
        <v>59359.984390735597</v>
      </c>
      <c r="W137" s="383">
        <v>42102.278917000003</v>
      </c>
      <c r="X137" s="383">
        <v>184147</v>
      </c>
      <c r="Y137" s="294">
        <v>27505.020467348051</v>
      </c>
      <c r="Z137" s="383">
        <v>19508.496426000002</v>
      </c>
      <c r="AA137" s="383">
        <v>581557</v>
      </c>
      <c r="AB137" s="294">
        <v>86865.004858083659</v>
      </c>
      <c r="AC137" s="383">
        <v>61610.775343000001</v>
      </c>
    </row>
    <row r="138" spans="2:29" hidden="1" outlineLevel="1" x14ac:dyDescent="0.25">
      <c r="B138" s="288">
        <v>42979</v>
      </c>
      <c r="C138" s="383">
        <v>291749</v>
      </c>
      <c r="D138" s="294">
        <v>43383.010530388339</v>
      </c>
      <c r="E138" s="383">
        <v>30723.767349999998</v>
      </c>
      <c r="F138" s="383">
        <v>107329</v>
      </c>
      <c r="G138" s="294">
        <v>15985.32638141162</v>
      </c>
      <c r="H138" s="383">
        <v>11320.778404999999</v>
      </c>
      <c r="I138" s="383">
        <v>399078</v>
      </c>
      <c r="J138" s="294">
        <v>59368.336911799961</v>
      </c>
      <c r="K138" s="383">
        <v>42044.545754999999</v>
      </c>
      <c r="L138" s="383">
        <v>105608</v>
      </c>
      <c r="M138" s="294">
        <v>15991.7563672377</v>
      </c>
      <c r="N138" s="383">
        <v>11325.332109000001</v>
      </c>
      <c r="O138" s="383">
        <v>76689</v>
      </c>
      <c r="P138" s="294">
        <v>11543.48901290558</v>
      </c>
      <c r="Q138" s="383">
        <v>8175.0774439999996</v>
      </c>
      <c r="R138" s="383">
        <v>182297</v>
      </c>
      <c r="S138" s="294">
        <v>27535.245380143278</v>
      </c>
      <c r="T138" s="383">
        <v>19500.409553000001</v>
      </c>
      <c r="U138" s="383">
        <v>397357</v>
      </c>
      <c r="V138" s="294">
        <v>59374.766897626039</v>
      </c>
      <c r="W138" s="383">
        <v>42049.099458999997</v>
      </c>
      <c r="X138" s="383">
        <v>184018</v>
      </c>
      <c r="Y138" s="294">
        <v>27528.8153943172</v>
      </c>
      <c r="Z138" s="383">
        <v>19495.855849</v>
      </c>
      <c r="AA138" s="383">
        <v>581375</v>
      </c>
      <c r="AB138" s="294">
        <v>86903.582291943239</v>
      </c>
      <c r="AC138" s="383">
        <v>61544.955307999997</v>
      </c>
    </row>
    <row r="139" spans="2:29" hidden="1" outlineLevel="1" x14ac:dyDescent="0.25">
      <c r="B139" s="288">
        <v>43009</v>
      </c>
      <c r="C139" s="383">
        <v>291575</v>
      </c>
      <c r="D139" s="294">
        <v>43160.798861737727</v>
      </c>
      <c r="E139" s="383">
        <v>30745.74368</v>
      </c>
      <c r="F139" s="383">
        <v>107184</v>
      </c>
      <c r="G139" s="294">
        <v>15881.928023444279</v>
      </c>
      <c r="H139" s="383">
        <v>11313.546112</v>
      </c>
      <c r="I139" s="383">
        <v>398759</v>
      </c>
      <c r="J139" s="294">
        <v>59042.726885182034</v>
      </c>
      <c r="K139" s="383">
        <v>42059.289792000003</v>
      </c>
      <c r="L139" s="383">
        <v>105489</v>
      </c>
      <c r="M139" s="294">
        <v>15887.91252459432</v>
      </c>
      <c r="N139" s="383">
        <v>11317.809192000001</v>
      </c>
      <c r="O139" s="383">
        <v>76751</v>
      </c>
      <c r="P139" s="294">
        <v>11491.842012215649</v>
      </c>
      <c r="Q139" s="383">
        <v>8186.2532259999998</v>
      </c>
      <c r="R139" s="383">
        <v>182240</v>
      </c>
      <c r="S139" s="294">
        <v>27379.75453680996</v>
      </c>
      <c r="T139" s="383">
        <v>19504.062418000001</v>
      </c>
      <c r="U139" s="383">
        <v>397064</v>
      </c>
      <c r="V139" s="294">
        <v>59048.711386332048</v>
      </c>
      <c r="W139" s="383">
        <v>42063.552872</v>
      </c>
      <c r="X139" s="383">
        <v>183935</v>
      </c>
      <c r="Y139" s="294">
        <v>27373.770035659931</v>
      </c>
      <c r="Z139" s="383">
        <v>19499.799338000001</v>
      </c>
      <c r="AA139" s="383">
        <v>580999</v>
      </c>
      <c r="AB139" s="294">
        <v>86422.481421991994</v>
      </c>
      <c r="AC139" s="383">
        <v>61563.352209999997</v>
      </c>
    </row>
    <row r="140" spans="2:29" hidden="1" outlineLevel="1" x14ac:dyDescent="0.25">
      <c r="B140" s="288">
        <v>43040</v>
      </c>
      <c r="C140" s="383">
        <v>291941</v>
      </c>
      <c r="D140" s="294">
        <v>43161.798778741628</v>
      </c>
      <c r="E140" s="383">
        <v>30772.771949000002</v>
      </c>
      <c r="F140" s="383">
        <v>107149</v>
      </c>
      <c r="G140" s="294">
        <v>15858.54327109207</v>
      </c>
      <c r="H140" s="383">
        <v>11306.55694</v>
      </c>
      <c r="I140" s="383">
        <v>399090</v>
      </c>
      <c r="J140" s="294">
        <v>59020.342049833693</v>
      </c>
      <c r="K140" s="383">
        <v>42079.328888999997</v>
      </c>
      <c r="L140" s="383">
        <v>105467</v>
      </c>
      <c r="M140" s="294">
        <v>15934.10443735847</v>
      </c>
      <c r="N140" s="383">
        <v>11360.429267</v>
      </c>
      <c r="O140" s="383">
        <v>76753</v>
      </c>
      <c r="P140" s="294">
        <v>11484.24012669072</v>
      </c>
      <c r="Q140" s="383">
        <v>8187.8399980000004</v>
      </c>
      <c r="R140" s="383">
        <v>182220</v>
      </c>
      <c r="S140" s="294">
        <v>27418.344564049188</v>
      </c>
      <c r="T140" s="383">
        <v>19548.269264999999</v>
      </c>
      <c r="U140" s="383">
        <v>397408</v>
      </c>
      <c r="V140" s="294">
        <v>59095.903216100101</v>
      </c>
      <c r="W140" s="383">
        <v>42133.201216000001</v>
      </c>
      <c r="X140" s="383">
        <v>183902</v>
      </c>
      <c r="Y140" s="294">
        <v>27342.78339778278</v>
      </c>
      <c r="Z140" s="383">
        <v>19494.396938000002</v>
      </c>
      <c r="AA140" s="383">
        <v>581310</v>
      </c>
      <c r="AB140" s="294">
        <v>86438.686613882877</v>
      </c>
      <c r="AC140" s="383">
        <v>61627.598153999992</v>
      </c>
    </row>
    <row r="141" spans="2:29" collapsed="1" x14ac:dyDescent="0.25">
      <c r="B141" s="288">
        <v>43070</v>
      </c>
      <c r="C141" s="383">
        <v>292377</v>
      </c>
      <c r="D141" s="294">
        <v>43195.73101475287</v>
      </c>
      <c r="E141" s="383">
        <v>30842.449317999999</v>
      </c>
      <c r="F141" s="383">
        <v>107133</v>
      </c>
      <c r="G141" s="294">
        <v>15834.20858770895</v>
      </c>
      <c r="H141" s="383">
        <v>11305.880567</v>
      </c>
      <c r="I141" s="383">
        <v>399510</v>
      </c>
      <c r="J141" s="294">
        <v>59029.939602461833</v>
      </c>
      <c r="K141" s="383">
        <v>42148.329884999999</v>
      </c>
      <c r="L141" s="383">
        <v>105470</v>
      </c>
      <c r="M141" s="294">
        <v>15850.431796510649</v>
      </c>
      <c r="N141" s="383">
        <v>11317.4642</v>
      </c>
      <c r="O141" s="383">
        <v>76834</v>
      </c>
      <c r="P141" s="294">
        <v>11463.34510508176</v>
      </c>
      <c r="Q141" s="383">
        <v>8185.0134749999997</v>
      </c>
      <c r="R141" s="383">
        <v>182304</v>
      </c>
      <c r="S141" s="294">
        <v>27313.77690159241</v>
      </c>
      <c r="T141" s="383">
        <v>19502.477674999998</v>
      </c>
      <c r="U141" s="383">
        <v>397847</v>
      </c>
      <c r="V141" s="294">
        <v>59046.162811263523</v>
      </c>
      <c r="W141" s="383">
        <v>42159.913518000001</v>
      </c>
      <c r="X141" s="383">
        <v>183967</v>
      </c>
      <c r="Y141" s="294">
        <v>27297.55369279072</v>
      </c>
      <c r="Z141" s="383">
        <v>19490.894042</v>
      </c>
      <c r="AA141" s="383">
        <v>581814</v>
      </c>
      <c r="AB141" s="294">
        <v>86343.716504054231</v>
      </c>
      <c r="AC141" s="383">
        <v>61650.807560000001</v>
      </c>
    </row>
    <row r="142" spans="2:29" hidden="1" outlineLevel="1" x14ac:dyDescent="0.25">
      <c r="B142" s="288">
        <v>43101</v>
      </c>
      <c r="C142" s="383">
        <v>292583</v>
      </c>
      <c r="D142" s="294">
        <v>42968.652429952817</v>
      </c>
      <c r="E142" s="383">
        <v>30821.601516999999</v>
      </c>
      <c r="F142" s="383">
        <v>107127</v>
      </c>
      <c r="G142" s="294">
        <v>15741.398024569189</v>
      </c>
      <c r="H142" s="383">
        <v>11291.373357</v>
      </c>
      <c r="I142" s="383">
        <v>399710</v>
      </c>
      <c r="J142" s="294">
        <v>58710.05045452201</v>
      </c>
      <c r="K142" s="383">
        <v>42112.974874</v>
      </c>
      <c r="L142" s="383">
        <v>105437</v>
      </c>
      <c r="M142" s="294">
        <v>15774.07789028618</v>
      </c>
      <c r="N142" s="383">
        <v>11314.814767</v>
      </c>
      <c r="O142" s="383">
        <v>76961</v>
      </c>
      <c r="P142" s="294">
        <v>11442.889360212021</v>
      </c>
      <c r="Q142" s="383">
        <v>8208.0343720000001</v>
      </c>
      <c r="R142" s="383">
        <v>182398</v>
      </c>
      <c r="S142" s="294">
        <v>27216.967250498201</v>
      </c>
      <c r="T142" s="383">
        <v>19522.849139000002</v>
      </c>
      <c r="U142" s="383">
        <v>398020</v>
      </c>
      <c r="V142" s="294">
        <v>58742.730320239003</v>
      </c>
      <c r="W142" s="383">
        <v>42136.416283999999</v>
      </c>
      <c r="X142" s="383">
        <v>184088</v>
      </c>
      <c r="Y142" s="294">
        <v>27184.287384781219</v>
      </c>
      <c r="Z142" s="383">
        <v>19499.407728999999</v>
      </c>
      <c r="AA142" s="383">
        <v>582108</v>
      </c>
      <c r="AB142" s="294">
        <v>85927.017705020218</v>
      </c>
      <c r="AC142" s="383">
        <v>61635.824012999998</v>
      </c>
    </row>
    <row r="143" spans="2:29" hidden="1" outlineLevel="1" x14ac:dyDescent="0.25">
      <c r="B143" s="288">
        <v>43132</v>
      </c>
      <c r="C143" s="383">
        <v>293042</v>
      </c>
      <c r="D143" s="294">
        <v>43015.820669784349</v>
      </c>
      <c r="E143" s="383">
        <v>30887.435579000001</v>
      </c>
      <c r="F143" s="383">
        <v>107132</v>
      </c>
      <c r="G143" s="294">
        <v>15742.460678886</v>
      </c>
      <c r="H143" s="383">
        <v>11303.846643000001</v>
      </c>
      <c r="I143" s="383">
        <v>400174</v>
      </c>
      <c r="J143" s="294">
        <v>58758.281348670353</v>
      </c>
      <c r="K143" s="383">
        <v>42191.282222000002</v>
      </c>
      <c r="L143" s="383">
        <v>105456</v>
      </c>
      <c r="M143" s="294">
        <v>15795.349376805611</v>
      </c>
      <c r="N143" s="383">
        <v>11341.823281000001</v>
      </c>
      <c r="O143" s="383">
        <v>77084</v>
      </c>
      <c r="P143" s="294">
        <v>11434.31916276994</v>
      </c>
      <c r="Q143" s="383">
        <v>8210.3930839999994</v>
      </c>
      <c r="R143" s="383">
        <v>182540</v>
      </c>
      <c r="S143" s="294">
        <v>27229.668539575548</v>
      </c>
      <c r="T143" s="383">
        <v>19552.216365</v>
      </c>
      <c r="U143" s="383">
        <v>398498</v>
      </c>
      <c r="V143" s="294">
        <v>58811.170046589963</v>
      </c>
      <c r="W143" s="383">
        <v>42229.258860000002</v>
      </c>
      <c r="X143" s="383">
        <v>184216</v>
      </c>
      <c r="Y143" s="294">
        <v>27176.779841655931</v>
      </c>
      <c r="Z143" s="383">
        <v>19514.239727</v>
      </c>
      <c r="AA143" s="383">
        <v>582714</v>
      </c>
      <c r="AB143" s="294">
        <v>85987.949888245901</v>
      </c>
      <c r="AC143" s="383">
        <v>61743.498587000002</v>
      </c>
    </row>
    <row r="144" spans="2:29" hidden="1" outlineLevel="1" x14ac:dyDescent="0.25">
      <c r="B144" s="288">
        <v>43160</v>
      </c>
      <c r="C144" s="383">
        <v>293567</v>
      </c>
      <c r="D144" s="294">
        <v>43102.112222113683</v>
      </c>
      <c r="E144" s="383">
        <v>31011.594394</v>
      </c>
      <c r="F144" s="383">
        <v>107103</v>
      </c>
      <c r="G144" s="294">
        <v>15727.16354441082</v>
      </c>
      <c r="H144" s="383">
        <v>11315.557212</v>
      </c>
      <c r="I144" s="383">
        <v>400670</v>
      </c>
      <c r="J144" s="294">
        <v>58829.275766524501</v>
      </c>
      <c r="K144" s="383">
        <v>42327.151605999999</v>
      </c>
      <c r="L144" s="383">
        <v>105616</v>
      </c>
      <c r="M144" s="294">
        <v>15793.245834153769</v>
      </c>
      <c r="N144" s="383">
        <v>11363.102843999999</v>
      </c>
      <c r="O144" s="383">
        <v>77234</v>
      </c>
      <c r="P144" s="294">
        <v>11472.84362883329</v>
      </c>
      <c r="Q144" s="383">
        <v>8254.6110809999991</v>
      </c>
      <c r="R144" s="383">
        <v>182850</v>
      </c>
      <c r="S144" s="294">
        <v>27266.089462987071</v>
      </c>
      <c r="T144" s="383">
        <v>19617.713925</v>
      </c>
      <c r="U144" s="383">
        <v>399183</v>
      </c>
      <c r="V144" s="294">
        <v>58895.358056267462</v>
      </c>
      <c r="W144" s="383">
        <v>42374.697238000001</v>
      </c>
      <c r="X144" s="383">
        <v>184337</v>
      </c>
      <c r="Y144" s="294">
        <v>27200.00717324411</v>
      </c>
      <c r="Z144" s="383">
        <v>19570.168292999999</v>
      </c>
      <c r="AA144" s="383">
        <v>583520</v>
      </c>
      <c r="AB144" s="294">
        <v>86095.365229511575</v>
      </c>
      <c r="AC144" s="383">
        <v>61944.865531000003</v>
      </c>
    </row>
    <row r="145" spans="2:29" hidden="1" outlineLevel="1" x14ac:dyDescent="0.25">
      <c r="B145" s="288">
        <v>43191</v>
      </c>
      <c r="C145" s="383">
        <v>294247</v>
      </c>
      <c r="D145" s="294">
        <v>43063.296269739149</v>
      </c>
      <c r="E145" s="383">
        <v>31066.575741000001</v>
      </c>
      <c r="F145" s="383">
        <v>107208</v>
      </c>
      <c r="G145" s="294">
        <v>15700.442323759111</v>
      </c>
      <c r="H145" s="383">
        <v>11326.559341</v>
      </c>
      <c r="I145" s="383">
        <v>401455</v>
      </c>
      <c r="J145" s="294">
        <v>58763.738593498252</v>
      </c>
      <c r="K145" s="383">
        <v>42393.135082000001</v>
      </c>
      <c r="L145" s="383">
        <v>105655</v>
      </c>
      <c r="M145" s="294">
        <v>15690.349220490551</v>
      </c>
      <c r="N145" s="383">
        <v>11319.278009</v>
      </c>
      <c r="O145" s="383">
        <v>77305</v>
      </c>
      <c r="P145" s="294">
        <v>11391.95033601867</v>
      </c>
      <c r="Q145" s="383">
        <v>8218.3418039999997</v>
      </c>
      <c r="R145" s="383">
        <v>182960</v>
      </c>
      <c r="S145" s="294">
        <v>27082.299556509221</v>
      </c>
      <c r="T145" s="383">
        <v>19537.619813000001</v>
      </c>
      <c r="U145" s="383">
        <v>399902</v>
      </c>
      <c r="V145" s="294">
        <v>58753.645490229697</v>
      </c>
      <c r="W145" s="383">
        <v>42385.853750000002</v>
      </c>
      <c r="X145" s="383">
        <v>184513</v>
      </c>
      <c r="Y145" s="294">
        <v>27092.392659777779</v>
      </c>
      <c r="Z145" s="383">
        <v>19544.901145</v>
      </c>
      <c r="AA145" s="383">
        <v>584415</v>
      </c>
      <c r="AB145" s="294">
        <v>85846.038150007473</v>
      </c>
      <c r="AC145" s="383">
        <v>61930.754895000013</v>
      </c>
    </row>
    <row r="146" spans="2:29" hidden="1" outlineLevel="1" x14ac:dyDescent="0.25">
      <c r="B146" s="288">
        <v>43221</v>
      </c>
      <c r="C146" s="383">
        <v>294732</v>
      </c>
      <c r="D146" s="294">
        <v>43006.033295876601</v>
      </c>
      <c r="E146" s="383">
        <v>31105.473312999999</v>
      </c>
      <c r="F146" s="383">
        <v>107281</v>
      </c>
      <c r="G146" s="294">
        <v>15671.458976614729</v>
      </c>
      <c r="H146" s="383">
        <v>11334.878193</v>
      </c>
      <c r="I146" s="383">
        <v>402013</v>
      </c>
      <c r="J146" s="294">
        <v>58677.492272491327</v>
      </c>
      <c r="K146" s="383">
        <v>42440.351505999999</v>
      </c>
      <c r="L146" s="383">
        <v>105715</v>
      </c>
      <c r="M146" s="294">
        <v>15665.703172926629</v>
      </c>
      <c r="N146" s="383">
        <v>11330.715125999999</v>
      </c>
      <c r="O146" s="383">
        <v>77366</v>
      </c>
      <c r="P146" s="294">
        <v>11383.11633095531</v>
      </c>
      <c r="Q146" s="383">
        <v>8233.198789</v>
      </c>
      <c r="R146" s="383">
        <v>183081</v>
      </c>
      <c r="S146" s="294">
        <v>27048.819503881939</v>
      </c>
      <c r="T146" s="383">
        <v>19563.913915000001</v>
      </c>
      <c r="U146" s="383">
        <v>400447</v>
      </c>
      <c r="V146" s="294">
        <v>58671.736468803232</v>
      </c>
      <c r="W146" s="383">
        <v>42436.188438999998</v>
      </c>
      <c r="X146" s="383">
        <v>184647</v>
      </c>
      <c r="Y146" s="294">
        <v>27054.575307570041</v>
      </c>
      <c r="Z146" s="383">
        <v>19568.076981999999</v>
      </c>
      <c r="AA146" s="383">
        <v>585094</v>
      </c>
      <c r="AB146" s="294">
        <v>85726.311776373273</v>
      </c>
      <c r="AC146" s="383">
        <v>62004.265420999996</v>
      </c>
    </row>
    <row r="147" spans="2:29" hidden="1" outlineLevel="1" x14ac:dyDescent="0.25">
      <c r="B147" s="288">
        <v>43252</v>
      </c>
      <c r="C147" s="383">
        <v>295169</v>
      </c>
      <c r="D147" s="294">
        <v>43012.513285128029</v>
      </c>
      <c r="E147" s="383">
        <v>31138.783287999999</v>
      </c>
      <c r="F147" s="383">
        <v>107282</v>
      </c>
      <c r="G147" s="294">
        <v>15644.897214539849</v>
      </c>
      <c r="H147" s="383">
        <v>11326.077616</v>
      </c>
      <c r="I147" s="383">
        <v>402451</v>
      </c>
      <c r="J147" s="294">
        <v>58657.41049966788</v>
      </c>
      <c r="K147" s="383">
        <v>42464.860904000001</v>
      </c>
      <c r="L147" s="383">
        <v>105807</v>
      </c>
      <c r="M147" s="294">
        <v>15712.79016490693</v>
      </c>
      <c r="N147" s="383">
        <v>11375.228519</v>
      </c>
      <c r="O147" s="383">
        <v>77464</v>
      </c>
      <c r="P147" s="294">
        <v>11397.64005357844</v>
      </c>
      <c r="Q147" s="383">
        <v>8251.2882069999996</v>
      </c>
      <c r="R147" s="383">
        <v>183271</v>
      </c>
      <c r="S147" s="294">
        <v>27110.43021848538</v>
      </c>
      <c r="T147" s="383">
        <v>19626.516726000002</v>
      </c>
      <c r="U147" s="383">
        <v>400976</v>
      </c>
      <c r="V147" s="294">
        <v>58725.30345003496</v>
      </c>
      <c r="W147" s="383">
        <v>42514.011807000003</v>
      </c>
      <c r="X147" s="383">
        <v>184746</v>
      </c>
      <c r="Y147" s="294">
        <v>27042.537268118289</v>
      </c>
      <c r="Z147" s="383">
        <v>19577.365823</v>
      </c>
      <c r="AA147" s="383">
        <v>585722</v>
      </c>
      <c r="AB147" s="294">
        <v>85767.840718153253</v>
      </c>
      <c r="AC147" s="383">
        <v>62091.377630000003</v>
      </c>
    </row>
    <row r="148" spans="2:29" hidden="1" outlineLevel="1" x14ac:dyDescent="0.25">
      <c r="B148" s="288">
        <v>43282</v>
      </c>
      <c r="C148" s="383">
        <v>295634</v>
      </c>
      <c r="D148" s="294">
        <v>43983.403739476533</v>
      </c>
      <c r="E148" s="383">
        <v>31945.149120999999</v>
      </c>
      <c r="F148" s="383">
        <v>107234</v>
      </c>
      <c r="G148" s="294">
        <v>15952.24521873913</v>
      </c>
      <c r="H148" s="383">
        <v>11586.116785</v>
      </c>
      <c r="I148" s="383">
        <v>402868</v>
      </c>
      <c r="J148" s="294">
        <v>59935.648958215657</v>
      </c>
      <c r="K148" s="383">
        <v>43531.265906000001</v>
      </c>
      <c r="L148" s="383">
        <v>105788</v>
      </c>
      <c r="M148" s="294">
        <v>15988.567436190489</v>
      </c>
      <c r="N148" s="383">
        <v>11612.497614</v>
      </c>
      <c r="O148" s="383">
        <v>77547</v>
      </c>
      <c r="P148" s="294">
        <v>11644.49252199386</v>
      </c>
      <c r="Q148" s="383">
        <v>8457.3957090000004</v>
      </c>
      <c r="R148" s="383">
        <v>183335</v>
      </c>
      <c r="S148" s="294">
        <v>27633.059958184349</v>
      </c>
      <c r="T148" s="383">
        <v>20069.893323</v>
      </c>
      <c r="U148" s="383">
        <v>401422</v>
      </c>
      <c r="V148" s="294">
        <v>59971.971175667008</v>
      </c>
      <c r="W148" s="383">
        <v>43557.646735000002</v>
      </c>
      <c r="X148" s="383">
        <v>184781</v>
      </c>
      <c r="Y148" s="294">
        <v>27596.737740732991</v>
      </c>
      <c r="Z148" s="383">
        <v>20043.512493999999</v>
      </c>
      <c r="AA148" s="383">
        <v>586203</v>
      </c>
      <c r="AB148" s="294">
        <v>87568.708916400006</v>
      </c>
      <c r="AC148" s="383">
        <v>63601.159228999997</v>
      </c>
    </row>
    <row r="149" spans="2:29" hidden="1" outlineLevel="1" x14ac:dyDescent="0.25">
      <c r="B149" s="288">
        <v>43313</v>
      </c>
      <c r="C149" s="383">
        <v>295924</v>
      </c>
      <c r="D149" s="294">
        <v>43999.852863461303</v>
      </c>
      <c r="E149" s="383">
        <v>31984.105604</v>
      </c>
      <c r="F149" s="383">
        <v>107093</v>
      </c>
      <c r="G149" s="294">
        <v>15926.90083192708</v>
      </c>
      <c r="H149" s="383">
        <v>11577.485946000001</v>
      </c>
      <c r="I149" s="383">
        <v>403017</v>
      </c>
      <c r="J149" s="294">
        <v>59926.753695388368</v>
      </c>
      <c r="K149" s="383">
        <v>43561.591549999997</v>
      </c>
      <c r="L149" s="383">
        <v>105679</v>
      </c>
      <c r="M149" s="294">
        <v>15950.2417922402</v>
      </c>
      <c r="N149" s="383">
        <v>11594.452815000001</v>
      </c>
      <c r="O149" s="383">
        <v>77605</v>
      </c>
      <c r="P149" s="294">
        <v>11635.800317251051</v>
      </c>
      <c r="Q149" s="383">
        <v>8458.2252420000004</v>
      </c>
      <c r="R149" s="383">
        <v>183284</v>
      </c>
      <c r="S149" s="294">
        <v>27586.042109491249</v>
      </c>
      <c r="T149" s="383">
        <v>20052.678057000001</v>
      </c>
      <c r="U149" s="383">
        <v>401603</v>
      </c>
      <c r="V149" s="294">
        <v>59950.09465570149</v>
      </c>
      <c r="W149" s="383">
        <v>43578.558419000001</v>
      </c>
      <c r="X149" s="383">
        <v>184698</v>
      </c>
      <c r="Y149" s="294">
        <v>27562.70114917813</v>
      </c>
      <c r="Z149" s="383">
        <v>20035.711188000001</v>
      </c>
      <c r="AA149" s="383">
        <v>586301</v>
      </c>
      <c r="AB149" s="294">
        <v>87512.795804879614</v>
      </c>
      <c r="AC149" s="383">
        <v>63614.269606999987</v>
      </c>
    </row>
    <row r="150" spans="2:29" hidden="1" outlineLevel="1" x14ac:dyDescent="0.25">
      <c r="B150" s="288">
        <v>43344</v>
      </c>
      <c r="C150" s="383">
        <v>296093</v>
      </c>
      <c r="D150" s="294">
        <v>43948.186994942393</v>
      </c>
      <c r="E150" s="383">
        <v>32010.968695</v>
      </c>
      <c r="F150" s="383">
        <v>106961</v>
      </c>
      <c r="G150" s="294">
        <v>15879.39047877715</v>
      </c>
      <c r="H150" s="383">
        <v>11566.226192</v>
      </c>
      <c r="I150" s="383">
        <v>403054</v>
      </c>
      <c r="J150" s="294">
        <v>59827.577473719553</v>
      </c>
      <c r="K150" s="383">
        <v>43577.194886999998</v>
      </c>
      <c r="L150" s="383">
        <v>105529</v>
      </c>
      <c r="M150" s="294">
        <v>15917.481796746761</v>
      </c>
      <c r="N150" s="383">
        <v>11593.971136</v>
      </c>
      <c r="O150" s="383">
        <v>77584</v>
      </c>
      <c r="P150" s="294">
        <v>11603.43837676749</v>
      </c>
      <c r="Q150" s="383">
        <v>8451.7093430000004</v>
      </c>
      <c r="R150" s="383">
        <v>183113</v>
      </c>
      <c r="S150" s="294">
        <v>27520.920173514241</v>
      </c>
      <c r="T150" s="383">
        <v>20045.680478999999</v>
      </c>
      <c r="U150" s="383">
        <v>401622</v>
      </c>
      <c r="V150" s="294">
        <v>59865.668791689153</v>
      </c>
      <c r="W150" s="383">
        <v>43604.939831000003</v>
      </c>
      <c r="X150" s="383">
        <v>184545</v>
      </c>
      <c r="Y150" s="294">
        <v>27482.828855544642</v>
      </c>
      <c r="Z150" s="383">
        <v>20017.935535000001</v>
      </c>
      <c r="AA150" s="383">
        <v>586167</v>
      </c>
      <c r="AB150" s="294">
        <v>87348.497647233788</v>
      </c>
      <c r="AC150" s="383">
        <v>63622.875365999993</v>
      </c>
    </row>
    <row r="151" spans="2:29" hidden="1" outlineLevel="1" x14ac:dyDescent="0.25">
      <c r="B151" s="288">
        <v>43374</v>
      </c>
      <c r="C151" s="383">
        <v>296516</v>
      </c>
      <c r="D151" s="294">
        <v>43900.418789883901</v>
      </c>
      <c r="E151" s="383">
        <v>32102.815280999999</v>
      </c>
      <c r="F151" s="383">
        <v>106848</v>
      </c>
      <c r="G151" s="294">
        <v>15812.14921266009</v>
      </c>
      <c r="H151" s="383">
        <v>11562.862482</v>
      </c>
      <c r="I151" s="383">
        <v>403364</v>
      </c>
      <c r="J151" s="294">
        <v>59712.568002543987</v>
      </c>
      <c r="K151" s="383">
        <v>43665.677763</v>
      </c>
      <c r="L151" s="383">
        <v>105419</v>
      </c>
      <c r="M151" s="294">
        <v>15837.394055594959</v>
      </c>
      <c r="N151" s="383">
        <v>11581.323138</v>
      </c>
      <c r="O151" s="383">
        <v>77638</v>
      </c>
      <c r="P151" s="294">
        <v>11589.76091825748</v>
      </c>
      <c r="Q151" s="383">
        <v>8475.1800590000003</v>
      </c>
      <c r="R151" s="383">
        <v>183057</v>
      </c>
      <c r="S151" s="294">
        <v>27427.154973852441</v>
      </c>
      <c r="T151" s="383">
        <v>20056.503196999998</v>
      </c>
      <c r="U151" s="383">
        <v>401935</v>
      </c>
      <c r="V151" s="294">
        <v>59737.81284547886</v>
      </c>
      <c r="W151" s="383">
        <v>43684.138419000003</v>
      </c>
      <c r="X151" s="383">
        <v>184486</v>
      </c>
      <c r="Y151" s="294">
        <v>27401.910130917571</v>
      </c>
      <c r="Z151" s="383">
        <v>20038.042540999999</v>
      </c>
      <c r="AA151" s="383">
        <v>586421</v>
      </c>
      <c r="AB151" s="294">
        <v>87139.722976396428</v>
      </c>
      <c r="AC151" s="383">
        <v>63722.180959999998</v>
      </c>
    </row>
    <row r="152" spans="2:29" hidden="1" outlineLevel="1" x14ac:dyDescent="0.25">
      <c r="B152" s="288">
        <v>43405</v>
      </c>
      <c r="C152" s="383">
        <v>297058</v>
      </c>
      <c r="D152" s="294">
        <v>43958.310172615777</v>
      </c>
      <c r="E152" s="383">
        <v>32118.362077000002</v>
      </c>
      <c r="F152" s="383">
        <v>106809</v>
      </c>
      <c r="G152" s="294">
        <v>15792.91178646651</v>
      </c>
      <c r="H152" s="383">
        <v>11539.171023999999</v>
      </c>
      <c r="I152" s="383">
        <v>403867</v>
      </c>
      <c r="J152" s="294">
        <v>59751.221959082293</v>
      </c>
      <c r="K152" s="383">
        <v>43657.533101000001</v>
      </c>
      <c r="L152" s="383">
        <v>105310</v>
      </c>
      <c r="M152" s="294">
        <v>15830.64304329932</v>
      </c>
      <c r="N152" s="383">
        <v>11566.739557999999</v>
      </c>
      <c r="O152" s="383">
        <v>77607</v>
      </c>
      <c r="P152" s="294">
        <v>11584.64467567156</v>
      </c>
      <c r="Q152" s="383">
        <v>8464.3793349999996</v>
      </c>
      <c r="R152" s="383">
        <v>182917</v>
      </c>
      <c r="S152" s="294">
        <v>27415.287718970871</v>
      </c>
      <c r="T152" s="383">
        <v>20031.118892999999</v>
      </c>
      <c r="U152" s="383">
        <v>402368</v>
      </c>
      <c r="V152" s="294">
        <v>59788.953215915099</v>
      </c>
      <c r="W152" s="383">
        <v>43685.101634999999</v>
      </c>
      <c r="X152" s="383">
        <v>184416</v>
      </c>
      <c r="Y152" s="294">
        <v>27377.556462138069</v>
      </c>
      <c r="Z152" s="383">
        <v>20003.550359000001</v>
      </c>
      <c r="AA152" s="383">
        <v>586784</v>
      </c>
      <c r="AB152" s="294">
        <v>87166.509678053175</v>
      </c>
      <c r="AC152" s="383">
        <v>63688.651994</v>
      </c>
    </row>
    <row r="153" spans="2:29" collapsed="1" x14ac:dyDescent="0.25">
      <c r="B153" s="288">
        <v>43435</v>
      </c>
      <c r="C153" s="383">
        <v>297497</v>
      </c>
      <c r="D153" s="294">
        <v>44121.603756619443</v>
      </c>
      <c r="E153" s="383">
        <v>32178.023913000001</v>
      </c>
      <c r="F153" s="383">
        <v>106851</v>
      </c>
      <c r="G153" s="294">
        <v>15852.71579154155</v>
      </c>
      <c r="H153" s="383">
        <v>11561.435315000001</v>
      </c>
      <c r="I153" s="383">
        <v>404348</v>
      </c>
      <c r="J153" s="294">
        <v>59974.31954816098</v>
      </c>
      <c r="K153" s="383">
        <v>43739.459228</v>
      </c>
      <c r="L153" s="383">
        <v>105302</v>
      </c>
      <c r="M153" s="294">
        <v>15932.782452780681</v>
      </c>
      <c r="N153" s="383">
        <v>11619.828181999999</v>
      </c>
      <c r="O153" s="383">
        <v>77609</v>
      </c>
      <c r="P153" s="294">
        <v>11641.84413298819</v>
      </c>
      <c r="Q153" s="383">
        <v>8490.4334159999999</v>
      </c>
      <c r="R153" s="383">
        <v>182911</v>
      </c>
      <c r="S153" s="294">
        <v>27574.62658576887</v>
      </c>
      <c r="T153" s="383">
        <v>20110.261598000001</v>
      </c>
      <c r="U153" s="383">
        <v>402799</v>
      </c>
      <c r="V153" s="294">
        <v>60054.386209400123</v>
      </c>
      <c r="W153" s="383">
        <v>43797.852095000002</v>
      </c>
      <c r="X153" s="383">
        <v>184460</v>
      </c>
      <c r="Y153" s="294">
        <v>27494.559924529742</v>
      </c>
      <c r="Z153" s="383">
        <v>20051.868730999999</v>
      </c>
      <c r="AA153" s="383">
        <v>587259</v>
      </c>
      <c r="AB153" s="294">
        <v>87548.946133929858</v>
      </c>
      <c r="AC153" s="383">
        <v>63849.720825999997</v>
      </c>
    </row>
    <row r="154" spans="2:29" hidden="1" outlineLevel="1" x14ac:dyDescent="0.25">
      <c r="B154" s="288">
        <v>43466</v>
      </c>
      <c r="C154" s="383">
        <v>298080</v>
      </c>
      <c r="D154" s="294">
        <v>44205.153881531623</v>
      </c>
      <c r="E154" s="383">
        <v>32274.734541999998</v>
      </c>
      <c r="F154" s="383">
        <v>106872</v>
      </c>
      <c r="G154" s="294">
        <v>15845.37221363672</v>
      </c>
      <c r="H154" s="383">
        <v>11568.904008</v>
      </c>
      <c r="I154" s="383">
        <v>404952</v>
      </c>
      <c r="J154" s="294">
        <v>60050.526095168338</v>
      </c>
      <c r="K154" s="383">
        <v>43843.638550000003</v>
      </c>
      <c r="L154" s="383">
        <v>105208</v>
      </c>
      <c r="M154" s="294">
        <v>15851.90813944107</v>
      </c>
      <c r="N154" s="383">
        <v>11573.675969</v>
      </c>
      <c r="O154" s="383">
        <v>77670</v>
      </c>
      <c r="P154" s="294">
        <v>11614.528054148481</v>
      </c>
      <c r="Q154" s="383">
        <v>8479.9118849999995</v>
      </c>
      <c r="R154" s="383">
        <v>182878</v>
      </c>
      <c r="S154" s="294">
        <v>27466.43619358955</v>
      </c>
      <c r="T154" s="383">
        <v>20053.587854000001</v>
      </c>
      <c r="U154" s="383">
        <v>403288</v>
      </c>
      <c r="V154" s="294">
        <v>60057.062020972691</v>
      </c>
      <c r="W154" s="383">
        <v>43848.410510999987</v>
      </c>
      <c r="X154" s="383">
        <v>184542</v>
      </c>
      <c r="Y154" s="294">
        <v>27459.900267785189</v>
      </c>
      <c r="Z154" s="383">
        <v>20048.815892999999</v>
      </c>
      <c r="AA154" s="383">
        <v>587830</v>
      </c>
      <c r="AB154" s="294">
        <v>87516.962288757888</v>
      </c>
      <c r="AC154" s="383">
        <v>63897.226404000001</v>
      </c>
    </row>
    <row r="155" spans="2:29" hidden="1" outlineLevel="1" x14ac:dyDescent="0.25">
      <c r="B155" s="288">
        <v>43497</v>
      </c>
      <c r="C155" s="383">
        <v>298635</v>
      </c>
      <c r="D155" s="294">
        <v>44199.075113671337</v>
      </c>
      <c r="E155" s="383">
        <v>32285.206327</v>
      </c>
      <c r="F155" s="383">
        <v>106895</v>
      </c>
      <c r="G155" s="294">
        <v>15831.408848835021</v>
      </c>
      <c r="H155" s="383">
        <v>11564.049696</v>
      </c>
      <c r="I155" s="383">
        <v>405530</v>
      </c>
      <c r="J155" s="294">
        <v>60030.483962506361</v>
      </c>
      <c r="K155" s="383">
        <v>43849.256023000002</v>
      </c>
      <c r="L155" s="383">
        <v>105188</v>
      </c>
      <c r="M155" s="294">
        <v>15835.953448508921</v>
      </c>
      <c r="N155" s="383">
        <v>11567.369298</v>
      </c>
      <c r="O155" s="383">
        <v>77752</v>
      </c>
      <c r="P155" s="294">
        <v>11629.65798423267</v>
      </c>
      <c r="Q155" s="383">
        <v>8494.8815460000005</v>
      </c>
      <c r="R155" s="383">
        <v>182940</v>
      </c>
      <c r="S155" s="294">
        <v>27465.611432741589</v>
      </c>
      <c r="T155" s="383">
        <v>20062.250843999998</v>
      </c>
      <c r="U155" s="383">
        <v>403823</v>
      </c>
      <c r="V155" s="294">
        <v>60035.028562180261</v>
      </c>
      <c r="W155" s="383">
        <v>43852.575624999998</v>
      </c>
      <c r="X155" s="383">
        <v>184647</v>
      </c>
      <c r="Y155" s="294">
        <v>27461.066833067689</v>
      </c>
      <c r="Z155" s="383">
        <v>20058.931241999999</v>
      </c>
      <c r="AA155" s="383">
        <v>588470</v>
      </c>
      <c r="AB155" s="294">
        <v>87496.095395247947</v>
      </c>
      <c r="AC155" s="383">
        <v>63911.506866999996</v>
      </c>
    </row>
    <row r="156" spans="2:29" hidden="1" outlineLevel="1" x14ac:dyDescent="0.25">
      <c r="B156" s="288">
        <v>43525</v>
      </c>
      <c r="C156" s="383">
        <v>299080</v>
      </c>
      <c r="D156" s="294">
        <v>44085.440896505352</v>
      </c>
      <c r="E156" s="383">
        <v>32354.929274999999</v>
      </c>
      <c r="F156" s="383">
        <v>106958</v>
      </c>
      <c r="G156" s="294">
        <v>15778.794647404049</v>
      </c>
      <c r="H156" s="383">
        <v>11580.280801999999</v>
      </c>
      <c r="I156" s="383">
        <v>406038</v>
      </c>
      <c r="J156" s="294">
        <v>59864.23554390941</v>
      </c>
      <c r="K156" s="383">
        <v>43935.210077000003</v>
      </c>
      <c r="L156" s="383">
        <v>105239</v>
      </c>
      <c r="M156" s="294">
        <v>15740.580035163441</v>
      </c>
      <c r="N156" s="383">
        <v>11552.234557</v>
      </c>
      <c r="O156" s="383">
        <v>77866</v>
      </c>
      <c r="P156" s="294">
        <v>11598.334941290161</v>
      </c>
      <c r="Q156" s="383">
        <v>8512.1822329999995</v>
      </c>
      <c r="R156" s="383">
        <v>183105</v>
      </c>
      <c r="S156" s="294">
        <v>27338.914976453609</v>
      </c>
      <c r="T156" s="383">
        <v>20064.416789999999</v>
      </c>
      <c r="U156" s="383">
        <v>404319</v>
      </c>
      <c r="V156" s="294">
        <v>59826.020931668798</v>
      </c>
      <c r="W156" s="383">
        <v>43907.163831999998</v>
      </c>
      <c r="X156" s="383">
        <v>184824</v>
      </c>
      <c r="Y156" s="294">
        <v>27377.12958869421</v>
      </c>
      <c r="Z156" s="383">
        <v>20092.463035000001</v>
      </c>
      <c r="AA156" s="383">
        <v>589143</v>
      </c>
      <c r="AB156" s="294">
        <v>87203.150520363008</v>
      </c>
      <c r="AC156" s="383">
        <v>63999.626866999999</v>
      </c>
    </row>
    <row r="157" spans="2:29" hidden="1" outlineLevel="1" x14ac:dyDescent="0.25">
      <c r="B157" s="288">
        <v>43556</v>
      </c>
      <c r="C157" s="383">
        <v>299513</v>
      </c>
      <c r="D157" s="294">
        <v>43980.301300857849</v>
      </c>
      <c r="E157" s="383">
        <v>32361.884473999999</v>
      </c>
      <c r="F157" s="383">
        <v>106957</v>
      </c>
      <c r="G157" s="294">
        <v>15708.577324969299</v>
      </c>
      <c r="H157" s="383">
        <v>11558.792223</v>
      </c>
      <c r="I157" s="383">
        <v>406470</v>
      </c>
      <c r="J157" s="294">
        <v>59688.878625827158</v>
      </c>
      <c r="K157" s="383">
        <v>43920.676697000003</v>
      </c>
      <c r="L157" s="383">
        <v>105215</v>
      </c>
      <c r="M157" s="294">
        <v>15698.559875243171</v>
      </c>
      <c r="N157" s="383">
        <v>11551.421114999999</v>
      </c>
      <c r="O157" s="383">
        <v>77900</v>
      </c>
      <c r="P157" s="294">
        <v>11515.480422256969</v>
      </c>
      <c r="Q157" s="383">
        <v>8473.3991370000003</v>
      </c>
      <c r="R157" s="383">
        <v>183115</v>
      </c>
      <c r="S157" s="294">
        <v>27214.040297500149</v>
      </c>
      <c r="T157" s="383">
        <v>20024.820252000001</v>
      </c>
      <c r="U157" s="383">
        <v>404728</v>
      </c>
      <c r="V157" s="294">
        <v>59678.861176101018</v>
      </c>
      <c r="W157" s="383">
        <v>43913.305589000003</v>
      </c>
      <c r="X157" s="383">
        <v>184857</v>
      </c>
      <c r="Y157" s="294">
        <v>27224.05774722627</v>
      </c>
      <c r="Z157" s="383">
        <v>20032.191360000001</v>
      </c>
      <c r="AA157" s="383">
        <v>589585</v>
      </c>
      <c r="AB157" s="294">
        <v>86902.918923327306</v>
      </c>
      <c r="AC157" s="383">
        <v>63945.496949000008</v>
      </c>
    </row>
    <row r="158" spans="2:29" hidden="1" outlineLevel="1" x14ac:dyDescent="0.25">
      <c r="B158" s="288">
        <v>43586</v>
      </c>
      <c r="C158" s="383">
        <v>299970</v>
      </c>
      <c r="D158" s="294">
        <v>43794.841464627803</v>
      </c>
      <c r="E158" s="383">
        <v>32420.201218999999</v>
      </c>
      <c r="F158" s="383">
        <v>107023</v>
      </c>
      <c r="G158" s="294">
        <v>15628.399572951341</v>
      </c>
      <c r="H158" s="383">
        <v>11569.304555999999</v>
      </c>
      <c r="I158" s="383">
        <v>406993</v>
      </c>
      <c r="J158" s="294">
        <v>59423.24103757913</v>
      </c>
      <c r="K158" s="383">
        <v>43989.505774999998</v>
      </c>
      <c r="L158" s="383">
        <v>105207</v>
      </c>
      <c r="M158" s="294">
        <v>15579.862186495649</v>
      </c>
      <c r="N158" s="383">
        <v>11533.37357</v>
      </c>
      <c r="O158" s="383">
        <v>77981</v>
      </c>
      <c r="P158" s="294">
        <v>11507.08346072725</v>
      </c>
      <c r="Q158" s="383">
        <v>8518.3996279999992</v>
      </c>
      <c r="R158" s="383">
        <v>183188</v>
      </c>
      <c r="S158" s="294">
        <v>27086.945647222899</v>
      </c>
      <c r="T158" s="383">
        <v>20051.773197999999</v>
      </c>
      <c r="U158" s="383">
        <v>405177</v>
      </c>
      <c r="V158" s="294">
        <v>59374.703651123447</v>
      </c>
      <c r="W158" s="383">
        <v>43953.574788999998</v>
      </c>
      <c r="X158" s="383">
        <v>185004</v>
      </c>
      <c r="Y158" s="294">
        <v>27135.483033678589</v>
      </c>
      <c r="Z158" s="383">
        <v>20087.704183999998</v>
      </c>
      <c r="AA158" s="383">
        <v>590181</v>
      </c>
      <c r="AB158" s="294">
        <v>86510.186684802029</v>
      </c>
      <c r="AC158" s="383">
        <v>64041.278972999993</v>
      </c>
    </row>
    <row r="159" spans="2:29" hidden="1" outlineLevel="1" x14ac:dyDescent="0.25">
      <c r="B159" s="288">
        <v>43617</v>
      </c>
      <c r="C159" s="383">
        <v>299952</v>
      </c>
      <c r="D159" s="294">
        <v>43734.030168833902</v>
      </c>
      <c r="E159" s="383">
        <v>32390.976790000001</v>
      </c>
      <c r="F159" s="383">
        <v>106910</v>
      </c>
      <c r="G159" s="294">
        <v>15607.083412379139</v>
      </c>
      <c r="H159" s="383">
        <v>11559.160558</v>
      </c>
      <c r="I159" s="383">
        <v>406862</v>
      </c>
      <c r="J159" s="294">
        <v>59341.113581213038</v>
      </c>
      <c r="K159" s="383">
        <v>43950.137347999997</v>
      </c>
      <c r="L159" s="383">
        <v>105150</v>
      </c>
      <c r="M159" s="294">
        <v>15586.08564453633</v>
      </c>
      <c r="N159" s="383">
        <v>11543.608865</v>
      </c>
      <c r="O159" s="383">
        <v>78001</v>
      </c>
      <c r="P159" s="294">
        <v>11470.408185266549</v>
      </c>
      <c r="Q159" s="383">
        <v>8495.3918919999996</v>
      </c>
      <c r="R159" s="383">
        <v>183151</v>
      </c>
      <c r="S159" s="294">
        <v>27056.493829802879</v>
      </c>
      <c r="T159" s="383">
        <v>20039.000757000002</v>
      </c>
      <c r="U159" s="383">
        <v>405102</v>
      </c>
      <c r="V159" s="294">
        <v>59320.115813370227</v>
      </c>
      <c r="W159" s="383">
        <v>43934.585655000003</v>
      </c>
      <c r="X159" s="383">
        <v>184911</v>
      </c>
      <c r="Y159" s="294">
        <v>27077.491597645701</v>
      </c>
      <c r="Z159" s="383">
        <v>20054.552449999999</v>
      </c>
      <c r="AA159" s="383">
        <v>590013</v>
      </c>
      <c r="AB159" s="294">
        <v>86397.607411015924</v>
      </c>
      <c r="AC159" s="383">
        <v>63989.138104999998</v>
      </c>
    </row>
    <row r="160" spans="2:29" hidden="1" outlineLevel="1" x14ac:dyDescent="0.25">
      <c r="B160" s="288">
        <v>43647</v>
      </c>
      <c r="C160" s="383">
        <v>300192</v>
      </c>
      <c r="D160" s="294">
        <v>44877.364018278196</v>
      </c>
      <c r="E160" s="383">
        <v>33312.088054</v>
      </c>
      <c r="F160" s="383">
        <v>106888</v>
      </c>
      <c r="G160" s="294">
        <v>15979.709663037611</v>
      </c>
      <c r="H160" s="383">
        <v>11861.603439</v>
      </c>
      <c r="I160" s="383">
        <v>407080</v>
      </c>
      <c r="J160" s="294">
        <v>60857.073681315807</v>
      </c>
      <c r="K160" s="383">
        <v>45173.691492999998</v>
      </c>
      <c r="L160" s="383">
        <v>105129</v>
      </c>
      <c r="M160" s="294">
        <v>15930.03909485232</v>
      </c>
      <c r="N160" s="383">
        <v>11824.733396</v>
      </c>
      <c r="O160" s="383">
        <v>78024</v>
      </c>
      <c r="P160" s="294">
        <v>11747.464192832331</v>
      </c>
      <c r="Q160" s="383">
        <v>8720.0433929999999</v>
      </c>
      <c r="R160" s="383">
        <v>183153</v>
      </c>
      <c r="S160" s="294">
        <v>27677.50328768466</v>
      </c>
      <c r="T160" s="383">
        <v>20544.776789</v>
      </c>
      <c r="U160" s="383">
        <v>405321</v>
      </c>
      <c r="V160" s="294">
        <v>60807.403113130516</v>
      </c>
      <c r="W160" s="383">
        <v>45136.821450000003</v>
      </c>
      <c r="X160" s="383">
        <v>184912</v>
      </c>
      <c r="Y160" s="294">
        <v>27727.173855869951</v>
      </c>
      <c r="Z160" s="383">
        <v>20581.646831999999</v>
      </c>
      <c r="AA160" s="383">
        <v>590233</v>
      </c>
      <c r="AB160" s="294">
        <v>88534.576969000467</v>
      </c>
      <c r="AC160" s="383">
        <v>65718.468282000002</v>
      </c>
    </row>
    <row r="161" spans="2:29" hidden="1" outlineLevel="1" x14ac:dyDescent="0.25">
      <c r="B161" s="288">
        <v>43678</v>
      </c>
      <c r="C161" s="383">
        <v>300148</v>
      </c>
      <c r="D161" s="294">
        <v>44763.984231976669</v>
      </c>
      <c r="E161" s="383">
        <v>33290.132503000001</v>
      </c>
      <c r="F161" s="383">
        <v>106680</v>
      </c>
      <c r="G161" s="294">
        <v>15906.4398346709</v>
      </c>
      <c r="H161" s="383">
        <v>11829.319906000001</v>
      </c>
      <c r="I161" s="383">
        <v>406828</v>
      </c>
      <c r="J161" s="294">
        <v>60670.424066647567</v>
      </c>
      <c r="K161" s="383">
        <v>45119.452408999998</v>
      </c>
      <c r="L161" s="383">
        <v>104843</v>
      </c>
      <c r="M161" s="294">
        <v>15826.371429281669</v>
      </c>
      <c r="N161" s="383">
        <v>11769.77454</v>
      </c>
      <c r="O161" s="383">
        <v>77895</v>
      </c>
      <c r="P161" s="294">
        <v>11690.131278143719</v>
      </c>
      <c r="Q161" s="383">
        <v>8693.7305940000006</v>
      </c>
      <c r="R161" s="383">
        <v>182738</v>
      </c>
      <c r="S161" s="294">
        <v>27516.502707425389</v>
      </c>
      <c r="T161" s="383">
        <v>20463.505133999999</v>
      </c>
      <c r="U161" s="383">
        <v>404991</v>
      </c>
      <c r="V161" s="294">
        <v>60590.355661258342</v>
      </c>
      <c r="W161" s="383">
        <v>45059.907042999999</v>
      </c>
      <c r="X161" s="383">
        <v>184575</v>
      </c>
      <c r="Y161" s="294">
        <v>27596.571112814621</v>
      </c>
      <c r="Z161" s="383">
        <v>20523.050500000001</v>
      </c>
      <c r="AA161" s="383">
        <v>589566</v>
      </c>
      <c r="AB161" s="294">
        <v>88186.926774072956</v>
      </c>
      <c r="AC161" s="383">
        <v>65582.957542999997</v>
      </c>
    </row>
    <row r="162" spans="2:29" hidden="1" outlineLevel="1" x14ac:dyDescent="0.25">
      <c r="B162" s="288">
        <v>43709</v>
      </c>
      <c r="C162" s="383">
        <v>300285</v>
      </c>
      <c r="D162" s="294">
        <v>44808.437086835962</v>
      </c>
      <c r="E162" s="383">
        <v>33327.225112</v>
      </c>
      <c r="F162" s="383">
        <v>106524</v>
      </c>
      <c r="G162" s="294">
        <v>15899.15395505619</v>
      </c>
      <c r="H162" s="383">
        <v>11825.332848</v>
      </c>
      <c r="I162" s="383">
        <v>406809</v>
      </c>
      <c r="J162" s="294">
        <v>60707.591041892148</v>
      </c>
      <c r="K162" s="383">
        <v>45152.557959999998</v>
      </c>
      <c r="L162" s="383">
        <v>104591</v>
      </c>
      <c r="M162" s="294">
        <v>15822.37069315237</v>
      </c>
      <c r="N162" s="383">
        <v>11768.223669000001</v>
      </c>
      <c r="O162" s="383">
        <v>77795</v>
      </c>
      <c r="P162" s="294">
        <v>11705.61792328212</v>
      </c>
      <c r="Q162" s="383">
        <v>8706.3015130000003</v>
      </c>
      <c r="R162" s="383">
        <v>182386</v>
      </c>
      <c r="S162" s="294">
        <v>27527.98861643449</v>
      </c>
      <c r="T162" s="383">
        <v>20474.525182000001</v>
      </c>
      <c r="U162" s="383">
        <v>404876</v>
      </c>
      <c r="V162" s="294">
        <v>60630.807779988332</v>
      </c>
      <c r="W162" s="383">
        <v>45095.448780999999</v>
      </c>
      <c r="X162" s="383">
        <v>184319</v>
      </c>
      <c r="Y162" s="294">
        <v>27604.77187833831</v>
      </c>
      <c r="Z162" s="383">
        <v>20531.634361</v>
      </c>
      <c r="AA162" s="383">
        <v>589195</v>
      </c>
      <c r="AB162" s="294">
        <v>88235.579658326635</v>
      </c>
      <c r="AC162" s="383">
        <v>65627.083142000003</v>
      </c>
    </row>
    <row r="163" spans="2:29" hidden="1" outlineLevel="1" x14ac:dyDescent="0.25">
      <c r="B163" s="288">
        <v>43739</v>
      </c>
      <c r="C163" s="383">
        <v>300301</v>
      </c>
      <c r="D163" s="294">
        <v>44458.297005638909</v>
      </c>
      <c r="E163" s="383">
        <v>33335.034397000003</v>
      </c>
      <c r="F163" s="383">
        <v>106310</v>
      </c>
      <c r="G163" s="294">
        <v>15736.466077794041</v>
      </c>
      <c r="H163" s="383">
        <v>11799.274226</v>
      </c>
      <c r="I163" s="383">
        <v>406611</v>
      </c>
      <c r="J163" s="294">
        <v>60194.763083432947</v>
      </c>
      <c r="K163" s="383">
        <v>45134.308622999997</v>
      </c>
      <c r="L163" s="383">
        <v>104481</v>
      </c>
      <c r="M163" s="294">
        <v>15740.76699714913</v>
      </c>
      <c r="N163" s="383">
        <v>11802.499075</v>
      </c>
      <c r="O163" s="383">
        <v>77796</v>
      </c>
      <c r="P163" s="294">
        <v>11636.556191650559</v>
      </c>
      <c r="Q163" s="383">
        <v>8725.1430450000007</v>
      </c>
      <c r="R163" s="383">
        <v>182277</v>
      </c>
      <c r="S163" s="294">
        <v>27377.323188799681</v>
      </c>
      <c r="T163" s="383">
        <v>20527.64212</v>
      </c>
      <c r="U163" s="383">
        <v>404782</v>
      </c>
      <c r="V163" s="294">
        <v>60199.064002788044</v>
      </c>
      <c r="W163" s="383">
        <v>45137.533472000003</v>
      </c>
      <c r="X163" s="383">
        <v>184106</v>
      </c>
      <c r="Y163" s="294">
        <v>27373.022269444598</v>
      </c>
      <c r="Z163" s="383">
        <v>20524.417270999998</v>
      </c>
      <c r="AA163" s="383">
        <v>588888</v>
      </c>
      <c r="AB163" s="294">
        <v>87572.086272232627</v>
      </c>
      <c r="AC163" s="383">
        <v>65661.950742999994</v>
      </c>
    </row>
    <row r="164" spans="2:29" hidden="1" outlineLevel="1" x14ac:dyDescent="0.25">
      <c r="B164" s="288">
        <v>43770</v>
      </c>
      <c r="C164" s="383">
        <v>300782</v>
      </c>
      <c r="D164" s="294">
        <v>44495.468877363113</v>
      </c>
      <c r="E164" s="383">
        <v>33391.211604999997</v>
      </c>
      <c r="F164" s="383">
        <v>106300</v>
      </c>
      <c r="G164" s="294">
        <v>15715.88629136581</v>
      </c>
      <c r="H164" s="383">
        <v>11793.840990000001</v>
      </c>
      <c r="I164" s="383">
        <v>407082</v>
      </c>
      <c r="J164" s="294">
        <v>60211.355168728922</v>
      </c>
      <c r="K164" s="383">
        <v>45185.052595000001</v>
      </c>
      <c r="L164" s="383">
        <v>104343</v>
      </c>
      <c r="M164" s="294">
        <v>15716.66528294516</v>
      </c>
      <c r="N164" s="383">
        <v>11794.425577</v>
      </c>
      <c r="O164" s="383">
        <v>77764</v>
      </c>
      <c r="P164" s="294">
        <v>11637.717936102799</v>
      </c>
      <c r="Q164" s="383">
        <v>8733.4174019999991</v>
      </c>
      <c r="R164" s="383">
        <v>182107</v>
      </c>
      <c r="S164" s="294">
        <v>27354.383219047959</v>
      </c>
      <c r="T164" s="383">
        <v>20527.842979000001</v>
      </c>
      <c r="U164" s="383">
        <v>405125</v>
      </c>
      <c r="V164" s="294">
        <v>60212.134160308262</v>
      </c>
      <c r="W164" s="383">
        <v>45185.637181999999</v>
      </c>
      <c r="X164" s="383">
        <v>184064</v>
      </c>
      <c r="Y164" s="294">
        <v>27353.604227468601</v>
      </c>
      <c r="Z164" s="383">
        <v>20527.258392</v>
      </c>
      <c r="AA164" s="383">
        <v>589189</v>
      </c>
      <c r="AB164" s="294">
        <v>87565.738387776888</v>
      </c>
      <c r="AC164" s="383">
        <v>65712.895573999995</v>
      </c>
    </row>
    <row r="165" spans="2:29" collapsed="1" x14ac:dyDescent="0.25">
      <c r="B165" s="288">
        <v>43800</v>
      </c>
      <c r="C165" s="383">
        <v>300920</v>
      </c>
      <c r="D165" s="294">
        <v>57459.662680452537</v>
      </c>
      <c r="E165" s="383">
        <v>43162.878689999998</v>
      </c>
      <c r="F165" s="383">
        <v>106146</v>
      </c>
      <c r="G165" s="294">
        <v>20167.423989971208</v>
      </c>
      <c r="H165" s="383">
        <v>15149.481124</v>
      </c>
      <c r="I165" s="383">
        <v>407066</v>
      </c>
      <c r="J165" s="294">
        <v>77627.086670423756</v>
      </c>
      <c r="K165" s="383">
        <v>58312.359814000003</v>
      </c>
      <c r="L165" s="383">
        <v>104196</v>
      </c>
      <c r="M165" s="294">
        <v>19223.350405873491</v>
      </c>
      <c r="N165" s="383">
        <v>14440.306519</v>
      </c>
      <c r="O165" s="383">
        <v>77761</v>
      </c>
      <c r="P165" s="294">
        <v>14287.092284871011</v>
      </c>
      <c r="Q165" s="383">
        <v>10732.259856000001</v>
      </c>
      <c r="R165" s="383">
        <v>181957</v>
      </c>
      <c r="S165" s="294">
        <v>33510.442690744501</v>
      </c>
      <c r="T165" s="383">
        <v>25172.566374999999</v>
      </c>
      <c r="U165" s="383">
        <v>405116</v>
      </c>
      <c r="V165" s="294">
        <v>76683.013086326042</v>
      </c>
      <c r="W165" s="383">
        <v>57603.185209000003</v>
      </c>
      <c r="X165" s="383">
        <v>183907</v>
      </c>
      <c r="Y165" s="294">
        <v>34454.516274842223</v>
      </c>
      <c r="Z165" s="383">
        <v>25881.740979999999</v>
      </c>
      <c r="AA165" s="383">
        <v>589023</v>
      </c>
      <c r="AB165" s="294">
        <v>111137.5293611683</v>
      </c>
      <c r="AC165" s="383">
        <v>83484.926189000005</v>
      </c>
    </row>
    <row r="166" spans="2:29" hidden="1" outlineLevel="1" x14ac:dyDescent="0.25">
      <c r="B166" s="288">
        <v>43831</v>
      </c>
      <c r="C166" s="383">
        <v>301556</v>
      </c>
      <c r="D166" s="294">
        <v>59719.554090840153</v>
      </c>
      <c r="E166" s="383">
        <v>45114.474414999997</v>
      </c>
      <c r="F166" s="383">
        <v>106262</v>
      </c>
      <c r="G166" s="294">
        <v>21493.309632229251</v>
      </c>
      <c r="H166" s="383">
        <v>16236.882245000001</v>
      </c>
      <c r="I166" s="383">
        <v>407818</v>
      </c>
      <c r="J166" s="294">
        <v>81212.8637230694</v>
      </c>
      <c r="K166" s="383">
        <v>61351.356659999998</v>
      </c>
      <c r="L166" s="383">
        <v>104225</v>
      </c>
      <c r="M166" s="294">
        <v>19826.06707109297</v>
      </c>
      <c r="N166" s="383">
        <v>14977.382353999999</v>
      </c>
      <c r="O166" s="383">
        <v>77856</v>
      </c>
      <c r="P166" s="294">
        <v>14708.49713931483</v>
      </c>
      <c r="Q166" s="383">
        <v>11111.370940000001</v>
      </c>
      <c r="R166" s="383">
        <v>182081</v>
      </c>
      <c r="S166" s="294">
        <v>34534.564210407792</v>
      </c>
      <c r="T166" s="383">
        <v>26088.753293999998</v>
      </c>
      <c r="U166" s="383">
        <v>405781</v>
      </c>
      <c r="V166" s="294">
        <v>79545.621161933115</v>
      </c>
      <c r="W166" s="383">
        <v>60091.856768999998</v>
      </c>
      <c r="X166" s="383">
        <v>184118</v>
      </c>
      <c r="Y166" s="294">
        <v>36201.806771544077</v>
      </c>
      <c r="Z166" s="383">
        <v>27348.253185000001</v>
      </c>
      <c r="AA166" s="383">
        <v>589899</v>
      </c>
      <c r="AB166" s="294">
        <v>115747.4279334772</v>
      </c>
      <c r="AC166" s="383">
        <v>87440.109954</v>
      </c>
    </row>
    <row r="167" spans="2:29" hidden="1" outlineLevel="1" x14ac:dyDescent="0.25">
      <c r="B167" s="288">
        <v>43862</v>
      </c>
      <c r="C167" s="383">
        <v>302529</v>
      </c>
      <c r="D167" s="294">
        <v>58083.065288931582</v>
      </c>
      <c r="E167" s="383">
        <v>44074.943618999998</v>
      </c>
      <c r="F167" s="383">
        <v>106478</v>
      </c>
      <c r="G167" s="294">
        <v>20634.506893778809</v>
      </c>
      <c r="H167" s="383">
        <v>15658.001577999999</v>
      </c>
      <c r="I167" s="383">
        <v>409007</v>
      </c>
      <c r="J167" s="294">
        <v>78717.572182710384</v>
      </c>
      <c r="K167" s="383">
        <v>59732.945197000001</v>
      </c>
      <c r="L167" s="383">
        <v>104288</v>
      </c>
      <c r="M167" s="294">
        <v>18923.329319005588</v>
      </c>
      <c r="N167" s="383">
        <v>14359.515439999999</v>
      </c>
      <c r="O167" s="383">
        <v>77902</v>
      </c>
      <c r="P167" s="294">
        <v>14133.21337692512</v>
      </c>
      <c r="Q167" s="383">
        <v>10724.65063</v>
      </c>
      <c r="R167" s="383">
        <v>182190</v>
      </c>
      <c r="S167" s="294">
        <v>33056.542695930708</v>
      </c>
      <c r="T167" s="383">
        <v>25084.166069999999</v>
      </c>
      <c r="U167" s="383">
        <v>406817</v>
      </c>
      <c r="V167" s="294">
        <v>77006.394607937167</v>
      </c>
      <c r="W167" s="383">
        <v>58434.459059000001</v>
      </c>
      <c r="X167" s="383">
        <v>184380</v>
      </c>
      <c r="Y167" s="294">
        <v>34767.720270703932</v>
      </c>
      <c r="Z167" s="383">
        <v>26382.652208</v>
      </c>
      <c r="AA167" s="383">
        <v>591197</v>
      </c>
      <c r="AB167" s="294">
        <v>111774.11487864111</v>
      </c>
      <c r="AC167" s="383">
        <v>84817.111267</v>
      </c>
    </row>
    <row r="168" spans="2:29" hidden="1" outlineLevel="1" x14ac:dyDescent="0.25">
      <c r="B168" s="288">
        <v>43891</v>
      </c>
      <c r="C168" s="383">
        <v>302939</v>
      </c>
      <c r="D168" s="294">
        <v>57972.584968991592</v>
      </c>
      <c r="E168" s="383">
        <v>44136.538859</v>
      </c>
      <c r="F168" s="383">
        <v>106463</v>
      </c>
      <c r="G168" s="294">
        <v>20564.850982729291</v>
      </c>
      <c r="H168" s="383">
        <v>15656.734041</v>
      </c>
      <c r="I168" s="383">
        <v>409402</v>
      </c>
      <c r="J168" s="294">
        <v>78537.43595172088</v>
      </c>
      <c r="K168" s="383">
        <v>59793.272900000004</v>
      </c>
      <c r="L168" s="383">
        <v>104495</v>
      </c>
      <c r="M168" s="294">
        <v>18898.428962780799</v>
      </c>
      <c r="N168" s="383">
        <v>14388.029182</v>
      </c>
      <c r="O168" s="383">
        <v>77989</v>
      </c>
      <c r="P168" s="294">
        <v>14102.094656924581</v>
      </c>
      <c r="Q168" s="383">
        <v>10736.413585</v>
      </c>
      <c r="R168" s="383">
        <v>182484</v>
      </c>
      <c r="S168" s="294">
        <v>33000.523619705367</v>
      </c>
      <c r="T168" s="383">
        <v>25124.442767</v>
      </c>
      <c r="U168" s="383">
        <v>407434</v>
      </c>
      <c r="V168" s="294">
        <v>76871.013931772381</v>
      </c>
      <c r="W168" s="383">
        <v>58524.568040999999</v>
      </c>
      <c r="X168" s="383">
        <v>184452</v>
      </c>
      <c r="Y168" s="294">
        <v>34666.945639653874</v>
      </c>
      <c r="Z168" s="383">
        <v>26393.147626000002</v>
      </c>
      <c r="AA168" s="383">
        <v>591886</v>
      </c>
      <c r="AB168" s="294">
        <v>111537.9595714263</v>
      </c>
      <c r="AC168" s="383">
        <v>84917.715667000011</v>
      </c>
    </row>
    <row r="169" spans="2:29" hidden="1" outlineLevel="1" x14ac:dyDescent="0.25">
      <c r="B169" s="288">
        <v>43922</v>
      </c>
      <c r="C169" s="383">
        <v>303117</v>
      </c>
      <c r="D169" s="294">
        <v>58037.263056316377</v>
      </c>
      <c r="E169" s="383">
        <v>44167.807281000001</v>
      </c>
      <c r="F169" s="383">
        <v>106371</v>
      </c>
      <c r="G169" s="294">
        <v>20558.417282333641</v>
      </c>
      <c r="H169" s="383">
        <v>15645.469216</v>
      </c>
      <c r="I169" s="383">
        <v>409488</v>
      </c>
      <c r="J169" s="294">
        <v>78595.680338650011</v>
      </c>
      <c r="K169" s="383">
        <v>59813.276496999999</v>
      </c>
      <c r="L169" s="383">
        <v>104476</v>
      </c>
      <c r="M169" s="294">
        <v>18902.678803489311</v>
      </c>
      <c r="N169" s="383">
        <v>14385.410863999999</v>
      </c>
      <c r="O169" s="383">
        <v>78073</v>
      </c>
      <c r="P169" s="294">
        <v>14127.705063051169</v>
      </c>
      <c r="Q169" s="383">
        <v>10751.536542</v>
      </c>
      <c r="R169" s="383">
        <v>182549</v>
      </c>
      <c r="S169" s="294">
        <v>33030.383866540476</v>
      </c>
      <c r="T169" s="383">
        <v>25136.947405999999</v>
      </c>
      <c r="U169" s="383">
        <v>407593</v>
      </c>
      <c r="V169" s="294">
        <v>76939.94185980568</v>
      </c>
      <c r="W169" s="383">
        <v>58553.218144999999</v>
      </c>
      <c r="X169" s="383">
        <v>184444</v>
      </c>
      <c r="Y169" s="294">
        <v>34686.122345384807</v>
      </c>
      <c r="Z169" s="383">
        <v>26397.005757999999</v>
      </c>
      <c r="AA169" s="383">
        <v>592037</v>
      </c>
      <c r="AB169" s="294">
        <v>111626.0642051905</v>
      </c>
      <c r="AC169" s="383">
        <v>84950.223903000006</v>
      </c>
    </row>
    <row r="170" spans="2:29" hidden="1" outlineLevel="1" x14ac:dyDescent="0.25">
      <c r="B170" s="288">
        <v>43952</v>
      </c>
      <c r="C170" s="383">
        <v>303106</v>
      </c>
      <c r="D170" s="294">
        <v>58079.056954202759</v>
      </c>
      <c r="E170" s="383">
        <v>44177.632132999999</v>
      </c>
      <c r="F170" s="383">
        <v>106379</v>
      </c>
      <c r="G170" s="294">
        <v>20575.900339682401</v>
      </c>
      <c r="H170" s="383">
        <v>15650.986838999999</v>
      </c>
      <c r="I170" s="383">
        <v>409485</v>
      </c>
      <c r="J170" s="294">
        <v>78654.957293885163</v>
      </c>
      <c r="K170" s="383">
        <v>59828.618971999997</v>
      </c>
      <c r="L170" s="383">
        <v>104421</v>
      </c>
      <c r="M170" s="294">
        <v>18901.980340386221</v>
      </c>
      <c r="N170" s="383">
        <v>14377.725429</v>
      </c>
      <c r="O170" s="383">
        <v>78092</v>
      </c>
      <c r="P170" s="294">
        <v>14133.50585131653</v>
      </c>
      <c r="Q170" s="383">
        <v>10750.601938</v>
      </c>
      <c r="R170" s="383">
        <v>182513</v>
      </c>
      <c r="S170" s="294">
        <v>33035.486191702737</v>
      </c>
      <c r="T170" s="383">
        <v>25128.327367000002</v>
      </c>
      <c r="U170" s="383">
        <v>407527</v>
      </c>
      <c r="V170" s="294">
        <v>76981.037294588983</v>
      </c>
      <c r="W170" s="383">
        <v>58555.357561999997</v>
      </c>
      <c r="X170" s="383">
        <v>184471</v>
      </c>
      <c r="Y170" s="294">
        <v>34709.406190998932</v>
      </c>
      <c r="Z170" s="383">
        <v>26401.588777000001</v>
      </c>
      <c r="AA170" s="383">
        <v>591998</v>
      </c>
      <c r="AB170" s="294">
        <v>111690.44348558789</v>
      </c>
      <c r="AC170" s="383">
        <v>84956.946339000002</v>
      </c>
    </row>
    <row r="171" spans="2:29" hidden="1" outlineLevel="1" x14ac:dyDescent="0.25">
      <c r="B171" s="288">
        <v>43983</v>
      </c>
      <c r="C171" s="383">
        <v>303034</v>
      </c>
      <c r="D171" s="294">
        <v>58117.22274403576</v>
      </c>
      <c r="E171" s="383">
        <v>44174.881732000002</v>
      </c>
      <c r="F171" s="383">
        <v>106296</v>
      </c>
      <c r="G171" s="294">
        <v>20576.375832873819</v>
      </c>
      <c r="H171" s="383">
        <v>15640.096446</v>
      </c>
      <c r="I171" s="383">
        <v>409330</v>
      </c>
      <c r="J171" s="294">
        <v>78693.598576909571</v>
      </c>
      <c r="K171" s="383">
        <v>59814.978177999998</v>
      </c>
      <c r="L171" s="383">
        <v>104307</v>
      </c>
      <c r="M171" s="294">
        <v>18895.231153771962</v>
      </c>
      <c r="N171" s="383">
        <v>14362.258932999999</v>
      </c>
      <c r="O171" s="383">
        <v>78085</v>
      </c>
      <c r="P171" s="294">
        <v>14141.78885068763</v>
      </c>
      <c r="Q171" s="383">
        <v>10749.169014999999</v>
      </c>
      <c r="R171" s="383">
        <v>182392</v>
      </c>
      <c r="S171" s="294">
        <v>33037.020004459599</v>
      </c>
      <c r="T171" s="383">
        <v>25111.427948</v>
      </c>
      <c r="U171" s="383">
        <v>407341</v>
      </c>
      <c r="V171" s="294">
        <v>77012.453897807718</v>
      </c>
      <c r="W171" s="383">
        <v>58537.140664999999</v>
      </c>
      <c r="X171" s="383">
        <v>184381</v>
      </c>
      <c r="Y171" s="294">
        <v>34718.164683561452</v>
      </c>
      <c r="Z171" s="383">
        <v>26389.265460999999</v>
      </c>
      <c r="AA171" s="383">
        <v>591722</v>
      </c>
      <c r="AB171" s="294">
        <v>111730.6185813692</v>
      </c>
      <c r="AC171" s="383">
        <v>84926.406126000002</v>
      </c>
    </row>
    <row r="172" spans="2:29" hidden="1" outlineLevel="1" x14ac:dyDescent="0.25">
      <c r="B172" s="288">
        <v>44013</v>
      </c>
      <c r="C172" s="383">
        <v>303114</v>
      </c>
      <c r="D172" s="294">
        <v>59598.085433583117</v>
      </c>
      <c r="E172" s="383">
        <v>45345.935371</v>
      </c>
      <c r="F172" s="383">
        <v>106052</v>
      </c>
      <c r="G172" s="294">
        <v>21044.351847533209</v>
      </c>
      <c r="H172" s="383">
        <v>16011.8536</v>
      </c>
      <c r="I172" s="383">
        <v>409166</v>
      </c>
      <c r="J172" s="294">
        <v>80642.437281116334</v>
      </c>
      <c r="K172" s="383">
        <v>61357.788971000002</v>
      </c>
      <c r="L172" s="383">
        <v>104212</v>
      </c>
      <c r="M172" s="294">
        <v>19350.350128600501</v>
      </c>
      <c r="N172" s="383">
        <v>14722.951584</v>
      </c>
      <c r="O172" s="383">
        <v>77973</v>
      </c>
      <c r="P172" s="294">
        <v>14475.580585176929</v>
      </c>
      <c r="Q172" s="383">
        <v>11013.923298</v>
      </c>
      <c r="R172" s="383">
        <v>182185</v>
      </c>
      <c r="S172" s="294">
        <v>33825.930713777438</v>
      </c>
      <c r="T172" s="383">
        <v>25736.874882</v>
      </c>
      <c r="U172" s="383">
        <v>407326</v>
      </c>
      <c r="V172" s="294">
        <v>78948.435562183629</v>
      </c>
      <c r="W172" s="383">
        <v>60068.886955000002</v>
      </c>
      <c r="X172" s="383">
        <v>184025</v>
      </c>
      <c r="Y172" s="294">
        <v>35519.932432710149</v>
      </c>
      <c r="Z172" s="383">
        <v>27025.776898</v>
      </c>
      <c r="AA172" s="383">
        <v>591351</v>
      </c>
      <c r="AB172" s="294">
        <v>114468.36799489379</v>
      </c>
      <c r="AC172" s="383">
        <v>87094.663853000005</v>
      </c>
    </row>
    <row r="173" spans="2:29" hidden="1" outlineLevel="1" x14ac:dyDescent="0.25">
      <c r="B173" s="288">
        <v>44044</v>
      </c>
      <c r="C173" s="383">
        <v>302726</v>
      </c>
      <c r="D173" s="294">
        <v>59467.179399611807</v>
      </c>
      <c r="E173" s="383">
        <v>45306.102684999998</v>
      </c>
      <c r="F173" s="383">
        <v>105522</v>
      </c>
      <c r="G173" s="294">
        <v>20918.979201715389</v>
      </c>
      <c r="H173" s="383">
        <v>15937.487356</v>
      </c>
      <c r="I173" s="383">
        <v>408248</v>
      </c>
      <c r="J173" s="294">
        <v>80386.158601327203</v>
      </c>
      <c r="K173" s="383">
        <v>61243.590041000003</v>
      </c>
      <c r="L173" s="383">
        <v>104019</v>
      </c>
      <c r="M173" s="294">
        <v>19294.186126256471</v>
      </c>
      <c r="N173" s="383">
        <v>14699.610553</v>
      </c>
      <c r="O173" s="383">
        <v>77954</v>
      </c>
      <c r="P173" s="294">
        <v>14456.90571086096</v>
      </c>
      <c r="Q173" s="383">
        <v>11014.244516999999</v>
      </c>
      <c r="R173" s="383">
        <v>181973</v>
      </c>
      <c r="S173" s="294">
        <v>33751.091837117427</v>
      </c>
      <c r="T173" s="383">
        <v>25713.855070000001</v>
      </c>
      <c r="U173" s="383">
        <v>406745</v>
      </c>
      <c r="V173" s="294">
        <v>78761.36552586827</v>
      </c>
      <c r="W173" s="383">
        <v>60005.713237999997</v>
      </c>
      <c r="X173" s="383">
        <v>183476</v>
      </c>
      <c r="Y173" s="294">
        <v>35375.884912576352</v>
      </c>
      <c r="Z173" s="383">
        <v>26951.731873000001</v>
      </c>
      <c r="AA173" s="383">
        <v>590221</v>
      </c>
      <c r="AB173" s="294">
        <v>114137.25043844459</v>
      </c>
      <c r="AC173" s="383">
        <v>86957.445111000008</v>
      </c>
    </row>
    <row r="174" spans="2:29" hidden="1" outlineLevel="1" x14ac:dyDescent="0.25">
      <c r="B174" s="288">
        <v>44075</v>
      </c>
      <c r="C174" s="383">
        <v>302786</v>
      </c>
      <c r="D174" s="294">
        <v>59112.295730960002</v>
      </c>
      <c r="E174" s="383">
        <v>45321.808816999997</v>
      </c>
      <c r="F174" s="383">
        <v>105100</v>
      </c>
      <c r="G174" s="294">
        <v>20707.673701627191</v>
      </c>
      <c r="H174" s="383">
        <v>15876.717643</v>
      </c>
      <c r="I174" s="383">
        <v>407886</v>
      </c>
      <c r="J174" s="294">
        <v>79819.969432587197</v>
      </c>
      <c r="K174" s="383">
        <v>61198.526460000001</v>
      </c>
      <c r="L174" s="383">
        <v>103817</v>
      </c>
      <c r="M174" s="294">
        <v>19134.503510084109</v>
      </c>
      <c r="N174" s="383">
        <v>14670.557101</v>
      </c>
      <c r="O174" s="383">
        <v>77928</v>
      </c>
      <c r="P174" s="294">
        <v>14360.05281105615</v>
      </c>
      <c r="Q174" s="383">
        <v>11009.952499000001</v>
      </c>
      <c r="R174" s="383">
        <v>181745</v>
      </c>
      <c r="S174" s="294">
        <v>33494.556321140262</v>
      </c>
      <c r="T174" s="383">
        <v>25680.509600000001</v>
      </c>
      <c r="U174" s="383">
        <v>406603</v>
      </c>
      <c r="V174" s="294">
        <v>78246.799241044107</v>
      </c>
      <c r="W174" s="383">
        <v>59992.365918000003</v>
      </c>
      <c r="X174" s="383">
        <v>183028</v>
      </c>
      <c r="Y174" s="294">
        <v>35067.726512683337</v>
      </c>
      <c r="Z174" s="383">
        <v>26886.670141999999</v>
      </c>
      <c r="AA174" s="383">
        <v>589631</v>
      </c>
      <c r="AB174" s="294">
        <v>113314.5257537274</v>
      </c>
      <c r="AC174" s="383">
        <v>86879.036059999999</v>
      </c>
    </row>
    <row r="175" spans="2:29" hidden="1" outlineLevel="1" x14ac:dyDescent="0.25">
      <c r="B175" s="288">
        <v>44105</v>
      </c>
      <c r="C175" s="383">
        <v>302124</v>
      </c>
      <c r="D175" s="294">
        <v>58598.556549712826</v>
      </c>
      <c r="E175" s="383">
        <v>45236.459304000004</v>
      </c>
      <c r="F175" s="383">
        <v>104702</v>
      </c>
      <c r="G175" s="294">
        <v>20495.96207479728</v>
      </c>
      <c r="H175" s="383">
        <v>15822.313873999999</v>
      </c>
      <c r="I175" s="383">
        <v>406826</v>
      </c>
      <c r="J175" s="294">
        <v>79094.518624510107</v>
      </c>
      <c r="K175" s="383">
        <v>61058.773178000003</v>
      </c>
      <c r="L175" s="383">
        <v>103576</v>
      </c>
      <c r="M175" s="294">
        <v>18959.86033881499</v>
      </c>
      <c r="N175" s="383">
        <v>14636.485967000001</v>
      </c>
      <c r="O175" s="383">
        <v>77950</v>
      </c>
      <c r="P175" s="294">
        <v>14266.13817533194</v>
      </c>
      <c r="Q175" s="383">
        <v>11013.062727</v>
      </c>
      <c r="R175" s="383">
        <v>181526</v>
      </c>
      <c r="S175" s="294">
        <v>33225.998514146922</v>
      </c>
      <c r="T175" s="383">
        <v>25649.548694000001</v>
      </c>
      <c r="U175" s="383">
        <v>405700</v>
      </c>
      <c r="V175" s="294">
        <v>77558.416888527805</v>
      </c>
      <c r="W175" s="383">
        <v>59872.945270999997</v>
      </c>
      <c r="X175" s="383">
        <v>182652</v>
      </c>
      <c r="Y175" s="294">
        <v>34762.100250129217</v>
      </c>
      <c r="Z175" s="383">
        <v>26835.376601</v>
      </c>
      <c r="AA175" s="383">
        <v>588352</v>
      </c>
      <c r="AB175" s="294">
        <v>112320.517138657</v>
      </c>
      <c r="AC175" s="383">
        <v>86708.321872</v>
      </c>
    </row>
    <row r="176" spans="2:29" hidden="1" outlineLevel="1" x14ac:dyDescent="0.25">
      <c r="B176" s="288">
        <v>44136</v>
      </c>
      <c r="C176" s="383">
        <v>302029</v>
      </c>
      <c r="D176" s="294">
        <v>58674.077139399953</v>
      </c>
      <c r="E176" s="383">
        <v>45232.599262999996</v>
      </c>
      <c r="F176" s="383">
        <v>104460</v>
      </c>
      <c r="G176" s="294">
        <v>20480.66783846973</v>
      </c>
      <c r="H176" s="383">
        <v>15788.809746000001</v>
      </c>
      <c r="I176" s="383">
        <v>406489</v>
      </c>
      <c r="J176" s="294">
        <v>79154.744977869705</v>
      </c>
      <c r="K176" s="383">
        <v>61021.409009000003</v>
      </c>
      <c r="L176" s="383">
        <v>103373</v>
      </c>
      <c r="M176" s="294">
        <v>18948.688288522892</v>
      </c>
      <c r="N176" s="383">
        <v>14607.787044999999</v>
      </c>
      <c r="O176" s="383">
        <v>77999</v>
      </c>
      <c r="P176" s="294">
        <v>14294.72425649139</v>
      </c>
      <c r="Q176" s="383">
        <v>11019.986430000001</v>
      </c>
      <c r="R176" s="383">
        <v>181372</v>
      </c>
      <c r="S176" s="294">
        <v>33243.412545014289</v>
      </c>
      <c r="T176" s="383">
        <v>25627.773475000002</v>
      </c>
      <c r="U176" s="383">
        <v>405402</v>
      </c>
      <c r="V176" s="294">
        <v>77622.765427922845</v>
      </c>
      <c r="W176" s="383">
        <v>59840.386307999986</v>
      </c>
      <c r="X176" s="383">
        <v>182459</v>
      </c>
      <c r="Y176" s="294">
        <v>34775.392094961127</v>
      </c>
      <c r="Z176" s="383">
        <v>26808.796176</v>
      </c>
      <c r="AA176" s="383">
        <v>587861</v>
      </c>
      <c r="AB176" s="294">
        <v>112398.15752288399</v>
      </c>
      <c r="AC176" s="383">
        <v>86649.182484000004</v>
      </c>
    </row>
    <row r="177" spans="2:29" collapsed="1" x14ac:dyDescent="0.25">
      <c r="B177" s="288">
        <v>44166</v>
      </c>
      <c r="C177" s="383">
        <v>302560</v>
      </c>
      <c r="D177" s="294">
        <v>58617.696882687647</v>
      </c>
      <c r="E177" s="383">
        <v>45341.815088000003</v>
      </c>
      <c r="F177" s="383">
        <v>104548</v>
      </c>
      <c r="G177" s="294">
        <v>20440.000631039769</v>
      </c>
      <c r="H177" s="383">
        <v>15810.698446</v>
      </c>
      <c r="I177" s="383">
        <v>407108</v>
      </c>
      <c r="J177" s="294">
        <v>79057.697513727413</v>
      </c>
      <c r="K177" s="383">
        <v>61152.513533999998</v>
      </c>
      <c r="L177" s="383">
        <v>103131</v>
      </c>
      <c r="M177" s="294">
        <v>18847.94359042474</v>
      </c>
      <c r="N177" s="383">
        <v>14579.214443999999</v>
      </c>
      <c r="O177" s="383">
        <v>78045</v>
      </c>
      <c r="P177" s="294">
        <v>14265.90388325451</v>
      </c>
      <c r="Q177" s="383">
        <v>11034.926487000001</v>
      </c>
      <c r="R177" s="383">
        <v>181176</v>
      </c>
      <c r="S177" s="294">
        <v>33113.847473679263</v>
      </c>
      <c r="T177" s="383">
        <v>25614.140931000002</v>
      </c>
      <c r="U177" s="383">
        <v>405691</v>
      </c>
      <c r="V177" s="294">
        <v>77465.640473112391</v>
      </c>
      <c r="W177" s="383">
        <v>59921.029532</v>
      </c>
      <c r="X177" s="383">
        <v>182593</v>
      </c>
      <c r="Y177" s="294">
        <v>34705.904514294292</v>
      </c>
      <c r="Z177" s="383">
        <v>26845.624932999999</v>
      </c>
      <c r="AA177" s="383">
        <v>588284</v>
      </c>
      <c r="AB177" s="294">
        <v>112171.5449874067</v>
      </c>
      <c r="AC177" s="383">
        <v>86766.654465</v>
      </c>
    </row>
    <row r="178" spans="2:29" hidden="1" outlineLevel="1" x14ac:dyDescent="0.25">
      <c r="B178" s="288">
        <v>44197</v>
      </c>
      <c r="C178" s="383">
        <v>303535</v>
      </c>
      <c r="D178" s="294">
        <v>63812.936437078279</v>
      </c>
      <c r="E178" s="383">
        <v>49707.068979999996</v>
      </c>
      <c r="F178" s="383">
        <v>104773</v>
      </c>
      <c r="G178" s="294">
        <v>22102.94106344903</v>
      </c>
      <c r="H178" s="383">
        <v>17217.079755999999</v>
      </c>
      <c r="I178" s="383">
        <v>408308</v>
      </c>
      <c r="J178" s="294">
        <v>85915.87750052732</v>
      </c>
      <c r="K178" s="383">
        <v>66924.148736000003</v>
      </c>
      <c r="L178" s="383">
        <v>102915</v>
      </c>
      <c r="M178" s="294">
        <v>20918.413249747369</v>
      </c>
      <c r="N178" s="383">
        <v>16294.392147</v>
      </c>
      <c r="O178" s="383">
        <v>78093</v>
      </c>
      <c r="P178" s="294">
        <v>15873.023355759729</v>
      </c>
      <c r="Q178" s="383">
        <v>12364.287101</v>
      </c>
      <c r="R178" s="383">
        <v>181008</v>
      </c>
      <c r="S178" s="294">
        <v>36791.4366055071</v>
      </c>
      <c r="T178" s="383">
        <v>28658.679248</v>
      </c>
      <c r="U178" s="383">
        <v>406450</v>
      </c>
      <c r="V178" s="294">
        <v>84731.349686825648</v>
      </c>
      <c r="W178" s="383">
        <v>66001.461127000002</v>
      </c>
      <c r="X178" s="383">
        <v>182866</v>
      </c>
      <c r="Y178" s="294">
        <v>37975.964419208758</v>
      </c>
      <c r="Z178" s="383">
        <v>29581.366857000001</v>
      </c>
      <c r="AA178" s="383">
        <v>589316</v>
      </c>
      <c r="AB178" s="294">
        <v>122707.31410603441</v>
      </c>
      <c r="AC178" s="383">
        <v>95582.827984000003</v>
      </c>
    </row>
    <row r="179" spans="2:29" hidden="1" outlineLevel="1" x14ac:dyDescent="0.25">
      <c r="B179" s="288">
        <v>44228</v>
      </c>
      <c r="C179" s="383">
        <v>303509</v>
      </c>
      <c r="D179" s="294">
        <v>63698.945830547957</v>
      </c>
      <c r="E179" s="383">
        <v>49710.219507000002</v>
      </c>
      <c r="F179" s="383">
        <v>104543</v>
      </c>
      <c r="G179" s="294">
        <v>22012.806252757509</v>
      </c>
      <c r="H179" s="383">
        <v>17178.6427</v>
      </c>
      <c r="I179" s="383">
        <v>408052</v>
      </c>
      <c r="J179" s="294">
        <v>85711.752083305473</v>
      </c>
      <c r="K179" s="383">
        <v>66888.862206999998</v>
      </c>
      <c r="L179" s="383">
        <v>102585</v>
      </c>
      <c r="M179" s="294">
        <v>20812.62568490993</v>
      </c>
      <c r="N179" s="383">
        <v>16242.030033999999</v>
      </c>
      <c r="O179" s="383">
        <v>78054</v>
      </c>
      <c r="P179" s="294">
        <v>15839.2678707617</v>
      </c>
      <c r="Q179" s="383">
        <v>12360.855779</v>
      </c>
      <c r="R179" s="383">
        <v>180639</v>
      </c>
      <c r="S179" s="294">
        <v>36651.893555671639</v>
      </c>
      <c r="T179" s="383">
        <v>28602.885813000001</v>
      </c>
      <c r="U179" s="383">
        <v>406094</v>
      </c>
      <c r="V179" s="294">
        <v>84511.571515457894</v>
      </c>
      <c r="W179" s="383">
        <v>65952.249540999997</v>
      </c>
      <c r="X179" s="383">
        <v>182597</v>
      </c>
      <c r="Y179" s="294">
        <v>37852.074123519211</v>
      </c>
      <c r="Z179" s="383">
        <v>29539.498479000002</v>
      </c>
      <c r="AA179" s="383">
        <v>588691</v>
      </c>
      <c r="AB179" s="294">
        <v>122363.6456389771</v>
      </c>
      <c r="AC179" s="383">
        <v>95491.748019999999</v>
      </c>
    </row>
    <row r="180" spans="2:29" hidden="1" outlineLevel="1" x14ac:dyDescent="0.25">
      <c r="B180" s="288">
        <v>44256</v>
      </c>
      <c r="C180" s="383">
        <v>303836</v>
      </c>
      <c r="D180" s="294">
        <v>63523.985052529722</v>
      </c>
      <c r="E180" s="383">
        <v>49759.756866999996</v>
      </c>
      <c r="F180" s="383">
        <v>104524</v>
      </c>
      <c r="G180" s="294">
        <v>21925.332213652309</v>
      </c>
      <c r="H180" s="383">
        <v>17174.602621000002</v>
      </c>
      <c r="I180" s="383">
        <v>408360</v>
      </c>
      <c r="J180" s="294">
        <v>85449.317266182028</v>
      </c>
      <c r="K180" s="383">
        <v>66934.359488000002</v>
      </c>
      <c r="L180" s="383">
        <v>102435</v>
      </c>
      <c r="M180" s="294">
        <v>20703.85986779536</v>
      </c>
      <c r="N180" s="383">
        <v>16217.796039999999</v>
      </c>
      <c r="O180" s="383">
        <v>78131</v>
      </c>
      <c r="P180" s="294">
        <v>15791.62754756771</v>
      </c>
      <c r="Q180" s="383">
        <v>12369.934705</v>
      </c>
      <c r="R180" s="383">
        <v>180566</v>
      </c>
      <c r="S180" s="294">
        <v>36495.487415363074</v>
      </c>
      <c r="T180" s="383">
        <v>28587.730745000001</v>
      </c>
      <c r="U180" s="383">
        <v>406271</v>
      </c>
      <c r="V180" s="294">
        <v>84227.844920325064</v>
      </c>
      <c r="W180" s="383">
        <v>65977.55290699999</v>
      </c>
      <c r="X180" s="383">
        <v>182655</v>
      </c>
      <c r="Y180" s="294">
        <v>37716.959761220023</v>
      </c>
      <c r="Z180" s="383">
        <v>29544.537326000001</v>
      </c>
      <c r="AA180" s="383">
        <v>588926</v>
      </c>
      <c r="AB180" s="294">
        <v>121944.80468154509</v>
      </c>
      <c r="AC180" s="383">
        <v>95522.090232999995</v>
      </c>
    </row>
    <row r="181" spans="2:29" hidden="1" outlineLevel="1" x14ac:dyDescent="0.25">
      <c r="B181" s="288">
        <v>44287</v>
      </c>
      <c r="C181" s="383">
        <v>304229</v>
      </c>
      <c r="D181" s="294">
        <v>63356.738397539579</v>
      </c>
      <c r="E181" s="383">
        <v>49815.834488</v>
      </c>
      <c r="F181" s="383">
        <v>104568</v>
      </c>
      <c r="G181" s="294">
        <v>21850.203121453022</v>
      </c>
      <c r="H181" s="383">
        <v>17180.273634000001</v>
      </c>
      <c r="I181" s="383">
        <v>408797</v>
      </c>
      <c r="J181" s="294">
        <v>85206.941518992608</v>
      </c>
      <c r="K181" s="383">
        <v>66996.108122000005</v>
      </c>
      <c r="L181" s="383">
        <v>102581</v>
      </c>
      <c r="M181" s="294">
        <v>20655.532077515789</v>
      </c>
      <c r="N181" s="383">
        <v>16240.933376000001</v>
      </c>
      <c r="O181" s="383">
        <v>78384</v>
      </c>
      <c r="P181" s="294">
        <v>15782.80931128733</v>
      </c>
      <c r="Q181" s="383">
        <v>12409.632129</v>
      </c>
      <c r="R181" s="383">
        <v>180965</v>
      </c>
      <c r="S181" s="294">
        <v>36438.341388803121</v>
      </c>
      <c r="T181" s="383">
        <v>28650.565504999999</v>
      </c>
      <c r="U181" s="383">
        <v>406810</v>
      </c>
      <c r="V181" s="294">
        <v>84012.270475055368</v>
      </c>
      <c r="W181" s="383">
        <v>66056.767863999994</v>
      </c>
      <c r="X181" s="383">
        <v>182952</v>
      </c>
      <c r="Y181" s="294">
        <v>37633.012432740346</v>
      </c>
      <c r="Z181" s="383">
        <v>29589.905762999999</v>
      </c>
      <c r="AA181" s="383">
        <v>589762</v>
      </c>
      <c r="AB181" s="294">
        <v>121645.2829077957</v>
      </c>
      <c r="AC181" s="383">
        <v>95646.673627000011</v>
      </c>
    </row>
    <row r="182" spans="2:29" hidden="1" outlineLevel="1" x14ac:dyDescent="0.25">
      <c r="B182" s="288">
        <v>44317</v>
      </c>
      <c r="C182" s="383">
        <v>304427</v>
      </c>
      <c r="D182" s="294">
        <v>63220.785431840181</v>
      </c>
      <c r="E182" s="383">
        <v>49842.484651999999</v>
      </c>
      <c r="F182" s="383">
        <v>104477</v>
      </c>
      <c r="G182" s="294">
        <v>21772.505222378531</v>
      </c>
      <c r="H182" s="383">
        <v>17165.173605</v>
      </c>
      <c r="I182" s="383">
        <v>408904</v>
      </c>
      <c r="J182" s="294">
        <v>84993.290654218712</v>
      </c>
      <c r="K182" s="383">
        <v>67007.658257000003</v>
      </c>
      <c r="L182" s="383">
        <v>102248</v>
      </c>
      <c r="M182" s="294">
        <v>20533.108483476492</v>
      </c>
      <c r="N182" s="383">
        <v>16188.048558</v>
      </c>
      <c r="O182" s="383">
        <v>78324</v>
      </c>
      <c r="P182" s="294">
        <v>15728.183725659561</v>
      </c>
      <c r="Q182" s="383">
        <v>12399.905357</v>
      </c>
      <c r="R182" s="383">
        <v>180572</v>
      </c>
      <c r="S182" s="294">
        <v>36261.292209136038</v>
      </c>
      <c r="T182" s="383">
        <v>28587.953914999998</v>
      </c>
      <c r="U182" s="383">
        <v>406675</v>
      </c>
      <c r="V182" s="294">
        <v>83753.893915316672</v>
      </c>
      <c r="W182" s="383">
        <v>66030.533209999994</v>
      </c>
      <c r="X182" s="383">
        <v>182801</v>
      </c>
      <c r="Y182" s="294">
        <v>37500.688948038092</v>
      </c>
      <c r="Z182" s="383">
        <v>29565.078962</v>
      </c>
      <c r="AA182" s="383">
        <v>589476</v>
      </c>
      <c r="AB182" s="294">
        <v>121254.58286335471</v>
      </c>
      <c r="AC182" s="383">
        <v>95595.612171999994</v>
      </c>
    </row>
    <row r="183" spans="2:29" hidden="1" outlineLevel="1" x14ac:dyDescent="0.25">
      <c r="B183" s="288">
        <v>44348</v>
      </c>
      <c r="C183" s="383">
        <v>304385</v>
      </c>
      <c r="D183" s="294">
        <v>63154.303749749393</v>
      </c>
      <c r="E183" s="383">
        <v>49829.768322000004</v>
      </c>
      <c r="F183" s="383">
        <v>104256</v>
      </c>
      <c r="G183" s="294">
        <v>21708.090528382749</v>
      </c>
      <c r="H183" s="383">
        <v>17128.034948</v>
      </c>
      <c r="I183" s="383">
        <v>408641</v>
      </c>
      <c r="J183" s="294">
        <v>84862.394278132138</v>
      </c>
      <c r="K183" s="383">
        <v>66957.803270000004</v>
      </c>
      <c r="L183" s="383">
        <v>102342</v>
      </c>
      <c r="M183" s="294">
        <v>20535.07479676247</v>
      </c>
      <c r="N183" s="383">
        <v>16202.506541000001</v>
      </c>
      <c r="O183" s="383">
        <v>78508</v>
      </c>
      <c r="P183" s="294">
        <v>15752.198914061541</v>
      </c>
      <c r="Q183" s="383">
        <v>12428.740019999999</v>
      </c>
      <c r="R183" s="383">
        <v>180850</v>
      </c>
      <c r="S183" s="294">
        <v>36287.273710824011</v>
      </c>
      <c r="T183" s="383">
        <v>28631.246561</v>
      </c>
      <c r="U183" s="383">
        <v>406727</v>
      </c>
      <c r="V183" s="294">
        <v>83689.378546511871</v>
      </c>
      <c r="W183" s="383">
        <v>66032.274862999999</v>
      </c>
      <c r="X183" s="383">
        <v>182764</v>
      </c>
      <c r="Y183" s="294">
        <v>37460.289442444293</v>
      </c>
      <c r="Z183" s="383">
        <v>29556.774968000002</v>
      </c>
      <c r="AA183" s="383">
        <v>589491</v>
      </c>
      <c r="AB183" s="294">
        <v>121149.66798895611</v>
      </c>
      <c r="AC183" s="383">
        <v>95589.049831000011</v>
      </c>
    </row>
    <row r="184" spans="2:29" hidden="1" outlineLevel="1" x14ac:dyDescent="0.25">
      <c r="B184" s="288">
        <v>44378</v>
      </c>
      <c r="C184" s="383">
        <v>304412</v>
      </c>
      <c r="D184" s="294">
        <v>64977.089785769444</v>
      </c>
      <c r="E184" s="383">
        <v>51682.733987</v>
      </c>
      <c r="F184" s="383">
        <v>104136</v>
      </c>
      <c r="G184" s="294">
        <v>22307.389450440911</v>
      </c>
      <c r="H184" s="383">
        <v>17743.282727999998</v>
      </c>
      <c r="I184" s="383">
        <v>408548</v>
      </c>
      <c r="J184" s="294">
        <v>87284.479236210362</v>
      </c>
      <c r="K184" s="383">
        <v>69426.016715000005</v>
      </c>
      <c r="L184" s="383">
        <v>102344</v>
      </c>
      <c r="M184" s="294">
        <v>21127.277862414379</v>
      </c>
      <c r="N184" s="383">
        <v>16804.622756000001</v>
      </c>
      <c r="O184" s="383">
        <v>78636</v>
      </c>
      <c r="P184" s="294">
        <v>16233.01455325684</v>
      </c>
      <c r="Q184" s="383">
        <v>12911.728976</v>
      </c>
      <c r="R184" s="383">
        <v>180980</v>
      </c>
      <c r="S184" s="294">
        <v>37360.292415671218</v>
      </c>
      <c r="T184" s="383">
        <v>29716.351731999999</v>
      </c>
      <c r="U184" s="383">
        <v>406756</v>
      </c>
      <c r="V184" s="294">
        <v>86104.367648183819</v>
      </c>
      <c r="W184" s="383">
        <v>68487.356742999997</v>
      </c>
      <c r="X184" s="383">
        <v>182772</v>
      </c>
      <c r="Y184" s="294">
        <v>38540.404003697753</v>
      </c>
      <c r="Z184" s="383">
        <v>30655.011704</v>
      </c>
      <c r="AA184" s="383">
        <v>589528</v>
      </c>
      <c r="AB184" s="294">
        <v>124644.7716518816</v>
      </c>
      <c r="AC184" s="383">
        <v>99142.368447000001</v>
      </c>
    </row>
    <row r="185" spans="2:29" hidden="1" outlineLevel="1" x14ac:dyDescent="0.25">
      <c r="B185" s="288">
        <v>44409</v>
      </c>
      <c r="C185" s="383">
        <v>304998</v>
      </c>
      <c r="D185" s="294">
        <v>64911.144319786668</v>
      </c>
      <c r="E185" s="383">
        <v>51815.794845999997</v>
      </c>
      <c r="F185" s="383">
        <v>104304</v>
      </c>
      <c r="G185" s="294">
        <v>22277.845792076409</v>
      </c>
      <c r="H185" s="383">
        <v>17783.453045999999</v>
      </c>
      <c r="I185" s="383">
        <v>409302</v>
      </c>
      <c r="J185" s="294">
        <v>87188.990111863081</v>
      </c>
      <c r="K185" s="383">
        <v>69599.247891999999</v>
      </c>
      <c r="L185" s="383">
        <v>102353</v>
      </c>
      <c r="M185" s="294">
        <v>21069.368963578039</v>
      </c>
      <c r="N185" s="383">
        <v>16818.777595</v>
      </c>
      <c r="O185" s="383">
        <v>78808</v>
      </c>
      <c r="P185" s="294">
        <v>16222.292668866679</v>
      </c>
      <c r="Q185" s="383">
        <v>12949.563555999999</v>
      </c>
      <c r="R185" s="383">
        <v>181161</v>
      </c>
      <c r="S185" s="294">
        <v>37291.661632444731</v>
      </c>
      <c r="T185" s="383">
        <v>29768.341151000001</v>
      </c>
      <c r="U185" s="383">
        <v>407351</v>
      </c>
      <c r="V185" s="294">
        <v>85980.513283364708</v>
      </c>
      <c r="W185" s="383">
        <v>68634.572440999997</v>
      </c>
      <c r="X185" s="383">
        <v>183112</v>
      </c>
      <c r="Y185" s="294">
        <v>38500.138460943097</v>
      </c>
      <c r="Z185" s="383">
        <v>30733.016602</v>
      </c>
      <c r="AA185" s="383">
        <v>590463</v>
      </c>
      <c r="AB185" s="294">
        <v>124480.6517443078</v>
      </c>
      <c r="AC185" s="383">
        <v>99367.589043</v>
      </c>
    </row>
    <row r="186" spans="2:29" hidden="1" outlineLevel="1" x14ac:dyDescent="0.25">
      <c r="B186" s="288">
        <v>44440</v>
      </c>
      <c r="C186" s="383">
        <v>305471</v>
      </c>
      <c r="D186" s="294">
        <v>64248.652700159291</v>
      </c>
      <c r="E186" s="383">
        <v>51891.053583000001</v>
      </c>
      <c r="F186" s="383">
        <v>104316</v>
      </c>
      <c r="G186" s="294">
        <v>22017.86503736526</v>
      </c>
      <c r="H186" s="383">
        <v>17782.944332999999</v>
      </c>
      <c r="I186" s="383">
        <v>409787</v>
      </c>
      <c r="J186" s="294">
        <v>86266.51773752454</v>
      </c>
      <c r="K186" s="383">
        <v>69673.997915999993</v>
      </c>
      <c r="L186" s="383">
        <v>102289</v>
      </c>
      <c r="M186" s="294">
        <v>20811.65806427765</v>
      </c>
      <c r="N186" s="383">
        <v>16808.739458</v>
      </c>
      <c r="O186" s="383">
        <v>78880</v>
      </c>
      <c r="P186" s="294">
        <v>16048.182141393499</v>
      </c>
      <c r="Q186" s="383">
        <v>12961.471476999999</v>
      </c>
      <c r="R186" s="383">
        <v>181169</v>
      </c>
      <c r="S186" s="294">
        <v>36859.840205671149</v>
      </c>
      <c r="T186" s="383">
        <v>29770.210934999999</v>
      </c>
      <c r="U186" s="383">
        <v>407760</v>
      </c>
      <c r="V186" s="294">
        <v>85060.310764436945</v>
      </c>
      <c r="W186" s="383">
        <v>68699.793040999997</v>
      </c>
      <c r="X186" s="383">
        <v>183196</v>
      </c>
      <c r="Y186" s="294">
        <v>38066.047178758752</v>
      </c>
      <c r="Z186" s="383">
        <v>30744.415809999999</v>
      </c>
      <c r="AA186" s="383">
        <v>590956</v>
      </c>
      <c r="AB186" s="294">
        <v>123126.3579431957</v>
      </c>
      <c r="AC186" s="383">
        <v>99444.208850999988</v>
      </c>
    </row>
    <row r="187" spans="2:29" hidden="1" outlineLevel="1" x14ac:dyDescent="0.25">
      <c r="B187" s="288">
        <v>44470</v>
      </c>
      <c r="C187" s="383">
        <v>306429</v>
      </c>
      <c r="D187" s="294">
        <v>63582.124407890093</v>
      </c>
      <c r="E187" s="383">
        <v>52041.374003999998</v>
      </c>
      <c r="F187" s="383">
        <v>104673</v>
      </c>
      <c r="G187" s="294">
        <v>21799.21494336192</v>
      </c>
      <c r="H187" s="383">
        <v>17842.453495000002</v>
      </c>
      <c r="I187" s="383">
        <v>411102</v>
      </c>
      <c r="J187" s="294">
        <v>85381.339351252012</v>
      </c>
      <c r="K187" s="383">
        <v>69883.827499000006</v>
      </c>
      <c r="L187" s="383">
        <v>102399</v>
      </c>
      <c r="M187" s="294">
        <v>20558.821089800829</v>
      </c>
      <c r="N187" s="383">
        <v>16827.202730000001</v>
      </c>
      <c r="O187" s="383">
        <v>79105</v>
      </c>
      <c r="P187" s="294">
        <v>15880.23692960828</v>
      </c>
      <c r="Q187" s="383">
        <v>12997.825364</v>
      </c>
      <c r="R187" s="383">
        <v>181504</v>
      </c>
      <c r="S187" s="294">
        <v>36439.058019409109</v>
      </c>
      <c r="T187" s="383">
        <v>29825.028094000001</v>
      </c>
      <c r="U187" s="383">
        <v>408828</v>
      </c>
      <c r="V187" s="294">
        <v>84140.945497690918</v>
      </c>
      <c r="W187" s="383">
        <v>68868.576734000002</v>
      </c>
      <c r="X187" s="383">
        <v>183778</v>
      </c>
      <c r="Y187" s="294">
        <v>37679.451872970203</v>
      </c>
      <c r="Z187" s="383">
        <v>30840.278858999998</v>
      </c>
      <c r="AA187" s="383">
        <v>592606</v>
      </c>
      <c r="AB187" s="294">
        <v>121820.3973706611</v>
      </c>
      <c r="AC187" s="383">
        <v>99708.855593000015</v>
      </c>
    </row>
    <row r="188" spans="2:29" hidden="1" outlineLevel="1" x14ac:dyDescent="0.25">
      <c r="B188" s="288">
        <v>44501</v>
      </c>
      <c r="C188" s="383">
        <v>307296</v>
      </c>
      <c r="D188" s="294">
        <v>63435.285386878022</v>
      </c>
      <c r="E188" s="383">
        <v>52180.158679</v>
      </c>
      <c r="F188" s="383">
        <v>105079</v>
      </c>
      <c r="G188" s="294">
        <v>21774.145125028092</v>
      </c>
      <c r="H188" s="383">
        <v>17910.825825</v>
      </c>
      <c r="I188" s="383">
        <v>412375</v>
      </c>
      <c r="J188" s="294">
        <v>85209.430511906103</v>
      </c>
      <c r="K188" s="383">
        <v>70090.984503999993</v>
      </c>
      <c r="L188" s="383">
        <v>102500</v>
      </c>
      <c r="M188" s="294">
        <v>20478.15553126431</v>
      </c>
      <c r="N188" s="383">
        <v>16844.779661</v>
      </c>
      <c r="O188" s="383">
        <v>79398</v>
      </c>
      <c r="P188" s="294">
        <v>15859.902262520711</v>
      </c>
      <c r="Q188" s="383">
        <v>13045.928802</v>
      </c>
      <c r="R188" s="383">
        <v>181898</v>
      </c>
      <c r="S188" s="294">
        <v>36338.057793785018</v>
      </c>
      <c r="T188" s="383">
        <v>29890.708462999999</v>
      </c>
      <c r="U188" s="383">
        <v>409796</v>
      </c>
      <c r="V188" s="294">
        <v>83913.44091814234</v>
      </c>
      <c r="W188" s="383">
        <v>69024.938339999993</v>
      </c>
      <c r="X188" s="383">
        <v>184477</v>
      </c>
      <c r="Y188" s="294">
        <v>37634.047387548802</v>
      </c>
      <c r="Z188" s="383">
        <v>30956.754626999998</v>
      </c>
      <c r="AA188" s="383">
        <v>594273</v>
      </c>
      <c r="AB188" s="294">
        <v>121547.48830569111</v>
      </c>
      <c r="AC188" s="383">
        <v>99981.692966999995</v>
      </c>
    </row>
    <row r="189" spans="2:29" collapsed="1" x14ac:dyDescent="0.25">
      <c r="B189" s="288">
        <v>44531</v>
      </c>
      <c r="C189" s="383">
        <v>308126</v>
      </c>
      <c r="D189" s="294">
        <v>63095.734734339138</v>
      </c>
      <c r="E189" s="383">
        <v>52306.407841</v>
      </c>
      <c r="F189" s="383">
        <v>105397</v>
      </c>
      <c r="G189" s="294">
        <v>21666.49976832651</v>
      </c>
      <c r="H189" s="383">
        <v>17961.54333</v>
      </c>
      <c r="I189" s="383">
        <v>413523</v>
      </c>
      <c r="J189" s="294">
        <v>84762.23450266564</v>
      </c>
      <c r="K189" s="383">
        <v>70267.951170999993</v>
      </c>
      <c r="L189" s="383">
        <v>102539</v>
      </c>
      <c r="M189" s="294">
        <v>20326.021573387028</v>
      </c>
      <c r="N189" s="383">
        <v>16850.285977</v>
      </c>
      <c r="O189" s="383">
        <v>79548</v>
      </c>
      <c r="P189" s="294">
        <v>15769.528620622379</v>
      </c>
      <c r="Q189" s="383">
        <v>13072.95016</v>
      </c>
      <c r="R189" s="383">
        <v>182087</v>
      </c>
      <c r="S189" s="294">
        <v>36095.550194009411</v>
      </c>
      <c r="T189" s="383">
        <v>29923.236137</v>
      </c>
      <c r="U189" s="383">
        <v>410665</v>
      </c>
      <c r="V189" s="294">
        <v>83421.756307726173</v>
      </c>
      <c r="W189" s="383">
        <v>69156.693818</v>
      </c>
      <c r="X189" s="383">
        <v>184945</v>
      </c>
      <c r="Y189" s="294">
        <v>37436.028388948893</v>
      </c>
      <c r="Z189" s="383">
        <v>31034.493490000001</v>
      </c>
      <c r="AA189" s="383">
        <v>595610</v>
      </c>
      <c r="AB189" s="294">
        <v>120857.78469667509</v>
      </c>
      <c r="AC189" s="383">
        <v>100191.18730799999</v>
      </c>
    </row>
    <row r="190" spans="2:29" hidden="1" outlineLevel="1" x14ac:dyDescent="0.25">
      <c r="B190" s="288">
        <v>44562</v>
      </c>
      <c r="C190" s="383">
        <v>309032</v>
      </c>
      <c r="D190" s="294">
        <v>64741.123182030053</v>
      </c>
      <c r="E190" s="383">
        <v>54315.078549999998</v>
      </c>
      <c r="F190" s="383">
        <v>105909</v>
      </c>
      <c r="G190" s="294">
        <v>22225.52202861007</v>
      </c>
      <c r="H190" s="383">
        <v>18646.277905999999</v>
      </c>
      <c r="I190" s="383">
        <v>414941</v>
      </c>
      <c r="J190" s="294">
        <v>86966.645210640112</v>
      </c>
      <c r="K190" s="383">
        <v>72961.356455999994</v>
      </c>
      <c r="L190" s="383">
        <v>102612</v>
      </c>
      <c r="M190" s="294">
        <v>21533.296887470889</v>
      </c>
      <c r="N190" s="383">
        <v>18065.530136000001</v>
      </c>
      <c r="O190" s="383">
        <v>79732</v>
      </c>
      <c r="P190" s="294">
        <v>16731.361095012559</v>
      </c>
      <c r="Q190" s="383">
        <v>14036.908034</v>
      </c>
      <c r="R190" s="383">
        <v>182344</v>
      </c>
      <c r="S190" s="294">
        <v>38264.657982483463</v>
      </c>
      <c r="T190" s="383">
        <v>32102.438170000001</v>
      </c>
      <c r="U190" s="383">
        <v>411644</v>
      </c>
      <c r="V190" s="294">
        <v>86274.420069500935</v>
      </c>
      <c r="W190" s="383">
        <v>72380.608685999992</v>
      </c>
      <c r="X190" s="383">
        <v>185641</v>
      </c>
      <c r="Y190" s="294">
        <v>38956.883123622632</v>
      </c>
      <c r="Z190" s="383">
        <v>32683.185939999999</v>
      </c>
      <c r="AA190" s="383">
        <v>597285</v>
      </c>
      <c r="AB190" s="294">
        <v>125231.3031931236</v>
      </c>
      <c r="AC190" s="383">
        <v>105063.794626</v>
      </c>
    </row>
    <row r="191" spans="2:29" hidden="1" outlineLevel="1" x14ac:dyDescent="0.25">
      <c r="B191" s="288">
        <v>44593</v>
      </c>
      <c r="C191" s="383"/>
      <c r="D191" s="294"/>
      <c r="E191" s="383"/>
      <c r="F191" s="383"/>
      <c r="G191" s="294"/>
      <c r="H191" s="383"/>
      <c r="I191" s="383"/>
      <c r="J191" s="294"/>
      <c r="K191" s="383"/>
      <c r="L191" s="383">
        <v>102691</v>
      </c>
      <c r="M191" s="294">
        <v>22573.33394729517</v>
      </c>
      <c r="N191" s="383">
        <v>18992.871736000001</v>
      </c>
      <c r="O191" s="383">
        <v>79908</v>
      </c>
      <c r="P191" s="294">
        <v>17564.91712860257</v>
      </c>
      <c r="Q191" s="383">
        <v>14778.863364000001</v>
      </c>
      <c r="R191" s="383">
        <v>182599</v>
      </c>
      <c r="S191" s="294">
        <v>40138.251075897737</v>
      </c>
      <c r="T191" s="383">
        <v>33771.735099999998</v>
      </c>
      <c r="U191" s="383">
        <v>102691</v>
      </c>
      <c r="V191" s="294">
        <v>22573.33394729517</v>
      </c>
      <c r="W191" s="383">
        <v>18992.871736000001</v>
      </c>
      <c r="X191" s="383">
        <v>79908</v>
      </c>
      <c r="Y191" s="294">
        <v>17564.91712860257</v>
      </c>
      <c r="Z191" s="383">
        <v>14778.863364000001</v>
      </c>
      <c r="AA191" s="383">
        <v>182599</v>
      </c>
      <c r="AB191" s="294">
        <v>40138.251075897737</v>
      </c>
      <c r="AC191" s="383">
        <v>33771.735099999998</v>
      </c>
    </row>
    <row r="192" spans="2:29" hidden="1" outlineLevel="1" x14ac:dyDescent="0.25">
      <c r="B192" s="288">
        <v>44621</v>
      </c>
      <c r="C192" s="383"/>
      <c r="D192" s="294"/>
      <c r="E192" s="383"/>
      <c r="F192" s="383"/>
      <c r="G192" s="294"/>
      <c r="H192" s="383"/>
      <c r="I192" s="383"/>
      <c r="J192" s="294"/>
      <c r="K192" s="383"/>
      <c r="L192" s="383">
        <v>102784</v>
      </c>
      <c r="M192" s="294">
        <v>22182.269205060089</v>
      </c>
      <c r="N192" s="383">
        <v>19009.957752999999</v>
      </c>
      <c r="O192" s="383">
        <v>80074</v>
      </c>
      <c r="P192" s="294">
        <v>17279.9578391904</v>
      </c>
      <c r="Q192" s="383">
        <v>14808.73149</v>
      </c>
      <c r="R192" s="383">
        <v>182858</v>
      </c>
      <c r="S192" s="294">
        <v>39462.227044250489</v>
      </c>
      <c r="T192" s="383">
        <v>33818.689243000001</v>
      </c>
      <c r="U192" s="383">
        <v>102784</v>
      </c>
      <c r="V192" s="294">
        <v>22182.269205060089</v>
      </c>
      <c r="W192" s="383">
        <v>19009.957752999999</v>
      </c>
      <c r="X192" s="383">
        <v>80074</v>
      </c>
      <c r="Y192" s="294">
        <v>17279.9578391904</v>
      </c>
      <c r="Z192" s="383">
        <v>14808.73149</v>
      </c>
      <c r="AA192" s="383">
        <v>182858</v>
      </c>
      <c r="AB192" s="294">
        <v>39462.227044250489</v>
      </c>
      <c r="AC192" s="383">
        <v>33818.689243000001</v>
      </c>
    </row>
    <row r="193" spans="2:29" hidden="1" outlineLevel="1" x14ac:dyDescent="0.25">
      <c r="B193" s="288">
        <v>44652</v>
      </c>
      <c r="C193" s="383"/>
      <c r="D193" s="294"/>
      <c r="E193" s="383"/>
      <c r="F193" s="383"/>
      <c r="G193" s="294"/>
      <c r="H193" s="383"/>
      <c r="I193" s="383"/>
      <c r="J193" s="294"/>
      <c r="K193" s="383"/>
      <c r="L193" s="383">
        <v>102632</v>
      </c>
      <c r="M193" s="294">
        <v>21843.849294441821</v>
      </c>
      <c r="N193" s="383">
        <v>18981.692514999999</v>
      </c>
      <c r="O193" s="383">
        <v>80110</v>
      </c>
      <c r="P193" s="294">
        <v>17049.31351970461</v>
      </c>
      <c r="Q193" s="383">
        <v>14815.37537</v>
      </c>
      <c r="R193" s="383">
        <v>182742</v>
      </c>
      <c r="S193" s="294">
        <v>38893.162814146417</v>
      </c>
      <c r="T193" s="383">
        <v>33797.067884999997</v>
      </c>
      <c r="U193" s="383">
        <v>102632</v>
      </c>
      <c r="V193" s="294">
        <v>21843.849294441821</v>
      </c>
      <c r="W193" s="383">
        <v>18981.692514999999</v>
      </c>
      <c r="X193" s="383">
        <v>80110</v>
      </c>
      <c r="Y193" s="294">
        <v>17049.31351970461</v>
      </c>
      <c r="Z193" s="383">
        <v>14815.37537</v>
      </c>
      <c r="AA193" s="383">
        <v>182742</v>
      </c>
      <c r="AB193" s="294">
        <v>38893.162814146417</v>
      </c>
      <c r="AC193" s="383">
        <v>33797.067884999997</v>
      </c>
    </row>
    <row r="194" spans="2:29" hidden="1" outlineLevel="1" x14ac:dyDescent="0.25">
      <c r="B194" s="288">
        <v>44682</v>
      </c>
      <c r="C194" s="383"/>
      <c r="D194" s="294"/>
      <c r="E194" s="383"/>
      <c r="F194" s="383"/>
      <c r="G194" s="294"/>
      <c r="H194" s="383"/>
      <c r="I194" s="383"/>
      <c r="J194" s="294"/>
      <c r="K194" s="383"/>
      <c r="L194" s="383">
        <v>102856</v>
      </c>
      <c r="M194" s="294">
        <v>21631.200005739731</v>
      </c>
      <c r="N194" s="383">
        <v>19022.253818000001</v>
      </c>
      <c r="O194" s="383">
        <v>80398</v>
      </c>
      <c r="P194" s="294">
        <v>16907.135552425909</v>
      </c>
      <c r="Q194" s="383">
        <v>14867.960341</v>
      </c>
      <c r="R194" s="383">
        <v>183254</v>
      </c>
      <c r="S194" s="294">
        <v>38538.335558165643</v>
      </c>
      <c r="T194" s="383">
        <v>33890.214159000003</v>
      </c>
      <c r="U194" s="383">
        <v>102856</v>
      </c>
      <c r="V194" s="294">
        <v>21631.200005739731</v>
      </c>
      <c r="W194" s="383">
        <v>19022.253818000001</v>
      </c>
      <c r="X194" s="383">
        <v>80398</v>
      </c>
      <c r="Y194" s="294">
        <v>16907.135552425909</v>
      </c>
      <c r="Z194" s="383">
        <v>14867.960341</v>
      </c>
      <c r="AA194" s="383">
        <v>183254</v>
      </c>
      <c r="AB194" s="294">
        <v>38538.335558165643</v>
      </c>
      <c r="AC194" s="383">
        <v>33890.214159000003</v>
      </c>
    </row>
    <row r="195" spans="2:29" hidden="1" outlineLevel="1" x14ac:dyDescent="0.25">
      <c r="B195" s="288">
        <v>44713</v>
      </c>
      <c r="C195" s="383"/>
      <c r="D195" s="294"/>
      <c r="E195" s="383"/>
      <c r="F195" s="383"/>
      <c r="G195" s="294"/>
      <c r="H195" s="383"/>
      <c r="I195" s="383"/>
      <c r="J195" s="294"/>
      <c r="K195" s="383"/>
      <c r="L195" s="383">
        <v>103404</v>
      </c>
      <c r="M195" s="294">
        <v>21545.272806837551</v>
      </c>
      <c r="N195" s="383">
        <v>19123.392920999999</v>
      </c>
      <c r="O195" s="383">
        <v>80766</v>
      </c>
      <c r="P195" s="294">
        <v>16827.137620702761</v>
      </c>
      <c r="Q195" s="383">
        <v>14935.618005</v>
      </c>
      <c r="R195" s="383">
        <v>184170</v>
      </c>
      <c r="S195" s="294">
        <v>38372.410427540322</v>
      </c>
      <c r="T195" s="383">
        <v>34059.010926000003</v>
      </c>
      <c r="U195" s="383">
        <v>103404</v>
      </c>
      <c r="V195" s="294">
        <v>21545.272806837551</v>
      </c>
      <c r="W195" s="383">
        <v>19123.392920999999</v>
      </c>
      <c r="X195" s="383">
        <v>80766</v>
      </c>
      <c r="Y195" s="294">
        <v>16827.137620702761</v>
      </c>
      <c r="Z195" s="383">
        <v>14935.618005</v>
      </c>
      <c r="AA195" s="383">
        <v>184170</v>
      </c>
      <c r="AB195" s="294">
        <v>38372.410427540322</v>
      </c>
      <c r="AC195" s="383">
        <v>34059.010926000003</v>
      </c>
    </row>
    <row r="196" spans="2:29" hidden="1" outlineLevel="1" x14ac:dyDescent="0.25">
      <c r="B196" s="288">
        <v>44743</v>
      </c>
      <c r="C196" s="383"/>
      <c r="D196" s="294"/>
      <c r="E196" s="383"/>
      <c r="F196" s="383"/>
      <c r="G196" s="294"/>
      <c r="H196" s="383"/>
      <c r="I196" s="383"/>
      <c r="J196" s="294"/>
      <c r="K196" s="383"/>
      <c r="L196" s="383">
        <v>103650</v>
      </c>
      <c r="M196" s="294">
        <v>22330.681508485559</v>
      </c>
      <c r="N196" s="383">
        <v>20092.998521000001</v>
      </c>
      <c r="O196" s="383">
        <v>81031</v>
      </c>
      <c r="P196" s="294">
        <v>17456.05897994274</v>
      </c>
      <c r="Q196" s="383">
        <v>15706.84563</v>
      </c>
      <c r="R196" s="383">
        <v>184681</v>
      </c>
      <c r="S196" s="294">
        <v>39786.740488428302</v>
      </c>
      <c r="T196" s="383">
        <v>35799.844150999998</v>
      </c>
      <c r="U196" s="383">
        <v>103650</v>
      </c>
      <c r="V196" s="294">
        <v>22330.681508485559</v>
      </c>
      <c r="W196" s="383">
        <v>20092.998521000001</v>
      </c>
      <c r="X196" s="383">
        <v>81031</v>
      </c>
      <c r="Y196" s="294">
        <v>17456.05897994274</v>
      </c>
      <c r="Z196" s="383">
        <v>15706.84563</v>
      </c>
      <c r="AA196" s="383">
        <v>184681</v>
      </c>
      <c r="AB196" s="294">
        <v>39786.740488428302</v>
      </c>
      <c r="AC196" s="383">
        <v>35799.844150999998</v>
      </c>
    </row>
    <row r="197" spans="2:29" hidden="1" outlineLevel="1" x14ac:dyDescent="0.25">
      <c r="B197" s="288">
        <v>44774</v>
      </c>
      <c r="C197" s="383"/>
      <c r="D197" s="294"/>
      <c r="E197" s="383"/>
      <c r="F197" s="383"/>
      <c r="G197" s="294"/>
      <c r="H197" s="383"/>
      <c r="I197" s="383"/>
      <c r="J197" s="294"/>
      <c r="K197" s="383"/>
      <c r="L197" s="383">
        <v>103890</v>
      </c>
      <c r="M197" s="294">
        <v>22113.800380951019</v>
      </c>
      <c r="N197" s="383">
        <v>20138.797901000002</v>
      </c>
      <c r="O197" s="383">
        <v>81219</v>
      </c>
      <c r="P197" s="294">
        <v>17287.279435395259</v>
      </c>
      <c r="Q197" s="383">
        <v>15743.337681000001</v>
      </c>
      <c r="R197" s="383">
        <v>185109</v>
      </c>
      <c r="S197" s="294">
        <v>39401.079816346282</v>
      </c>
      <c r="T197" s="383">
        <v>35882.135582000003</v>
      </c>
      <c r="U197" s="383">
        <v>103890</v>
      </c>
      <c r="V197" s="294">
        <v>22113.800380951019</v>
      </c>
      <c r="W197" s="383">
        <v>20138.797901000002</v>
      </c>
      <c r="X197" s="383">
        <v>81219</v>
      </c>
      <c r="Y197" s="294">
        <v>17287.279435395259</v>
      </c>
      <c r="Z197" s="383">
        <v>15743.337681000001</v>
      </c>
      <c r="AA197" s="383">
        <v>185109</v>
      </c>
      <c r="AB197" s="294">
        <v>39401.079816346282</v>
      </c>
      <c r="AC197" s="383">
        <v>35882.135582000003</v>
      </c>
    </row>
    <row r="198" spans="2:29" hidden="1" outlineLevel="1" x14ac:dyDescent="0.25">
      <c r="B198" s="288">
        <v>44805</v>
      </c>
      <c r="C198" s="383"/>
      <c r="D198" s="294"/>
      <c r="E198" s="383"/>
      <c r="F198" s="383"/>
      <c r="G198" s="294"/>
      <c r="H198" s="383"/>
      <c r="I198" s="383"/>
      <c r="J198" s="294"/>
      <c r="K198" s="383"/>
      <c r="L198" s="383">
        <v>103948</v>
      </c>
      <c r="M198" s="294">
        <v>21935.26180597267</v>
      </c>
      <c r="N198" s="383">
        <v>20148.903199</v>
      </c>
      <c r="O198" s="383">
        <v>81350</v>
      </c>
      <c r="P198" s="294">
        <v>17165.7346126349</v>
      </c>
      <c r="Q198" s="383">
        <v>15767.795620999999</v>
      </c>
      <c r="R198" s="383">
        <v>185298</v>
      </c>
      <c r="S198" s="294">
        <v>39100.996418607567</v>
      </c>
      <c r="T198" s="383">
        <v>35916.698819999998</v>
      </c>
      <c r="U198" s="383">
        <v>103948</v>
      </c>
      <c r="V198" s="294">
        <v>21935.26180597267</v>
      </c>
      <c r="W198" s="383">
        <v>20148.903199</v>
      </c>
      <c r="X198" s="383">
        <v>81350</v>
      </c>
      <c r="Y198" s="294">
        <v>17165.7346126349</v>
      </c>
      <c r="Z198" s="383">
        <v>15767.795620999999</v>
      </c>
      <c r="AA198" s="383">
        <v>185298</v>
      </c>
      <c r="AB198" s="294">
        <v>39100.996418607567</v>
      </c>
      <c r="AC198" s="383">
        <v>35916.698819999998</v>
      </c>
    </row>
    <row r="199" spans="2:29" hidden="1" outlineLevel="1" x14ac:dyDescent="0.25">
      <c r="B199" s="288">
        <v>44835</v>
      </c>
      <c r="C199" s="383"/>
      <c r="D199" s="294"/>
      <c r="E199" s="383"/>
      <c r="F199" s="383"/>
      <c r="G199" s="294"/>
      <c r="H199" s="383"/>
      <c r="I199" s="383"/>
      <c r="J199" s="294"/>
      <c r="K199" s="383"/>
      <c r="L199" s="383">
        <v>103979</v>
      </c>
      <c r="M199" s="294">
        <v>21828.814174998151</v>
      </c>
      <c r="N199" s="383">
        <v>20154.801071000002</v>
      </c>
      <c r="O199" s="383">
        <v>81414</v>
      </c>
      <c r="P199" s="294">
        <v>17090.742366300921</v>
      </c>
      <c r="Q199" s="383">
        <v>15780.083599</v>
      </c>
      <c r="R199" s="383">
        <v>185393</v>
      </c>
      <c r="S199" s="294">
        <v>38919.556541299069</v>
      </c>
      <c r="T199" s="383">
        <v>35934.884669999999</v>
      </c>
      <c r="U199" s="383">
        <v>103979</v>
      </c>
      <c r="V199" s="294">
        <v>21828.814174998151</v>
      </c>
      <c r="W199" s="383">
        <v>20154.801071000002</v>
      </c>
      <c r="X199" s="383">
        <v>81414</v>
      </c>
      <c r="Y199" s="294">
        <v>17090.742366300921</v>
      </c>
      <c r="Z199" s="383">
        <v>15780.083599</v>
      </c>
      <c r="AA199" s="383">
        <v>185393</v>
      </c>
      <c r="AB199" s="294">
        <v>38919.556541299069</v>
      </c>
      <c r="AC199" s="383">
        <v>35934.884669999999</v>
      </c>
    </row>
    <row r="200" spans="2:29" hidden="1" outlineLevel="1" x14ac:dyDescent="0.25">
      <c r="B200" s="288">
        <v>44866</v>
      </c>
      <c r="C200" s="383"/>
      <c r="D200" s="294"/>
      <c r="E200" s="383"/>
      <c r="F200" s="383"/>
      <c r="G200" s="294"/>
      <c r="H200" s="383"/>
      <c r="I200" s="383"/>
      <c r="J200" s="294"/>
      <c r="K200" s="383"/>
      <c r="L200" s="383">
        <v>103866</v>
      </c>
      <c r="M200" s="294">
        <v>21594.313160274101</v>
      </c>
      <c r="N200" s="383">
        <v>20132.730649000001</v>
      </c>
      <c r="O200" s="383">
        <v>81490</v>
      </c>
      <c r="P200" s="294">
        <v>16941.08083477812</v>
      </c>
      <c r="Q200" s="383">
        <v>15794.446196000001</v>
      </c>
      <c r="R200" s="383">
        <v>185356</v>
      </c>
      <c r="S200" s="294">
        <v>38535.393995052218</v>
      </c>
      <c r="T200" s="383">
        <v>35927.176845000002</v>
      </c>
      <c r="U200" s="383">
        <v>103866</v>
      </c>
      <c r="V200" s="294">
        <v>21594.313160274101</v>
      </c>
      <c r="W200" s="383">
        <v>20132.730649000001</v>
      </c>
      <c r="X200" s="383">
        <v>81490</v>
      </c>
      <c r="Y200" s="294">
        <v>16941.08083477812</v>
      </c>
      <c r="Z200" s="383">
        <v>15794.446196000001</v>
      </c>
      <c r="AA200" s="383">
        <v>185356</v>
      </c>
      <c r="AB200" s="294">
        <v>38535.393995052218</v>
      </c>
      <c r="AC200" s="383">
        <v>35927.176845000002</v>
      </c>
    </row>
    <row r="201" spans="2:29" collapsed="1" x14ac:dyDescent="0.25">
      <c r="B201" s="288">
        <v>44896</v>
      </c>
      <c r="C201" s="383"/>
      <c r="D201" s="294"/>
      <c r="E201" s="383"/>
      <c r="F201" s="383"/>
      <c r="G201" s="294"/>
      <c r="H201" s="383"/>
      <c r="I201" s="383"/>
      <c r="J201" s="294"/>
      <c r="K201" s="383"/>
      <c r="L201" s="383">
        <v>103979</v>
      </c>
      <c r="M201" s="294">
        <v>21555.812208473071</v>
      </c>
      <c r="N201" s="383">
        <v>20153.837158999999</v>
      </c>
      <c r="O201" s="383">
        <v>81605</v>
      </c>
      <c r="P201" s="294">
        <v>16916.418265804059</v>
      </c>
      <c r="Q201" s="383">
        <v>15816.186175000001</v>
      </c>
      <c r="R201" s="383">
        <v>185584</v>
      </c>
      <c r="S201" s="294">
        <v>38472.23047427713</v>
      </c>
      <c r="T201" s="383">
        <v>35970.023333999998</v>
      </c>
      <c r="U201" s="383">
        <v>103979</v>
      </c>
      <c r="V201" s="294">
        <v>21555.812208473071</v>
      </c>
      <c r="W201" s="383">
        <v>20153.837158999999</v>
      </c>
      <c r="X201" s="383">
        <v>81605</v>
      </c>
      <c r="Y201" s="294">
        <v>16916.418265804059</v>
      </c>
      <c r="Z201" s="383">
        <v>15816.186175000001</v>
      </c>
      <c r="AA201" s="383">
        <v>185584</v>
      </c>
      <c r="AB201" s="294">
        <v>38472.23047427713</v>
      </c>
      <c r="AC201" s="383">
        <v>35970.023333999998</v>
      </c>
    </row>
    <row r="202" spans="2:29" hidden="1" outlineLevel="1" x14ac:dyDescent="0.25">
      <c r="B202" s="288">
        <v>44927</v>
      </c>
      <c r="C202" s="383"/>
      <c r="D202" s="294"/>
      <c r="E202" s="383"/>
      <c r="F202" s="383"/>
      <c r="G202" s="294"/>
      <c r="H202" s="383"/>
      <c r="I202" s="383"/>
      <c r="J202" s="294"/>
      <c r="K202" s="383"/>
      <c r="L202" s="383">
        <v>104230</v>
      </c>
      <c r="M202" s="294">
        <v>21434.62652688679</v>
      </c>
      <c r="N202" s="383">
        <v>20201.881583999999</v>
      </c>
      <c r="O202" s="383">
        <v>81876</v>
      </c>
      <c r="P202" s="294">
        <v>16836.840410155852</v>
      </c>
      <c r="Q202" s="383">
        <v>15868.522634999999</v>
      </c>
      <c r="R202" s="383">
        <v>186106</v>
      </c>
      <c r="S202" s="294">
        <v>38271.466937042642</v>
      </c>
      <c r="T202" s="383">
        <v>36070.404218999996</v>
      </c>
      <c r="U202" s="383">
        <v>104230</v>
      </c>
      <c r="V202" s="294">
        <v>21434.62652688679</v>
      </c>
      <c r="W202" s="383">
        <v>20201.881583999999</v>
      </c>
      <c r="X202" s="383">
        <v>81876</v>
      </c>
      <c r="Y202" s="294">
        <v>16836.840410155852</v>
      </c>
      <c r="Z202" s="383">
        <v>15868.522634999999</v>
      </c>
      <c r="AA202" s="383">
        <v>186106</v>
      </c>
      <c r="AB202" s="294">
        <v>38271.466937042642</v>
      </c>
      <c r="AC202" s="383">
        <v>36070.404218999996</v>
      </c>
    </row>
    <row r="203" spans="2:29" hidden="1" outlineLevel="1" x14ac:dyDescent="0.25">
      <c r="B203" s="288">
        <v>44958</v>
      </c>
      <c r="C203" s="383"/>
      <c r="D203" s="294"/>
      <c r="E203" s="383"/>
      <c r="F203" s="383"/>
      <c r="G203" s="294"/>
      <c r="H203" s="383"/>
      <c r="I203" s="383"/>
      <c r="J203" s="294"/>
      <c r="K203" s="383"/>
      <c r="L203" s="383">
        <v>104475</v>
      </c>
      <c r="M203" s="294">
        <v>22783.079341043682</v>
      </c>
      <c r="N203" s="383">
        <v>21529.706804000001</v>
      </c>
      <c r="O203" s="383">
        <v>82037</v>
      </c>
      <c r="P203" s="294">
        <v>17889.54516007836</v>
      </c>
      <c r="Q203" s="383">
        <v>16905.382120999999</v>
      </c>
      <c r="R203" s="383">
        <v>186512</v>
      </c>
      <c r="S203" s="294">
        <v>40672.624501122038</v>
      </c>
      <c r="T203" s="383">
        <v>38435.088924999996</v>
      </c>
      <c r="U203" s="383">
        <v>104475</v>
      </c>
      <c r="V203" s="294">
        <v>22783.079341043682</v>
      </c>
      <c r="W203" s="383">
        <v>21529.706804000001</v>
      </c>
      <c r="X203" s="383">
        <v>82037</v>
      </c>
      <c r="Y203" s="294">
        <v>17889.54516007836</v>
      </c>
      <c r="Z203" s="383">
        <v>16905.382120999999</v>
      </c>
      <c r="AA203" s="383">
        <v>186512</v>
      </c>
      <c r="AB203" s="294">
        <v>40672.624501122038</v>
      </c>
      <c r="AC203" s="383">
        <v>38435.088924999996</v>
      </c>
    </row>
    <row r="204" spans="2:29" hidden="1" outlineLevel="1" x14ac:dyDescent="0.25">
      <c r="B204" s="288">
        <v>44986</v>
      </c>
      <c r="C204" s="383"/>
      <c r="D204" s="294"/>
      <c r="E204" s="383"/>
      <c r="F204" s="383"/>
      <c r="G204" s="294"/>
      <c r="H204" s="383"/>
      <c r="I204" s="383"/>
      <c r="J204" s="294"/>
      <c r="K204" s="383"/>
      <c r="L204" s="383">
        <v>104804</v>
      </c>
      <c r="M204" s="294">
        <v>22689.655564358662</v>
      </c>
      <c r="N204" s="383">
        <v>21596.971882999998</v>
      </c>
      <c r="O204" s="383">
        <v>82313</v>
      </c>
      <c r="P204" s="294">
        <v>17820.480854297279</v>
      </c>
      <c r="Q204" s="383">
        <v>16962.285868999999</v>
      </c>
      <c r="R204" s="383">
        <v>187117</v>
      </c>
      <c r="S204" s="294">
        <v>40510.136418655937</v>
      </c>
      <c r="T204" s="383">
        <v>38559.257751999998</v>
      </c>
      <c r="U204" s="383">
        <v>104804</v>
      </c>
      <c r="V204" s="294">
        <v>22689.655564358662</v>
      </c>
      <c r="W204" s="383">
        <v>21596.971882999998</v>
      </c>
      <c r="X204" s="383">
        <v>82313</v>
      </c>
      <c r="Y204" s="294">
        <v>17820.480854297279</v>
      </c>
      <c r="Z204" s="383">
        <v>16962.285868999999</v>
      </c>
      <c r="AA204" s="383">
        <v>187117</v>
      </c>
      <c r="AB204" s="294">
        <v>40510.136418655937</v>
      </c>
      <c r="AC204" s="383">
        <v>38559.257751999998</v>
      </c>
    </row>
    <row r="205" spans="2:29" hidden="1" outlineLevel="1" x14ac:dyDescent="0.25">
      <c r="B205" s="288">
        <v>45017</v>
      </c>
      <c r="C205" s="383"/>
      <c r="D205" s="294"/>
      <c r="E205" s="383"/>
      <c r="F205" s="383"/>
      <c r="G205" s="294"/>
      <c r="H205" s="383"/>
      <c r="I205" s="383"/>
      <c r="J205" s="294"/>
      <c r="K205" s="383"/>
      <c r="L205" s="383">
        <v>105039</v>
      </c>
      <c r="M205" s="294">
        <v>22679.714824117989</v>
      </c>
      <c r="N205" s="383">
        <v>21644.219970999999</v>
      </c>
      <c r="O205" s="383">
        <v>82539</v>
      </c>
      <c r="P205" s="294">
        <v>17821.87611975296</v>
      </c>
      <c r="Q205" s="383">
        <v>17008.177132000001</v>
      </c>
      <c r="R205" s="383">
        <v>187578</v>
      </c>
      <c r="S205" s="294">
        <v>40501.59094387095</v>
      </c>
      <c r="T205" s="383">
        <v>38652.397103000003</v>
      </c>
      <c r="U205" s="383">
        <v>105039</v>
      </c>
      <c r="V205" s="294">
        <v>22679.714824117989</v>
      </c>
      <c r="W205" s="383">
        <v>21644.219970999999</v>
      </c>
      <c r="X205" s="383">
        <v>82539</v>
      </c>
      <c r="Y205" s="294">
        <v>17821.87611975296</v>
      </c>
      <c r="Z205" s="383">
        <v>17008.177132000001</v>
      </c>
      <c r="AA205" s="383">
        <v>187578</v>
      </c>
      <c r="AB205" s="294">
        <v>40501.59094387095</v>
      </c>
      <c r="AC205" s="383">
        <v>38652.397103000003</v>
      </c>
    </row>
    <row r="206" spans="2:29" hidden="1" outlineLevel="1" x14ac:dyDescent="0.25">
      <c r="B206" s="288">
        <v>45047</v>
      </c>
      <c r="C206" s="383"/>
      <c r="D206" s="294"/>
      <c r="E206" s="383"/>
      <c r="F206" s="383"/>
      <c r="G206" s="294"/>
      <c r="H206" s="383"/>
      <c r="I206" s="383"/>
      <c r="J206" s="294"/>
      <c r="K206" s="383"/>
      <c r="L206" s="383">
        <v>105332</v>
      </c>
      <c r="M206" s="294">
        <v>22669.784266545539</v>
      </c>
      <c r="N206" s="383">
        <v>21704.304680000001</v>
      </c>
      <c r="O206" s="383">
        <v>82778</v>
      </c>
      <c r="P206" s="294">
        <v>17816.259320067249</v>
      </c>
      <c r="Q206" s="383">
        <v>17057.485681999999</v>
      </c>
      <c r="R206" s="383">
        <v>188110</v>
      </c>
      <c r="S206" s="294">
        <v>40486.043586612788</v>
      </c>
      <c r="T206" s="383">
        <v>38761.790362</v>
      </c>
      <c r="U206" s="383">
        <v>105332</v>
      </c>
      <c r="V206" s="294">
        <v>22669.784266545539</v>
      </c>
      <c r="W206" s="383">
        <v>21704.304680000001</v>
      </c>
      <c r="X206" s="383">
        <v>82778</v>
      </c>
      <c r="Y206" s="294">
        <v>17816.259320067249</v>
      </c>
      <c r="Z206" s="383">
        <v>17057.485681999999</v>
      </c>
      <c r="AA206" s="383">
        <v>188110</v>
      </c>
      <c r="AB206" s="294">
        <v>40486.043586612788</v>
      </c>
      <c r="AC206" s="383">
        <v>38761.790362</v>
      </c>
    </row>
    <row r="207" spans="2:29" hidden="1" outlineLevel="1" x14ac:dyDescent="0.25">
      <c r="B207" s="288">
        <v>45078</v>
      </c>
      <c r="C207" s="383"/>
      <c r="D207" s="294"/>
      <c r="E207" s="383"/>
      <c r="F207" s="383"/>
      <c r="G207" s="294"/>
      <c r="H207" s="383"/>
      <c r="I207" s="383"/>
      <c r="J207" s="294"/>
      <c r="K207" s="383"/>
      <c r="L207" s="383">
        <v>105767</v>
      </c>
      <c r="M207" s="294">
        <v>22862.020076045679</v>
      </c>
      <c r="N207" s="383">
        <v>21793.851675000002</v>
      </c>
      <c r="O207" s="383">
        <v>83130</v>
      </c>
      <c r="P207" s="294">
        <v>17969.35316117432</v>
      </c>
      <c r="Q207" s="383">
        <v>17129.781890999999</v>
      </c>
      <c r="R207" s="383">
        <v>188897</v>
      </c>
      <c r="S207" s="294">
        <v>40831.373237220003</v>
      </c>
      <c r="T207" s="383">
        <v>38923.633565999997</v>
      </c>
      <c r="U207" s="383">
        <v>105767</v>
      </c>
      <c r="V207" s="294">
        <v>22862.020076045679</v>
      </c>
      <c r="W207" s="383">
        <v>21793.851675000002</v>
      </c>
      <c r="X207" s="383">
        <v>83130</v>
      </c>
      <c r="Y207" s="294">
        <v>17969.35316117432</v>
      </c>
      <c r="Z207" s="383">
        <v>17129.781890999999</v>
      </c>
      <c r="AA207" s="383">
        <v>188897</v>
      </c>
      <c r="AB207" s="294">
        <v>40831.373237220003</v>
      </c>
      <c r="AC207" s="383">
        <v>38923.633565999997</v>
      </c>
    </row>
    <row r="208" spans="2:29" hidden="1" outlineLevel="1" x14ac:dyDescent="0.25">
      <c r="B208" s="288">
        <v>45108</v>
      </c>
      <c r="C208" s="383"/>
      <c r="D208" s="294"/>
      <c r="E208" s="383"/>
      <c r="F208" s="383"/>
      <c r="G208" s="294"/>
      <c r="H208" s="383"/>
      <c r="I208" s="383"/>
      <c r="J208" s="294"/>
      <c r="K208" s="383"/>
      <c r="L208" s="383">
        <v>106121</v>
      </c>
      <c r="M208" s="294">
        <v>22910.818268313</v>
      </c>
      <c r="N208" s="383">
        <v>21866.468298</v>
      </c>
      <c r="O208" s="383">
        <v>83495</v>
      </c>
      <c r="P208" s="294">
        <v>18026.545601106449</v>
      </c>
      <c r="Q208" s="383">
        <v>17204.836740999999</v>
      </c>
      <c r="R208" s="383">
        <v>189616</v>
      </c>
      <c r="S208" s="294">
        <v>40937.363869419452</v>
      </c>
      <c r="T208" s="383">
        <v>39071.305038999999</v>
      </c>
      <c r="U208" s="383">
        <v>106121</v>
      </c>
      <c r="V208" s="294">
        <v>22910.818268313</v>
      </c>
      <c r="W208" s="383">
        <v>21866.468298</v>
      </c>
      <c r="X208" s="383">
        <v>83495</v>
      </c>
      <c r="Y208" s="294">
        <v>18026.545601106449</v>
      </c>
      <c r="Z208" s="383">
        <v>17204.836740999999</v>
      </c>
      <c r="AA208" s="383">
        <v>189616</v>
      </c>
      <c r="AB208" s="294">
        <v>40937.363869419452</v>
      </c>
      <c r="AC208" s="383">
        <v>39071.305038999999</v>
      </c>
    </row>
    <row r="209" spans="2:29" hidden="1" outlineLevel="1" x14ac:dyDescent="0.25">
      <c r="B209" s="288">
        <v>45139</v>
      </c>
      <c r="C209" s="383"/>
      <c r="D209" s="294"/>
      <c r="E209" s="383"/>
      <c r="F209" s="383"/>
      <c r="G209" s="294"/>
      <c r="H209" s="383"/>
      <c r="I209" s="383"/>
      <c r="J209" s="294"/>
      <c r="K209" s="383"/>
      <c r="L209" s="383">
        <v>106570</v>
      </c>
      <c r="M209" s="294">
        <v>22980.376341311781</v>
      </c>
      <c r="N209" s="383">
        <v>21958.709621999998</v>
      </c>
      <c r="O209" s="383">
        <v>83812</v>
      </c>
      <c r="P209" s="294">
        <v>18073.91263577361</v>
      </c>
      <c r="Q209" s="383">
        <v>17270.378579</v>
      </c>
      <c r="R209" s="383">
        <v>190382</v>
      </c>
      <c r="S209" s="294">
        <v>41054.288977085387</v>
      </c>
      <c r="T209" s="383">
        <v>39229.088200999999</v>
      </c>
      <c r="U209" s="383">
        <v>106570</v>
      </c>
      <c r="V209" s="294">
        <v>22980.376341311781</v>
      </c>
      <c r="W209" s="383">
        <v>21958.709621999998</v>
      </c>
      <c r="X209" s="383">
        <v>83812</v>
      </c>
      <c r="Y209" s="294">
        <v>18073.91263577361</v>
      </c>
      <c r="Z209" s="383">
        <v>17270.378579</v>
      </c>
      <c r="AA209" s="383">
        <v>190382</v>
      </c>
      <c r="AB209" s="294">
        <v>41054.288977085387</v>
      </c>
      <c r="AC209" s="383">
        <v>39229.088200999999</v>
      </c>
    </row>
    <row r="210" spans="2:29" hidden="1" outlineLevel="1" x14ac:dyDescent="0.25">
      <c r="B210" s="288">
        <v>45170</v>
      </c>
      <c r="C210" s="383"/>
      <c r="D210" s="294"/>
      <c r="E210" s="383"/>
      <c r="F210" s="383"/>
      <c r="G210" s="294"/>
      <c r="H210" s="383"/>
      <c r="I210" s="383"/>
      <c r="J210" s="294"/>
      <c r="K210" s="383"/>
      <c r="L210" s="383">
        <v>106868</v>
      </c>
      <c r="M210" s="294">
        <v>22900.432382784711</v>
      </c>
      <c r="N210" s="383">
        <v>22021.397411999998</v>
      </c>
      <c r="O210" s="383">
        <v>84043</v>
      </c>
      <c r="P210" s="294">
        <v>18010.631008954271</v>
      </c>
      <c r="Q210" s="383">
        <v>17319.291464000002</v>
      </c>
      <c r="R210" s="383">
        <v>190911</v>
      </c>
      <c r="S210" s="294">
        <v>40911.063391738993</v>
      </c>
      <c r="T210" s="383">
        <v>39340.688876</v>
      </c>
      <c r="U210" s="383">
        <v>106868</v>
      </c>
      <c r="V210" s="294">
        <v>22900.432382784711</v>
      </c>
      <c r="W210" s="383">
        <v>22021.397411999998</v>
      </c>
      <c r="X210" s="383">
        <v>84043</v>
      </c>
      <c r="Y210" s="294">
        <v>18010.631008954271</v>
      </c>
      <c r="Z210" s="383">
        <v>17319.291464000002</v>
      </c>
      <c r="AA210" s="383">
        <v>190911</v>
      </c>
      <c r="AB210" s="294">
        <v>40911.063391738993</v>
      </c>
      <c r="AC210" s="383">
        <v>39340.688876</v>
      </c>
    </row>
    <row r="211" spans="2:29" hidden="1" outlineLevel="1" x14ac:dyDescent="0.25">
      <c r="B211" s="288">
        <v>45200</v>
      </c>
      <c r="C211" s="383"/>
      <c r="D211" s="294"/>
      <c r="E211" s="383"/>
      <c r="F211" s="383"/>
      <c r="G211" s="294"/>
      <c r="H211" s="383"/>
      <c r="I211" s="383"/>
      <c r="J211" s="294"/>
      <c r="K211" s="383"/>
      <c r="L211" s="383">
        <v>107612</v>
      </c>
      <c r="M211" s="294">
        <v>22991.49230783042</v>
      </c>
      <c r="N211" s="383">
        <v>22173.725000999999</v>
      </c>
      <c r="O211" s="383">
        <v>84447</v>
      </c>
      <c r="P211" s="294">
        <v>18043.66489904666</v>
      </c>
      <c r="Q211" s="383">
        <v>17401.883189</v>
      </c>
      <c r="R211" s="383">
        <v>192059</v>
      </c>
      <c r="S211" s="294">
        <v>41035.157206877077</v>
      </c>
      <c r="T211" s="383">
        <v>39575.608189999999</v>
      </c>
      <c r="U211" s="383">
        <v>107612</v>
      </c>
      <c r="V211" s="294">
        <v>22991.49230783042</v>
      </c>
      <c r="W211" s="383">
        <v>22173.725000999999</v>
      </c>
      <c r="X211" s="383">
        <v>84447</v>
      </c>
      <c r="Y211" s="294">
        <v>18043.66489904666</v>
      </c>
      <c r="Z211" s="383">
        <v>17401.883189</v>
      </c>
      <c r="AA211" s="383">
        <v>192059</v>
      </c>
      <c r="AB211" s="294">
        <v>41035.157206877077</v>
      </c>
      <c r="AC211" s="383">
        <v>39575.608189999999</v>
      </c>
    </row>
    <row r="212" spans="2:29" hidden="1" outlineLevel="1" x14ac:dyDescent="0.25">
      <c r="B212" s="288">
        <v>45231</v>
      </c>
      <c r="C212" s="383"/>
      <c r="D212" s="294"/>
      <c r="E212" s="383"/>
      <c r="F212" s="383"/>
      <c r="G212" s="294"/>
      <c r="H212" s="383"/>
      <c r="I212" s="383"/>
      <c r="J212" s="294"/>
      <c r="K212" s="383"/>
      <c r="L212" s="383">
        <v>107578</v>
      </c>
      <c r="M212" s="294">
        <v>22815.18816293266</v>
      </c>
      <c r="N212" s="383">
        <v>22167.675300999999</v>
      </c>
      <c r="O212" s="383">
        <v>84680</v>
      </c>
      <c r="P212" s="294">
        <v>17960.179858818032</v>
      </c>
      <c r="Q212" s="383">
        <v>17450.455924999998</v>
      </c>
      <c r="R212" s="383">
        <v>192258</v>
      </c>
      <c r="S212" s="294">
        <v>40775.368021750692</v>
      </c>
      <c r="T212" s="383">
        <v>39618.131225999998</v>
      </c>
      <c r="U212" s="383">
        <v>107578</v>
      </c>
      <c r="V212" s="294">
        <v>22815.18816293266</v>
      </c>
      <c r="W212" s="383">
        <v>22167.675300999999</v>
      </c>
      <c r="X212" s="383">
        <v>84680</v>
      </c>
      <c r="Y212" s="294">
        <v>17960.179858818032</v>
      </c>
      <c r="Z212" s="383">
        <v>17450.455924999998</v>
      </c>
      <c r="AA212" s="383">
        <v>192258</v>
      </c>
      <c r="AB212" s="294">
        <v>40775.368021750692</v>
      </c>
      <c r="AC212" s="383">
        <v>39618.131225999998</v>
      </c>
    </row>
    <row r="213" spans="2:29" collapsed="1" x14ac:dyDescent="0.25">
      <c r="B213" s="288">
        <v>45261</v>
      </c>
      <c r="C213" s="383"/>
      <c r="D213" s="294"/>
      <c r="E213" s="383"/>
      <c r="F213" s="383"/>
      <c r="G213" s="294"/>
      <c r="H213" s="383"/>
      <c r="I213" s="383"/>
      <c r="J213" s="294"/>
      <c r="K213" s="383"/>
      <c r="L213" s="383">
        <v>107857</v>
      </c>
      <c r="M213" s="294">
        <v>22994.623066182328</v>
      </c>
      <c r="N213" s="383">
        <v>22224.554961000002</v>
      </c>
      <c r="O213" s="383">
        <v>84948</v>
      </c>
      <c r="P213" s="294">
        <v>18112.092010524371</v>
      </c>
      <c r="Q213" s="383">
        <v>17505.535237</v>
      </c>
      <c r="R213" s="383">
        <v>192805</v>
      </c>
      <c r="S213" s="294">
        <v>41106.715076706692</v>
      </c>
      <c r="T213" s="383">
        <v>39730.090197999998</v>
      </c>
      <c r="U213" s="383">
        <v>107857</v>
      </c>
      <c r="V213" s="294">
        <v>22994.623066182328</v>
      </c>
      <c r="W213" s="383">
        <v>22224.554961000002</v>
      </c>
      <c r="X213" s="383">
        <v>84948</v>
      </c>
      <c r="Y213" s="294">
        <v>18112.092010524371</v>
      </c>
      <c r="Z213" s="383">
        <v>17505.535237</v>
      </c>
      <c r="AA213" s="383">
        <v>192805</v>
      </c>
      <c r="AB213" s="294">
        <v>41106.715076706692</v>
      </c>
      <c r="AC213" s="383">
        <v>39730.090197999998</v>
      </c>
    </row>
    <row r="214" spans="2:29" outlineLevel="1" x14ac:dyDescent="0.25">
      <c r="B214" s="288">
        <v>45292</v>
      </c>
      <c r="C214" s="383"/>
      <c r="D214" s="294"/>
      <c r="E214" s="383"/>
      <c r="F214" s="383"/>
      <c r="G214" s="294"/>
      <c r="H214" s="383"/>
      <c r="I214" s="383"/>
      <c r="J214" s="294"/>
      <c r="K214" s="383"/>
      <c r="L214" s="383">
        <v>108261</v>
      </c>
      <c r="M214" s="294">
        <v>22928.445324010681</v>
      </c>
      <c r="N214" s="383">
        <v>22308.746364999999</v>
      </c>
      <c r="O214" s="383">
        <v>85250</v>
      </c>
      <c r="P214" s="294">
        <v>18057.845617841082</v>
      </c>
      <c r="Q214" s="383">
        <v>17569.786877999999</v>
      </c>
      <c r="R214" s="383">
        <v>193511</v>
      </c>
      <c r="S214" s="294">
        <v>40986.290941851759</v>
      </c>
      <c r="T214" s="383">
        <v>39878.533242999998</v>
      </c>
      <c r="U214" s="383">
        <v>108261</v>
      </c>
      <c r="V214" s="294">
        <v>22928.445324010681</v>
      </c>
      <c r="W214" s="383">
        <v>22308.746364999999</v>
      </c>
      <c r="X214" s="383">
        <v>85250</v>
      </c>
      <c r="Y214" s="294">
        <v>18057.845617841082</v>
      </c>
      <c r="Z214" s="383">
        <v>17569.786877999999</v>
      </c>
      <c r="AA214" s="383">
        <v>193511</v>
      </c>
      <c r="AB214" s="294">
        <v>40986.290941851759</v>
      </c>
      <c r="AC214" s="383">
        <v>39878.533242999998</v>
      </c>
    </row>
    <row r="215" spans="2:29" outlineLevel="1" x14ac:dyDescent="0.25">
      <c r="B215" s="288">
        <v>45323</v>
      </c>
      <c r="C215" s="383"/>
      <c r="D215" s="294"/>
      <c r="E215" s="383"/>
      <c r="F215" s="383"/>
      <c r="G215" s="294"/>
      <c r="H215" s="383"/>
      <c r="I215" s="383"/>
      <c r="J215" s="294"/>
      <c r="K215" s="383"/>
      <c r="L215" s="383">
        <v>108663</v>
      </c>
      <c r="M215" s="294">
        <v>23781.360970473768</v>
      </c>
      <c r="N215" s="383">
        <v>23274.607025000001</v>
      </c>
      <c r="O215" s="383">
        <v>85527</v>
      </c>
      <c r="P215" s="294">
        <v>18720.37823689892</v>
      </c>
      <c r="Q215" s="383">
        <v>18321.468118000001</v>
      </c>
      <c r="R215" s="383">
        <v>194190</v>
      </c>
      <c r="S215" s="294">
        <v>42501.739207372702</v>
      </c>
      <c r="T215" s="383">
        <v>41596.075143000002</v>
      </c>
      <c r="U215" s="383">
        <v>108663</v>
      </c>
      <c r="V215" s="294">
        <v>23781.360970473768</v>
      </c>
      <c r="W215" s="383">
        <v>23274.607025000001</v>
      </c>
      <c r="X215" s="383">
        <v>85527</v>
      </c>
      <c r="Y215" s="294">
        <v>18720.37823689892</v>
      </c>
      <c r="Z215" s="383">
        <v>18321.468118000001</v>
      </c>
      <c r="AA215" s="383">
        <v>194190</v>
      </c>
      <c r="AB215" s="294">
        <v>42501.739207372702</v>
      </c>
      <c r="AC215" s="383">
        <v>41596.075143000002</v>
      </c>
    </row>
    <row r="216" spans="2:29" outlineLevel="1" x14ac:dyDescent="0.25">
      <c r="B216" s="288">
        <v>45352</v>
      </c>
      <c r="C216" s="383"/>
      <c r="D216" s="294"/>
      <c r="E216" s="383"/>
      <c r="F216" s="383"/>
      <c r="G216" s="294"/>
      <c r="H216" s="383"/>
      <c r="I216" s="383"/>
      <c r="J216" s="294"/>
      <c r="K216" s="383"/>
      <c r="L216" s="383">
        <v>109218</v>
      </c>
      <c r="M216" s="294">
        <v>23811.5021081911</v>
      </c>
      <c r="N216" s="383">
        <v>23392.248339999998</v>
      </c>
      <c r="O216" s="383">
        <v>85900</v>
      </c>
      <c r="P216" s="294">
        <v>18729.273566661501</v>
      </c>
      <c r="Q216" s="383">
        <v>18399.503589</v>
      </c>
      <c r="R216" s="383">
        <v>195118</v>
      </c>
      <c r="S216" s="294">
        <v>42540.775674852601</v>
      </c>
      <c r="T216" s="383">
        <v>41791.751928999998</v>
      </c>
      <c r="U216" s="383">
        <v>109218</v>
      </c>
      <c r="V216" s="294">
        <v>23811.5021081911</v>
      </c>
      <c r="W216" s="383">
        <v>23392.248339999998</v>
      </c>
      <c r="X216" s="383">
        <v>85900</v>
      </c>
      <c r="Y216" s="294">
        <v>18729.273566661501</v>
      </c>
      <c r="Z216" s="383">
        <v>18399.503589</v>
      </c>
      <c r="AA216" s="383">
        <v>195118</v>
      </c>
      <c r="AB216" s="294">
        <v>42540.775674852601</v>
      </c>
      <c r="AC216" s="383">
        <v>41791.751928999998</v>
      </c>
    </row>
    <row r="217" spans="2:29" outlineLevel="1" x14ac:dyDescent="0.25">
      <c r="B217" s="288">
        <v>45383</v>
      </c>
      <c r="C217" s="383"/>
      <c r="D217" s="294"/>
      <c r="E217" s="383"/>
      <c r="F217" s="383"/>
      <c r="G217" s="294"/>
      <c r="H217" s="383"/>
      <c r="I217" s="383"/>
      <c r="J217" s="294"/>
      <c r="K217" s="383"/>
      <c r="L217" s="383">
        <v>109487</v>
      </c>
      <c r="M217" s="294">
        <v>23744.828874254941</v>
      </c>
      <c r="N217" s="383">
        <v>23449.776886</v>
      </c>
      <c r="O217" s="383">
        <v>86201</v>
      </c>
      <c r="P217" s="294">
        <v>18696.464426523278</v>
      </c>
      <c r="Q217" s="383">
        <v>18464.143147999999</v>
      </c>
      <c r="R217" s="383">
        <v>195688</v>
      </c>
      <c r="S217" s="294">
        <v>42441.293300778227</v>
      </c>
      <c r="T217" s="383">
        <v>41913.920034000002</v>
      </c>
      <c r="U217" s="383">
        <v>109487</v>
      </c>
      <c r="V217" s="294">
        <v>23744.828874254941</v>
      </c>
      <c r="W217" s="383">
        <v>23449.776886</v>
      </c>
      <c r="X217" s="383">
        <v>86201</v>
      </c>
      <c r="Y217" s="294">
        <v>18696.464426523278</v>
      </c>
      <c r="Z217" s="383">
        <v>18464.143147999999</v>
      </c>
      <c r="AA217" s="383">
        <v>195688</v>
      </c>
      <c r="AB217" s="294">
        <v>42441.293300778227</v>
      </c>
      <c r="AC217" s="383">
        <v>41913.920034000002</v>
      </c>
    </row>
    <row r="218" spans="2:29" outlineLevel="1" x14ac:dyDescent="0.25">
      <c r="B218" s="288">
        <v>45413</v>
      </c>
      <c r="C218" s="383"/>
      <c r="D218" s="294"/>
      <c r="E218" s="383"/>
      <c r="F218" s="383"/>
      <c r="G218" s="294"/>
      <c r="H218" s="383"/>
      <c r="I218" s="383"/>
      <c r="J218" s="294"/>
      <c r="K218" s="383"/>
      <c r="L218" s="383">
        <v>109852</v>
      </c>
      <c r="M218" s="294">
        <v>23761.242152719671</v>
      </c>
      <c r="N218" s="383">
        <v>23527.815675999998</v>
      </c>
      <c r="O218" s="383">
        <v>86484</v>
      </c>
      <c r="P218" s="294">
        <v>18708.239377899001</v>
      </c>
      <c r="Q218" s="383">
        <v>18524.452756999999</v>
      </c>
      <c r="R218" s="383">
        <v>196336</v>
      </c>
      <c r="S218" s="294">
        <v>42469.481530618672</v>
      </c>
      <c r="T218" s="383">
        <v>42052.268432999997</v>
      </c>
      <c r="U218" s="383">
        <v>109852</v>
      </c>
      <c r="V218" s="294">
        <v>23761.242152719671</v>
      </c>
      <c r="W218" s="383">
        <v>23527.815675999998</v>
      </c>
      <c r="X218" s="383">
        <v>86484</v>
      </c>
      <c r="Y218" s="294">
        <v>18708.239377899001</v>
      </c>
      <c r="Z218" s="383">
        <v>18524.452756999999</v>
      </c>
      <c r="AA218" s="383">
        <v>196336</v>
      </c>
      <c r="AB218" s="294">
        <v>42469.481530618672</v>
      </c>
      <c r="AC218" s="383">
        <v>42052.268432999997</v>
      </c>
    </row>
    <row r="219" spans="2:29" outlineLevel="1" x14ac:dyDescent="0.25">
      <c r="B219" s="288">
        <v>45444</v>
      </c>
      <c r="C219" s="383"/>
      <c r="D219" s="294"/>
      <c r="E219" s="383"/>
      <c r="F219" s="383"/>
      <c r="G219" s="294"/>
      <c r="H219" s="383"/>
      <c r="I219" s="383"/>
      <c r="J219" s="294"/>
      <c r="K219" s="383"/>
      <c r="L219" s="383">
        <v>110305</v>
      </c>
      <c r="M219" s="294">
        <v>23880.155599956539</v>
      </c>
      <c r="N219" s="383">
        <v>23624.413186000002</v>
      </c>
      <c r="O219" s="383">
        <v>86749</v>
      </c>
      <c r="P219" s="294">
        <v>18781.827230280182</v>
      </c>
      <c r="Q219" s="383">
        <v>18580.684913000001</v>
      </c>
      <c r="R219" s="383">
        <v>197054</v>
      </c>
      <c r="S219" s="294">
        <v>42661.982830236717</v>
      </c>
      <c r="T219" s="383">
        <v>42205.098099000003</v>
      </c>
      <c r="U219" s="383">
        <v>110305</v>
      </c>
      <c r="V219" s="294">
        <v>23880.155599956539</v>
      </c>
      <c r="W219" s="383">
        <v>23624.413186000002</v>
      </c>
      <c r="X219" s="383">
        <v>86749</v>
      </c>
      <c r="Y219" s="294">
        <v>18781.827230280182</v>
      </c>
      <c r="Z219" s="383">
        <v>18580.684913000001</v>
      </c>
      <c r="AA219" s="383">
        <v>197054</v>
      </c>
      <c r="AB219" s="294">
        <v>42661.982830236717</v>
      </c>
      <c r="AC219" s="383">
        <v>42205.098099000003</v>
      </c>
    </row>
    <row r="220" spans="2:29" outlineLevel="1" x14ac:dyDescent="0.25">
      <c r="B220" s="288">
        <v>45474</v>
      </c>
      <c r="C220" s="294"/>
      <c r="D220" s="294"/>
      <c r="E220" s="294"/>
      <c r="F220" s="294"/>
      <c r="G220" s="294"/>
      <c r="H220" s="294"/>
      <c r="I220" s="294"/>
      <c r="J220" s="294"/>
      <c r="K220" s="294"/>
      <c r="L220" s="294">
        <v>110743</v>
      </c>
      <c r="M220" s="294">
        <v>23799.57941367594</v>
      </c>
      <c r="N220" s="294">
        <v>23718.110044000001</v>
      </c>
      <c r="O220" s="294">
        <v>87013</v>
      </c>
      <c r="P220" s="294">
        <v>18701.276204447429</v>
      </c>
      <c r="Q220" s="294">
        <v>18637.259056999999</v>
      </c>
      <c r="R220" s="294">
        <v>197756</v>
      </c>
      <c r="S220" s="294">
        <v>42500.855618123373</v>
      </c>
      <c r="T220" s="294">
        <v>42355.369100999997</v>
      </c>
      <c r="U220" s="294">
        <v>110743</v>
      </c>
      <c r="V220" s="294">
        <v>23799.57941367594</v>
      </c>
      <c r="W220" s="294">
        <v>23718.110044000001</v>
      </c>
      <c r="X220" s="294">
        <v>87013</v>
      </c>
      <c r="Y220" s="294">
        <v>18701.276204447429</v>
      </c>
      <c r="Z220" s="294">
        <v>18637.259056999999</v>
      </c>
      <c r="AA220" s="294">
        <v>197756</v>
      </c>
      <c r="AB220" s="294">
        <v>42500.855618123373</v>
      </c>
      <c r="AC220" s="294">
        <v>42355.369100999997</v>
      </c>
    </row>
    <row r="221" spans="2:29" outlineLevel="1" x14ac:dyDescent="0.25">
      <c r="B221" s="288">
        <v>45505</v>
      </c>
      <c r="C221" s="294"/>
      <c r="D221" s="294"/>
      <c r="E221" s="294"/>
      <c r="F221" s="294"/>
      <c r="G221" s="294"/>
      <c r="H221" s="294"/>
      <c r="I221" s="294"/>
      <c r="J221" s="294"/>
      <c r="K221" s="294"/>
      <c r="L221" s="294">
        <v>111054</v>
      </c>
      <c r="M221" s="294">
        <v>23805.780047872791</v>
      </c>
      <c r="N221" s="294">
        <v>23784.904354999999</v>
      </c>
      <c r="O221" s="294">
        <v>87337</v>
      </c>
      <c r="P221" s="294">
        <v>18723.117703932741</v>
      </c>
      <c r="Q221" s="294">
        <v>18706.699084</v>
      </c>
      <c r="R221" s="294">
        <v>198391</v>
      </c>
      <c r="S221" s="294">
        <v>42528.897751805533</v>
      </c>
      <c r="T221" s="294">
        <v>42491.603438999999</v>
      </c>
      <c r="U221" s="294">
        <v>111054</v>
      </c>
      <c r="V221" s="294">
        <v>23805.780047872791</v>
      </c>
      <c r="W221" s="294">
        <v>23784.904354999999</v>
      </c>
      <c r="X221" s="294">
        <v>87337</v>
      </c>
      <c r="Y221" s="294">
        <v>18723.117703932741</v>
      </c>
      <c r="Z221" s="294">
        <v>18706.699084</v>
      </c>
      <c r="AA221" s="294">
        <v>198391</v>
      </c>
      <c r="AB221" s="294">
        <v>42528.897751805533</v>
      </c>
      <c r="AC221" s="294">
        <v>42491.603438999999</v>
      </c>
    </row>
    <row r="222" spans="2:29" x14ac:dyDescent="0.25">
      <c r="B222" s="288">
        <v>45536</v>
      </c>
      <c r="C222" s="294"/>
      <c r="D222" s="294"/>
      <c r="E222" s="294"/>
      <c r="F222" s="294"/>
      <c r="G222" s="294"/>
      <c r="H222" s="294"/>
      <c r="I222" s="294"/>
      <c r="J222" s="294"/>
      <c r="K222" s="294"/>
      <c r="L222" s="294">
        <v>111277</v>
      </c>
      <c r="M222" s="294">
        <v>23832.988879</v>
      </c>
      <c r="N222" s="294">
        <v>23832.988879</v>
      </c>
      <c r="O222" s="294">
        <v>87585</v>
      </c>
      <c r="P222" s="294">
        <v>18759.924375999999</v>
      </c>
      <c r="Q222" s="294">
        <v>18759.924375999999</v>
      </c>
      <c r="R222" s="294">
        <v>198862</v>
      </c>
      <c r="S222" s="294">
        <v>42592.913254999999</v>
      </c>
      <c r="T222" s="294">
        <v>42592.913254999999</v>
      </c>
      <c r="U222" s="294">
        <v>111277</v>
      </c>
      <c r="V222" s="294">
        <v>23832.988879</v>
      </c>
      <c r="W222" s="294">
        <v>23832.988879</v>
      </c>
      <c r="X222" s="294">
        <v>87585</v>
      </c>
      <c r="Y222" s="294">
        <v>18759.924375999999</v>
      </c>
      <c r="Z222" s="294">
        <v>18759.924375999999</v>
      </c>
      <c r="AA222" s="294">
        <v>198862</v>
      </c>
      <c r="AB222" s="294">
        <v>42592.913254999999</v>
      </c>
      <c r="AC222" s="294">
        <v>42592.913254999999</v>
      </c>
    </row>
    <row r="223" spans="2:29" x14ac:dyDescent="0.25">
      <c r="B223" s="4" t="s">
        <v>772</v>
      </c>
      <c r="C223" s="5"/>
      <c r="D223" s="5"/>
      <c r="E223" s="5"/>
      <c r="F223" s="5"/>
      <c r="G223" s="5"/>
      <c r="H223" s="5"/>
      <c r="I223" s="5"/>
      <c r="J223" s="5"/>
      <c r="K223" s="5"/>
      <c r="L223" s="5"/>
      <c r="M223" s="5"/>
    </row>
    <row r="224" spans="2:29" x14ac:dyDescent="0.25">
      <c r="B224" s="421" t="s">
        <v>854</v>
      </c>
      <c r="C224" s="421"/>
      <c r="D224" s="421"/>
      <c r="E224" s="421"/>
      <c r="F224" s="421"/>
      <c r="G224" s="421"/>
      <c r="H224" s="421"/>
      <c r="I224" s="421"/>
      <c r="J224" s="421"/>
      <c r="K224" s="421"/>
      <c r="L224" s="421"/>
      <c r="M224" s="421"/>
      <c r="N224" s="421"/>
      <c r="O224" s="421"/>
      <c r="P224" s="421"/>
      <c r="Q224" s="421"/>
      <c r="R224" s="421"/>
      <c r="S224" s="421"/>
      <c r="T224" s="421"/>
      <c r="U224" s="421"/>
      <c r="V224" s="421"/>
      <c r="W224" s="421"/>
      <c r="X224" s="421"/>
      <c r="Y224" s="421"/>
      <c r="Z224" s="421"/>
      <c r="AA224" s="421"/>
      <c r="AB224" s="421"/>
      <c r="AC224" s="421"/>
    </row>
    <row r="225" spans="2:13" x14ac:dyDescent="0.25">
      <c r="B225" s="258" t="s">
        <v>919</v>
      </c>
      <c r="C225" s="5"/>
      <c r="D225" s="5"/>
      <c r="E225" s="5"/>
      <c r="F225" s="5"/>
      <c r="G225" s="5"/>
      <c r="H225" s="5"/>
      <c r="I225" s="5"/>
      <c r="J225" s="5"/>
      <c r="K225" s="5"/>
      <c r="L225" s="5"/>
      <c r="M225" s="5"/>
    </row>
    <row r="226" spans="2:13" x14ac:dyDescent="0.25">
      <c r="B226" s="211"/>
      <c r="C226" s="4"/>
      <c r="D226" s="4"/>
      <c r="E226" s="4"/>
      <c r="F226" s="4"/>
      <c r="G226" s="4"/>
      <c r="H226" s="4"/>
      <c r="I226" s="4"/>
      <c r="J226" s="4"/>
      <c r="K226" s="4"/>
    </row>
    <row r="227" spans="2:13" x14ac:dyDescent="0.25">
      <c r="B227" s="211"/>
      <c r="C227" s="4"/>
      <c r="D227" s="4"/>
      <c r="E227" s="4"/>
      <c r="F227" s="4"/>
      <c r="G227" s="4"/>
      <c r="H227" s="4"/>
      <c r="I227" s="4"/>
      <c r="J227" s="4"/>
      <c r="K227" s="4"/>
    </row>
    <row r="228" spans="2:13" x14ac:dyDescent="0.25">
      <c r="B228" s="211"/>
      <c r="C228" s="4"/>
      <c r="D228" s="4"/>
      <c r="E228" s="4"/>
      <c r="F228" s="4"/>
      <c r="G228" s="4"/>
      <c r="H228" s="4"/>
      <c r="I228" s="4"/>
      <c r="J228" s="4"/>
      <c r="K228" s="4"/>
    </row>
    <row r="229" spans="2:13" x14ac:dyDescent="0.25">
      <c r="B229" s="211"/>
      <c r="C229" s="4"/>
      <c r="D229" s="4"/>
      <c r="E229" s="4"/>
      <c r="F229" s="4"/>
      <c r="G229" s="4"/>
      <c r="H229" s="4"/>
      <c r="I229" s="4"/>
      <c r="J229" s="4"/>
      <c r="K229" s="4"/>
    </row>
    <row r="230" spans="2:13" x14ac:dyDescent="0.25">
      <c r="B230" s="211"/>
      <c r="C230" s="4"/>
      <c r="D230" s="4"/>
      <c r="E230" s="4"/>
      <c r="F230" s="4"/>
      <c r="G230" s="4"/>
      <c r="H230" s="4"/>
      <c r="I230" s="4"/>
      <c r="J230" s="4"/>
      <c r="K230" s="4"/>
    </row>
    <row r="231" spans="2:13" x14ac:dyDescent="0.25">
      <c r="B231" s="211"/>
      <c r="C231" s="4"/>
      <c r="D231" s="4"/>
      <c r="E231" s="4"/>
      <c r="F231" s="4"/>
      <c r="G231" s="4"/>
      <c r="H231" s="4"/>
      <c r="I231" s="4"/>
      <c r="J231" s="4"/>
      <c r="K231" s="4"/>
    </row>
  </sheetData>
  <mergeCells count="20">
    <mergeCell ref="B19:L19"/>
    <mergeCell ref="B15:B17"/>
    <mergeCell ref="B9:B11"/>
    <mergeCell ref="B12:B14"/>
    <mergeCell ref="D7:F7"/>
    <mergeCell ref="J7:L7"/>
    <mergeCell ref="G7:I7"/>
    <mergeCell ref="B224:AC224"/>
    <mergeCell ref="U25:AC25"/>
    <mergeCell ref="U26:W26"/>
    <mergeCell ref="X26:Z26"/>
    <mergeCell ref="AA26:AC26"/>
    <mergeCell ref="C26:E26"/>
    <mergeCell ref="F26:H26"/>
    <mergeCell ref="I26:K26"/>
    <mergeCell ref="C25:K25"/>
    <mergeCell ref="L25:T25"/>
    <mergeCell ref="L26:N26"/>
    <mergeCell ref="O26:Q26"/>
    <mergeCell ref="R26:T26"/>
  </mergeCells>
  <phoneticPr fontId="27"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 workbookViewId="1"/>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4" t="s">
        <v>9</v>
      </c>
      <c r="B1" t="s">
        <v>596</v>
      </c>
      <c r="I1" s="204" t="s">
        <v>9</v>
      </c>
      <c r="J1" t="s">
        <v>596</v>
      </c>
      <c r="O1" s="204" t="s">
        <v>9</v>
      </c>
      <c r="P1" t="s">
        <v>596</v>
      </c>
    </row>
    <row r="3" spans="1:19" x14ac:dyDescent="0.25">
      <c r="A3" s="204" t="s">
        <v>543</v>
      </c>
      <c r="B3" t="s">
        <v>619</v>
      </c>
      <c r="C3" t="s">
        <v>620</v>
      </c>
      <c r="D3" t="s">
        <v>621</v>
      </c>
      <c r="E3" t="s">
        <v>622</v>
      </c>
      <c r="F3" t="s">
        <v>623</v>
      </c>
      <c r="G3" t="s">
        <v>624</v>
      </c>
      <c r="I3" s="204" t="s">
        <v>543</v>
      </c>
      <c r="J3" t="s">
        <v>631</v>
      </c>
      <c r="K3" t="s">
        <v>632</v>
      </c>
      <c r="L3" t="s">
        <v>633</v>
      </c>
      <c r="M3" t="s">
        <v>634</v>
      </c>
      <c r="O3" s="204" t="s">
        <v>543</v>
      </c>
      <c r="P3" t="s">
        <v>643</v>
      </c>
      <c r="Q3" t="s">
        <v>644</v>
      </c>
      <c r="R3" t="s">
        <v>645</v>
      </c>
      <c r="S3" t="s">
        <v>646</v>
      </c>
    </row>
    <row r="4" spans="1:19" x14ac:dyDescent="0.25">
      <c r="A4" s="205" t="s">
        <v>559</v>
      </c>
      <c r="B4">
        <v>327413</v>
      </c>
      <c r="C4">
        <v>190531</v>
      </c>
      <c r="D4">
        <v>137530</v>
      </c>
      <c r="E4">
        <v>139864</v>
      </c>
      <c r="F4">
        <v>464943</v>
      </c>
      <c r="G4">
        <v>330395</v>
      </c>
      <c r="I4" s="205" t="s">
        <v>559</v>
      </c>
      <c r="J4" s="206">
        <v>69469277.144999996</v>
      </c>
      <c r="K4" s="206">
        <v>40636215.887999997</v>
      </c>
      <c r="L4" s="206">
        <v>22985156.960000001</v>
      </c>
      <c r="M4" s="206">
        <v>22214072.743999999</v>
      </c>
      <c r="O4" s="205" t="s">
        <v>559</v>
      </c>
      <c r="P4" s="206">
        <v>69114843.282755256</v>
      </c>
      <c r="Q4" s="206">
        <v>40428576.18180979</v>
      </c>
      <c r="R4" s="206">
        <v>22868011.248085368</v>
      </c>
      <c r="S4" s="206">
        <v>22101174.072249502</v>
      </c>
    </row>
    <row r="5" spans="1:19" x14ac:dyDescent="0.25">
      <c r="A5" s="208" t="s">
        <v>584</v>
      </c>
      <c r="B5">
        <v>109393</v>
      </c>
      <c r="C5">
        <v>63815</v>
      </c>
      <c r="D5">
        <v>45739</v>
      </c>
      <c r="E5">
        <v>46381</v>
      </c>
      <c r="F5">
        <v>155132</v>
      </c>
      <c r="G5">
        <v>110196</v>
      </c>
      <c r="I5" s="208" t="s">
        <v>584</v>
      </c>
      <c r="J5" s="206">
        <v>23196045.528999999</v>
      </c>
      <c r="K5" s="206">
        <v>13590242.085999999</v>
      </c>
      <c r="L5" s="206">
        <v>7659976.4989999998</v>
      </c>
      <c r="M5" s="206">
        <v>7378442.3490000004</v>
      </c>
      <c r="O5" s="208" t="s">
        <v>584</v>
      </c>
      <c r="P5" s="206">
        <v>22907039.828335743</v>
      </c>
      <c r="Q5" s="206">
        <v>13420917.645273631</v>
      </c>
      <c r="R5" s="206">
        <v>7564538.8144861665</v>
      </c>
      <c r="S5" s="206">
        <v>7286512.3733402435</v>
      </c>
    </row>
    <row r="6" spans="1:19" x14ac:dyDescent="0.25">
      <c r="A6" s="208" t="s">
        <v>585</v>
      </c>
      <c r="B6">
        <v>109031</v>
      </c>
      <c r="C6">
        <v>63526</v>
      </c>
      <c r="D6">
        <v>45910</v>
      </c>
      <c r="E6">
        <v>46666</v>
      </c>
      <c r="F6">
        <v>154941</v>
      </c>
      <c r="G6">
        <v>110192</v>
      </c>
      <c r="I6" s="208" t="s">
        <v>585</v>
      </c>
      <c r="J6" s="206">
        <v>23133193.734000001</v>
      </c>
      <c r="K6" s="206">
        <v>13546987.07</v>
      </c>
      <c r="L6" s="206">
        <v>7675227.1699999999</v>
      </c>
      <c r="M6" s="206">
        <v>7413824.5259999996</v>
      </c>
      <c r="O6" s="208" t="s">
        <v>585</v>
      </c>
      <c r="P6" s="206">
        <v>23067765.572419517</v>
      </c>
      <c r="Q6" s="206">
        <v>13508671.80453616</v>
      </c>
      <c r="R6" s="206">
        <v>7653519.1425991999</v>
      </c>
      <c r="S6" s="206">
        <v>7392855.8299092585</v>
      </c>
    </row>
    <row r="7" spans="1:19" x14ac:dyDescent="0.25">
      <c r="A7" s="208" t="s">
        <v>586</v>
      </c>
      <c r="B7">
        <v>108989</v>
      </c>
      <c r="C7">
        <v>63190</v>
      </c>
      <c r="D7">
        <v>45881</v>
      </c>
      <c r="E7">
        <v>46817</v>
      </c>
      <c r="F7">
        <v>154870</v>
      </c>
      <c r="G7">
        <v>110007</v>
      </c>
      <c r="I7" s="208" t="s">
        <v>586</v>
      </c>
      <c r="J7" s="206">
        <v>23140037.881999999</v>
      </c>
      <c r="K7" s="206">
        <v>13498986.732000001</v>
      </c>
      <c r="L7" s="206">
        <v>7649953.2910000002</v>
      </c>
      <c r="M7" s="206">
        <v>7421805.8689999999</v>
      </c>
      <c r="O7" s="208" t="s">
        <v>586</v>
      </c>
      <c r="P7" s="206">
        <v>23140037.881999999</v>
      </c>
      <c r="Q7" s="206">
        <v>13498986.732000001</v>
      </c>
      <c r="R7" s="206">
        <v>7649953.2910000002</v>
      </c>
      <c r="S7" s="206">
        <v>7421805.8689999999</v>
      </c>
    </row>
    <row r="11" spans="1:19" x14ac:dyDescent="0.25">
      <c r="A11" s="204" t="s">
        <v>9</v>
      </c>
      <c r="B11" t="s">
        <v>596</v>
      </c>
    </row>
    <row r="13" spans="1:19" x14ac:dyDescent="0.25">
      <c r="A13" s="204" t="s">
        <v>543</v>
      </c>
      <c r="B13" t="s">
        <v>619</v>
      </c>
      <c r="C13" t="s">
        <v>620</v>
      </c>
      <c r="D13" t="s">
        <v>621</v>
      </c>
      <c r="E13" t="s">
        <v>622</v>
      </c>
      <c r="F13" t="s">
        <v>623</v>
      </c>
      <c r="G13" t="s">
        <v>624</v>
      </c>
    </row>
    <row r="14" spans="1:19" x14ac:dyDescent="0.25">
      <c r="A14" s="205" t="s">
        <v>559</v>
      </c>
      <c r="B14" s="206">
        <v>2017877</v>
      </c>
      <c r="C14" s="206">
        <v>1478761</v>
      </c>
      <c r="D14" s="206">
        <v>540602</v>
      </c>
      <c r="E14" s="206">
        <v>538156</v>
      </c>
      <c r="F14" s="206">
        <v>2558479</v>
      </c>
      <c r="G14" s="206">
        <v>2016917</v>
      </c>
    </row>
    <row r="17" spans="1:7" x14ac:dyDescent="0.25">
      <c r="A17" s="204" t="s">
        <v>9</v>
      </c>
      <c r="B17" t="s">
        <v>596</v>
      </c>
    </row>
    <row r="19" spans="1:7" x14ac:dyDescent="0.25">
      <c r="A19" s="204" t="s">
        <v>543</v>
      </c>
      <c r="B19" t="s">
        <v>625</v>
      </c>
      <c r="C19" t="s">
        <v>626</v>
      </c>
      <c r="D19" t="s">
        <v>627</v>
      </c>
      <c r="E19" t="s">
        <v>628</v>
      </c>
      <c r="F19" t="s">
        <v>629</v>
      </c>
      <c r="G19" t="s">
        <v>630</v>
      </c>
    </row>
    <row r="20" spans="1:7" x14ac:dyDescent="0.25">
      <c r="A20" s="205" t="s">
        <v>559</v>
      </c>
      <c r="B20" s="206">
        <v>168156.41666666666</v>
      </c>
      <c r="C20" s="206">
        <v>123230.08333333333</v>
      </c>
      <c r="D20" s="206">
        <v>45050.166666666664</v>
      </c>
      <c r="E20" s="206">
        <v>44846.333333333336</v>
      </c>
      <c r="F20" s="206">
        <v>213206.58333333334</v>
      </c>
      <c r="G20" s="206">
        <v>168076.41666666666</v>
      </c>
    </row>
    <row r="23" spans="1:7" x14ac:dyDescent="0.25">
      <c r="A23" s="204" t="s">
        <v>9</v>
      </c>
      <c r="B23" t="s">
        <v>596</v>
      </c>
    </row>
    <row r="25" spans="1:7" x14ac:dyDescent="0.25">
      <c r="A25" s="204" t="s">
        <v>543</v>
      </c>
      <c r="B25" t="s">
        <v>631</v>
      </c>
      <c r="C25" t="s">
        <v>632</v>
      </c>
      <c r="D25" t="s">
        <v>633</v>
      </c>
      <c r="E25" t="s">
        <v>634</v>
      </c>
      <c r="F25" t="s">
        <v>635</v>
      </c>
      <c r="G25" t="s">
        <v>636</v>
      </c>
    </row>
    <row r="26" spans="1:7" x14ac:dyDescent="0.25">
      <c r="A26" s="205" t="s">
        <v>559</v>
      </c>
      <c r="B26" s="206">
        <v>362446009.15000004</v>
      </c>
      <c r="C26" s="206">
        <v>250516499.96700001</v>
      </c>
      <c r="D26" s="206">
        <v>89129736.667999998</v>
      </c>
      <c r="E26" s="206">
        <v>84667893.447999999</v>
      </c>
      <c r="F26" s="206">
        <v>451575745.81799996</v>
      </c>
      <c r="G26" s="206">
        <v>335184393.41500002</v>
      </c>
    </row>
    <row r="29" spans="1:7" x14ac:dyDescent="0.25">
      <c r="A29" s="204" t="s">
        <v>9</v>
      </c>
      <c r="B29" t="s">
        <v>596</v>
      </c>
    </row>
    <row r="31" spans="1:7" x14ac:dyDescent="0.25">
      <c r="A31" s="204" t="s">
        <v>543</v>
      </c>
      <c r="B31" t="s">
        <v>637</v>
      </c>
      <c r="C31" t="s">
        <v>638</v>
      </c>
      <c r="D31" t="s">
        <v>639</v>
      </c>
      <c r="E31" t="s">
        <v>640</v>
      </c>
      <c r="F31" t="s">
        <v>641</v>
      </c>
      <c r="G31" t="s">
        <v>642</v>
      </c>
    </row>
    <row r="32" spans="1:7" x14ac:dyDescent="0.25">
      <c r="A32" s="205" t="s">
        <v>559</v>
      </c>
      <c r="B32" s="206">
        <v>30203834.095833335</v>
      </c>
      <c r="C32" s="206">
        <v>20876374.997250002</v>
      </c>
      <c r="D32" s="206">
        <v>7427478.0556666665</v>
      </c>
      <c r="E32" s="206">
        <v>7055657.7873333329</v>
      </c>
      <c r="F32" s="206">
        <v>37631312.151499994</v>
      </c>
      <c r="G32" s="206">
        <v>27932032.784583334</v>
      </c>
    </row>
    <row r="35" spans="1:5" x14ac:dyDescent="0.25">
      <c r="A35" s="204" t="s">
        <v>9</v>
      </c>
      <c r="B35" t="s">
        <v>596</v>
      </c>
    </row>
    <row r="37" spans="1:5" x14ac:dyDescent="0.25">
      <c r="A37" s="204" t="s">
        <v>543</v>
      </c>
      <c r="B37" t="s">
        <v>643</v>
      </c>
      <c r="C37" t="s">
        <v>644</v>
      </c>
      <c r="D37" t="s">
        <v>645</v>
      </c>
      <c r="E37" t="s">
        <v>646</v>
      </c>
    </row>
    <row r="38" spans="1:5" x14ac:dyDescent="0.25">
      <c r="A38" s="205" t="s">
        <v>559</v>
      </c>
      <c r="B38" s="206">
        <v>340851773.50069964</v>
      </c>
      <c r="C38" s="206">
        <v>234463200.48189491</v>
      </c>
      <c r="D38" s="206">
        <v>85046489.557917848</v>
      </c>
      <c r="E38" s="206">
        <v>80830615.958772197</v>
      </c>
    </row>
    <row r="42" spans="1:5" x14ac:dyDescent="0.25">
      <c r="A42" s="204" t="s">
        <v>9</v>
      </c>
      <c r="B42" t="s">
        <v>596</v>
      </c>
    </row>
    <row r="44" spans="1:5" x14ac:dyDescent="0.25">
      <c r="A44" s="204" t="s">
        <v>543</v>
      </c>
      <c r="B44" t="s">
        <v>647</v>
      </c>
      <c r="C44" t="s">
        <v>648</v>
      </c>
      <c r="D44" t="s">
        <v>649</v>
      </c>
      <c r="E44" t="s">
        <v>650</v>
      </c>
    </row>
    <row r="45" spans="1:5" x14ac:dyDescent="0.25">
      <c r="A45" s="205" t="s">
        <v>559</v>
      </c>
      <c r="B45" s="206">
        <v>28404314.458391637</v>
      </c>
      <c r="C45" s="206">
        <v>19538600.04015791</v>
      </c>
      <c r="D45" s="206">
        <v>7087207.463159821</v>
      </c>
      <c r="E45" s="206">
        <v>6735884.6632310161</v>
      </c>
    </row>
    <row r="51" spans="1:5" x14ac:dyDescent="0.25">
      <c r="A51" s="204" t="s">
        <v>543</v>
      </c>
      <c r="B51" t="s">
        <v>625</v>
      </c>
      <c r="C51" t="s">
        <v>626</v>
      </c>
      <c r="D51" t="s">
        <v>627</v>
      </c>
      <c r="E51" t="s">
        <v>628</v>
      </c>
    </row>
    <row r="52" spans="1:5" x14ac:dyDescent="0.25">
      <c r="A52" s="205" t="s">
        <v>545</v>
      </c>
      <c r="B52" s="206">
        <v>2920.6666666666665</v>
      </c>
      <c r="C52" s="206">
        <v>1116</v>
      </c>
      <c r="D52" s="206">
        <v>286.33333333333331</v>
      </c>
      <c r="E52" s="206">
        <v>290.33333333333331</v>
      </c>
    </row>
    <row r="53" spans="1:5" x14ac:dyDescent="0.25">
      <c r="A53" s="205" t="s">
        <v>546</v>
      </c>
      <c r="B53" s="206">
        <v>35080.083333333336</v>
      </c>
      <c r="C53" s="206">
        <v>24939.75</v>
      </c>
      <c r="D53" s="206">
        <v>2213.8333333333335</v>
      </c>
      <c r="E53" s="206">
        <v>1769.75</v>
      </c>
    </row>
    <row r="54" spans="1:5" x14ac:dyDescent="0.25">
      <c r="A54" s="205" t="s">
        <v>547</v>
      </c>
      <c r="B54" s="206">
        <v>184671.58333333334</v>
      </c>
      <c r="C54" s="206">
        <v>128661.83333333333</v>
      </c>
      <c r="D54" s="206">
        <v>8050.916666666667</v>
      </c>
      <c r="E54" s="206">
        <v>5922.916666666667</v>
      </c>
    </row>
    <row r="55" spans="1:5" x14ac:dyDescent="0.25">
      <c r="A55" s="205" t="s">
        <v>548</v>
      </c>
      <c r="B55" s="206">
        <v>232153.66666666666</v>
      </c>
      <c r="C55" s="206">
        <v>168868.75</v>
      </c>
      <c r="D55" s="206">
        <v>12883.083333333334</v>
      </c>
      <c r="E55" s="206">
        <v>9283.4166666666661</v>
      </c>
    </row>
    <row r="56" spans="1:5" x14ac:dyDescent="0.25">
      <c r="A56" s="205" t="s">
        <v>549</v>
      </c>
      <c r="B56" s="206">
        <v>279628</v>
      </c>
      <c r="C56" s="206">
        <v>203893.75</v>
      </c>
      <c r="D56" s="206">
        <v>19231.416666666668</v>
      </c>
      <c r="E56" s="206">
        <v>14584.75</v>
      </c>
    </row>
    <row r="57" spans="1:5" x14ac:dyDescent="0.25">
      <c r="A57" s="205" t="s">
        <v>550</v>
      </c>
      <c r="B57" s="206">
        <v>327092.08333333331</v>
      </c>
      <c r="C57" s="206">
        <v>237763.33333333334</v>
      </c>
      <c r="D57" s="206">
        <v>26607.083333333332</v>
      </c>
      <c r="E57" s="206">
        <v>21058.833333333332</v>
      </c>
    </row>
    <row r="58" spans="1:5" x14ac:dyDescent="0.25">
      <c r="A58" s="205" t="s">
        <v>551</v>
      </c>
      <c r="B58" s="206">
        <v>354831.83333333331</v>
      </c>
      <c r="C58" s="206">
        <v>258135.41666666666</v>
      </c>
      <c r="D58" s="206">
        <v>33075.25</v>
      </c>
      <c r="E58" s="206">
        <v>26998.166666666668</v>
      </c>
    </row>
    <row r="59" spans="1:5" x14ac:dyDescent="0.25">
      <c r="A59" s="205" t="s">
        <v>552</v>
      </c>
      <c r="B59" s="206">
        <v>385388.58333333331</v>
      </c>
      <c r="C59" s="206">
        <v>279293.16666666669</v>
      </c>
      <c r="D59" s="206">
        <v>35497.583333333336</v>
      </c>
      <c r="E59" s="206">
        <v>29292.083333333332</v>
      </c>
    </row>
    <row r="60" spans="1:5" x14ac:dyDescent="0.25">
      <c r="A60" s="205" t="s">
        <v>553</v>
      </c>
      <c r="B60" s="206">
        <v>409696.25</v>
      </c>
      <c r="C60" s="206">
        <v>297461.08333333331</v>
      </c>
      <c r="D60" s="206">
        <v>35477.75</v>
      </c>
      <c r="E60" s="206">
        <v>29444.666666666668</v>
      </c>
    </row>
    <row r="61" spans="1:5" x14ac:dyDescent="0.25">
      <c r="A61" s="205" t="s">
        <v>554</v>
      </c>
      <c r="B61" s="206">
        <v>434014.41666666669</v>
      </c>
      <c r="C61" s="206">
        <v>315115.08333333331</v>
      </c>
      <c r="D61" s="206">
        <v>35236.416666666664</v>
      </c>
      <c r="E61" s="206">
        <v>29440.416666666668</v>
      </c>
    </row>
    <row r="62" spans="1:5" x14ac:dyDescent="0.25">
      <c r="A62" s="205" t="s">
        <v>555</v>
      </c>
      <c r="B62" s="206">
        <v>472783.58333333331</v>
      </c>
      <c r="C62" s="206">
        <v>343894.41666666669</v>
      </c>
      <c r="D62" s="206">
        <v>35802.166666666664</v>
      </c>
      <c r="E62" s="206">
        <v>30349.5</v>
      </c>
    </row>
    <row r="63" spans="1:5" x14ac:dyDescent="0.25">
      <c r="A63" s="205" t="s">
        <v>556</v>
      </c>
      <c r="B63" s="206">
        <v>513930.5</v>
      </c>
      <c r="C63" s="206">
        <v>376625</v>
      </c>
      <c r="D63" s="206">
        <v>36751.75</v>
      </c>
      <c r="E63" s="206">
        <v>31642.25</v>
      </c>
    </row>
    <row r="64" spans="1:5" x14ac:dyDescent="0.25">
      <c r="A64" s="205" t="s">
        <v>557</v>
      </c>
      <c r="B64" s="206">
        <v>569814.16666666663</v>
      </c>
      <c r="C64" s="206">
        <v>419795.08333333331</v>
      </c>
      <c r="D64" s="206">
        <v>38063.25</v>
      </c>
      <c r="E64" s="206">
        <v>33240.166666666664</v>
      </c>
    </row>
    <row r="65" spans="1:5" s="221" customFormat="1" x14ac:dyDescent="0.25">
      <c r="A65" s="219" t="s">
        <v>558</v>
      </c>
      <c r="B65" s="220">
        <v>627987.08333333337</v>
      </c>
      <c r="C65" s="220">
        <v>462603.16666666669</v>
      </c>
      <c r="D65" s="220">
        <v>41110.25</v>
      </c>
      <c r="E65" s="220">
        <v>37794.333333333336</v>
      </c>
    </row>
    <row r="66" spans="1:5" x14ac:dyDescent="0.25">
      <c r="A66" s="208" t="s">
        <v>575</v>
      </c>
      <c r="B66" s="206">
        <v>600842</v>
      </c>
      <c r="C66" s="206">
        <v>443662</v>
      </c>
      <c r="D66" s="206">
        <v>38683</v>
      </c>
      <c r="E66" s="206">
        <v>34228</v>
      </c>
    </row>
    <row r="67" spans="1:5" x14ac:dyDescent="0.25">
      <c r="A67" s="208" t="s">
        <v>576</v>
      </c>
      <c r="B67" s="206">
        <v>605436</v>
      </c>
      <c r="C67" s="206">
        <v>447257</v>
      </c>
      <c r="D67" s="206">
        <v>38750</v>
      </c>
      <c r="E67" s="206">
        <v>34279</v>
      </c>
    </row>
    <row r="68" spans="1:5" x14ac:dyDescent="0.25">
      <c r="A68" s="208" t="s">
        <v>577</v>
      </c>
      <c r="B68" s="206">
        <v>610095</v>
      </c>
      <c r="C68" s="206">
        <v>450099</v>
      </c>
      <c r="D68" s="206">
        <v>38777</v>
      </c>
      <c r="E68" s="206">
        <v>34317</v>
      </c>
    </row>
    <row r="69" spans="1:5" x14ac:dyDescent="0.25">
      <c r="A69" s="208" t="s">
        <v>578</v>
      </c>
      <c r="B69" s="206">
        <v>615165</v>
      </c>
      <c r="C69" s="206">
        <v>453554</v>
      </c>
      <c r="D69" s="206">
        <v>39434</v>
      </c>
      <c r="E69" s="206">
        <v>35231</v>
      </c>
    </row>
    <row r="70" spans="1:5" x14ac:dyDescent="0.25">
      <c r="A70" s="208" t="s">
        <v>579</v>
      </c>
      <c r="B70" s="206">
        <v>619925</v>
      </c>
      <c r="C70" s="206">
        <v>456843</v>
      </c>
      <c r="D70" s="206">
        <v>40665</v>
      </c>
      <c r="E70" s="206">
        <v>36858</v>
      </c>
    </row>
    <row r="71" spans="1:5" x14ac:dyDescent="0.25">
      <c r="A71" s="208" t="s">
        <v>580</v>
      </c>
      <c r="B71" s="206">
        <v>624280</v>
      </c>
      <c r="C71" s="206">
        <v>459648</v>
      </c>
      <c r="D71" s="206">
        <v>41406</v>
      </c>
      <c r="E71" s="206">
        <v>37901</v>
      </c>
    </row>
    <row r="72" spans="1:5" x14ac:dyDescent="0.25">
      <c r="A72" s="208" t="s">
        <v>581</v>
      </c>
      <c r="B72" s="206">
        <v>628233</v>
      </c>
      <c r="C72" s="206">
        <v>462542</v>
      </c>
      <c r="D72" s="206">
        <v>41969</v>
      </c>
      <c r="E72" s="206">
        <v>38877</v>
      </c>
    </row>
    <row r="73" spans="1:5" x14ac:dyDescent="0.25">
      <c r="A73" s="208" t="s">
        <v>582</v>
      </c>
      <c r="B73" s="206">
        <v>632311</v>
      </c>
      <c r="C73" s="206">
        <v>464709</v>
      </c>
      <c r="D73" s="206">
        <v>42296</v>
      </c>
      <c r="E73" s="206">
        <v>39447</v>
      </c>
    </row>
    <row r="74" spans="1:5" x14ac:dyDescent="0.25">
      <c r="A74" s="208" t="s">
        <v>583</v>
      </c>
      <c r="B74" s="206">
        <v>638396</v>
      </c>
      <c r="C74" s="206">
        <v>469874</v>
      </c>
      <c r="D74" s="206">
        <v>42481</v>
      </c>
      <c r="E74" s="206">
        <v>39831</v>
      </c>
    </row>
    <row r="75" spans="1:5" x14ac:dyDescent="0.25">
      <c r="A75" s="208" t="s">
        <v>584</v>
      </c>
      <c r="B75" s="206">
        <v>645913</v>
      </c>
      <c r="C75" s="206">
        <v>475311</v>
      </c>
      <c r="D75" s="206">
        <v>42530</v>
      </c>
      <c r="E75" s="206">
        <v>40062</v>
      </c>
    </row>
    <row r="76" spans="1:5" x14ac:dyDescent="0.25">
      <c r="A76" s="208" t="s">
        <v>585</v>
      </c>
      <c r="B76" s="206">
        <v>654021</v>
      </c>
      <c r="C76" s="206">
        <v>481364</v>
      </c>
      <c r="D76" s="206">
        <v>43059</v>
      </c>
      <c r="E76" s="206">
        <v>41024</v>
      </c>
    </row>
    <row r="77" spans="1:5" x14ac:dyDescent="0.25">
      <c r="A77" s="208" t="s">
        <v>586</v>
      </c>
      <c r="B77" s="206">
        <v>661228</v>
      </c>
      <c r="C77" s="206">
        <v>486375</v>
      </c>
      <c r="D77" s="206">
        <v>43273</v>
      </c>
      <c r="E77" s="206">
        <v>41477</v>
      </c>
    </row>
    <row r="78" spans="1:5" s="221" customFormat="1" x14ac:dyDescent="0.25">
      <c r="A78" s="219" t="s">
        <v>559</v>
      </c>
      <c r="B78" s="220">
        <v>168156.41666666666</v>
      </c>
      <c r="C78" s="220">
        <v>123230.08333333333</v>
      </c>
      <c r="D78" s="220">
        <v>45050.166666666664</v>
      </c>
      <c r="E78" s="220">
        <v>44846.333333333336</v>
      </c>
    </row>
    <row r="79" spans="1:5" x14ac:dyDescent="0.25">
      <c r="A79" s="208" t="s">
        <v>575</v>
      </c>
      <c r="B79" s="206">
        <v>669074</v>
      </c>
      <c r="C79" s="206">
        <v>492231</v>
      </c>
      <c r="D79" s="206">
        <v>43561</v>
      </c>
      <c r="E79" s="206">
        <v>41983</v>
      </c>
    </row>
    <row r="80" spans="1:5" x14ac:dyDescent="0.25">
      <c r="A80" s="208" t="s">
        <v>576</v>
      </c>
      <c r="B80" s="206">
        <v>157011</v>
      </c>
      <c r="C80" s="206">
        <v>156303</v>
      </c>
      <c r="D80" s="206">
        <v>43796</v>
      </c>
      <c r="E80" s="206">
        <v>42423</v>
      </c>
    </row>
    <row r="81" spans="1:5" x14ac:dyDescent="0.25">
      <c r="A81" s="208" t="s">
        <v>577</v>
      </c>
      <c r="B81" s="206">
        <v>158373</v>
      </c>
      <c r="C81" s="206">
        <v>158291</v>
      </c>
      <c r="D81" s="206">
        <v>44375</v>
      </c>
      <c r="E81" s="206">
        <v>43297</v>
      </c>
    </row>
    <row r="82" spans="1:5" x14ac:dyDescent="0.25">
      <c r="A82" s="208" t="s">
        <v>578</v>
      </c>
      <c r="B82" s="206">
        <v>154818</v>
      </c>
      <c r="C82" s="206">
        <v>157061</v>
      </c>
      <c r="D82" s="206">
        <v>44630</v>
      </c>
      <c r="E82" s="206">
        <v>43805</v>
      </c>
    </row>
    <row r="83" spans="1:5" x14ac:dyDescent="0.25">
      <c r="A83" s="208" t="s">
        <v>579</v>
      </c>
      <c r="B83" s="206">
        <v>111871</v>
      </c>
      <c r="C83" s="206">
        <v>65720</v>
      </c>
      <c r="D83" s="206">
        <v>44880</v>
      </c>
      <c r="E83" s="206">
        <v>44391</v>
      </c>
    </row>
    <row r="84" spans="1:5" x14ac:dyDescent="0.25">
      <c r="A84" s="208" t="s">
        <v>580</v>
      </c>
      <c r="B84" s="206">
        <v>109948</v>
      </c>
      <c r="C84" s="206">
        <v>64976</v>
      </c>
      <c r="D84" s="206">
        <v>45192</v>
      </c>
      <c r="E84" s="206">
        <v>45010</v>
      </c>
    </row>
    <row r="85" spans="1:5" x14ac:dyDescent="0.25">
      <c r="A85" s="208" t="s">
        <v>581</v>
      </c>
      <c r="B85" s="206">
        <v>109799</v>
      </c>
      <c r="C85" s="206">
        <v>64729</v>
      </c>
      <c r="D85" s="206">
        <v>45366</v>
      </c>
      <c r="E85" s="206">
        <v>45364</v>
      </c>
    </row>
    <row r="86" spans="1:5" x14ac:dyDescent="0.25">
      <c r="A86" s="208" t="s">
        <v>582</v>
      </c>
      <c r="B86" s="206">
        <v>109904</v>
      </c>
      <c r="C86" s="206">
        <v>64644</v>
      </c>
      <c r="D86" s="206">
        <v>45575</v>
      </c>
      <c r="E86" s="206">
        <v>45817</v>
      </c>
    </row>
    <row r="87" spans="1:5" x14ac:dyDescent="0.25">
      <c r="A87" s="208" t="s">
        <v>583</v>
      </c>
      <c r="B87" s="206">
        <v>109666</v>
      </c>
      <c r="C87" s="206">
        <v>64275</v>
      </c>
      <c r="D87" s="206">
        <v>45697</v>
      </c>
      <c r="E87" s="206">
        <v>46202</v>
      </c>
    </row>
    <row r="88" spans="1:5" x14ac:dyDescent="0.25">
      <c r="A88" s="208" t="s">
        <v>584</v>
      </c>
      <c r="B88" s="206">
        <v>109393</v>
      </c>
      <c r="C88" s="206">
        <v>63815</v>
      </c>
      <c r="D88" s="206">
        <v>45739</v>
      </c>
      <c r="E88" s="206">
        <v>46381</v>
      </c>
    </row>
    <row r="89" spans="1:5" x14ac:dyDescent="0.25">
      <c r="A89" s="208" t="s">
        <v>585</v>
      </c>
      <c r="B89" s="206">
        <v>109031</v>
      </c>
      <c r="C89" s="206">
        <v>63526</v>
      </c>
      <c r="D89" s="206">
        <v>45910</v>
      </c>
      <c r="E89" s="206">
        <v>46666</v>
      </c>
    </row>
    <row r="90" spans="1:5" x14ac:dyDescent="0.25">
      <c r="A90" s="208" t="s">
        <v>586</v>
      </c>
      <c r="B90" s="206">
        <v>108989</v>
      </c>
      <c r="C90" s="206">
        <v>63190</v>
      </c>
      <c r="D90" s="206">
        <v>45881</v>
      </c>
      <c r="E90" s="206">
        <v>46817</v>
      </c>
    </row>
    <row r="94" spans="1:5" x14ac:dyDescent="0.25">
      <c r="A94" s="204" t="s">
        <v>543</v>
      </c>
      <c r="B94" t="s">
        <v>647</v>
      </c>
      <c r="C94" t="s">
        <v>648</v>
      </c>
      <c r="D94" t="s">
        <v>649</v>
      </c>
      <c r="E94" t="s">
        <v>650</v>
      </c>
    </row>
    <row r="95" spans="1:5" x14ac:dyDescent="0.25">
      <c r="A95" s="205" t="s">
        <v>545</v>
      </c>
      <c r="B95" s="206">
        <v>156325.61370400709</v>
      </c>
      <c r="C95" s="206">
        <v>77435.603686702554</v>
      </c>
      <c r="D95" s="206">
        <v>15483.202248388579</v>
      </c>
      <c r="E95" s="206">
        <v>15243.679179104918</v>
      </c>
    </row>
    <row r="96" spans="1:5" x14ac:dyDescent="0.25">
      <c r="A96" s="205" t="s">
        <v>546</v>
      </c>
      <c r="B96" s="206">
        <v>772303.7687463793</v>
      </c>
      <c r="C96" s="206">
        <v>553043.39554315945</v>
      </c>
      <c r="D96" s="206">
        <v>120809.2661856684</v>
      </c>
      <c r="E96" s="206">
        <v>93245.041899224161</v>
      </c>
    </row>
    <row r="97" spans="1:5" x14ac:dyDescent="0.25">
      <c r="A97" s="205" t="s">
        <v>547</v>
      </c>
      <c r="B97" s="206">
        <v>3418827.2571331747</v>
      </c>
      <c r="C97" s="206">
        <v>2476323.6803078842</v>
      </c>
      <c r="D97" s="206">
        <v>396627.09478933923</v>
      </c>
      <c r="E97" s="206">
        <v>287837.12706121668</v>
      </c>
    </row>
    <row r="98" spans="1:5" x14ac:dyDescent="0.25">
      <c r="A98" s="205" t="s">
        <v>548</v>
      </c>
      <c r="B98" s="206">
        <v>6247614.1601618873</v>
      </c>
      <c r="C98" s="206">
        <v>4603741.038574772</v>
      </c>
      <c r="D98" s="206">
        <v>662081.86303150852</v>
      </c>
      <c r="E98" s="206">
        <v>475799.91798954178</v>
      </c>
    </row>
    <row r="99" spans="1:5" x14ac:dyDescent="0.25">
      <c r="A99" s="205" t="s">
        <v>549</v>
      </c>
      <c r="B99" s="206">
        <v>8655068.6755060498</v>
      </c>
      <c r="C99" s="206">
        <v>6361345.5984722832</v>
      </c>
      <c r="D99" s="206">
        <v>999427.57781844714</v>
      </c>
      <c r="E99" s="206">
        <v>752510.08723908092</v>
      </c>
    </row>
    <row r="100" spans="1:5" x14ac:dyDescent="0.25">
      <c r="A100" s="205" t="s">
        <v>550</v>
      </c>
      <c r="B100" s="206">
        <v>10274152.252564007</v>
      </c>
      <c r="C100" s="206">
        <v>7549289.2571261423</v>
      </c>
      <c r="D100" s="206">
        <v>1394976.8004118858</v>
      </c>
      <c r="E100" s="206">
        <v>1080341.7336039112</v>
      </c>
    </row>
    <row r="101" spans="1:5" x14ac:dyDescent="0.25">
      <c r="A101" s="205" t="s">
        <v>551</v>
      </c>
      <c r="B101" s="206">
        <v>12384536.661468254</v>
      </c>
      <c r="C101" s="206">
        <v>9088379.0428815652</v>
      </c>
      <c r="D101" s="206">
        <v>1873609.1069966659</v>
      </c>
      <c r="E101" s="206">
        <v>1487596.9449784867</v>
      </c>
    </row>
    <row r="102" spans="1:5" x14ac:dyDescent="0.25">
      <c r="A102" s="205" t="s">
        <v>552</v>
      </c>
      <c r="B102" s="206">
        <v>15028398.368320284</v>
      </c>
      <c r="C102" s="206">
        <v>10934864.934245305</v>
      </c>
      <c r="D102" s="206">
        <v>2145117.4776902464</v>
      </c>
      <c r="E102" s="206">
        <v>1726456.0997398666</v>
      </c>
    </row>
    <row r="103" spans="1:5" x14ac:dyDescent="0.25">
      <c r="A103" s="205" t="s">
        <v>553</v>
      </c>
      <c r="B103" s="206">
        <v>17693062.052085578</v>
      </c>
      <c r="C103" s="206">
        <v>12778832.993547233</v>
      </c>
      <c r="D103" s="206">
        <v>2309466.3017106852</v>
      </c>
      <c r="E103" s="206">
        <v>1870817.0617767142</v>
      </c>
    </row>
    <row r="104" spans="1:5" x14ac:dyDescent="0.25">
      <c r="A104" s="205" t="s">
        <v>554</v>
      </c>
      <c r="B104" s="206">
        <v>22026093.42393636</v>
      </c>
      <c r="C104" s="206">
        <v>15785831.809762007</v>
      </c>
      <c r="D104" s="206">
        <v>2656108.6514058975</v>
      </c>
      <c r="E104" s="206">
        <v>2170783.9154642965</v>
      </c>
    </row>
    <row r="105" spans="1:5" x14ac:dyDescent="0.25">
      <c r="A105" s="205" t="s">
        <v>555</v>
      </c>
      <c r="B105" s="206">
        <v>25758208.861809745</v>
      </c>
      <c r="C105" s="206">
        <v>18313834.917808082</v>
      </c>
      <c r="D105" s="206">
        <v>2811976.0036181766</v>
      </c>
      <c r="E105" s="206">
        <v>2328781.0642876038</v>
      </c>
    </row>
    <row r="106" spans="1:5" x14ac:dyDescent="0.25">
      <c r="A106" s="205" t="s">
        <v>556</v>
      </c>
      <c r="B106" s="206">
        <v>31325043.761277139</v>
      </c>
      <c r="C106" s="206">
        <v>22124351.396135092</v>
      </c>
      <c r="D106" s="206">
        <v>3077999.2799660643</v>
      </c>
      <c r="E106" s="206">
        <v>2588562.3438297664</v>
      </c>
    </row>
    <row r="107" spans="1:5" x14ac:dyDescent="0.25">
      <c r="A107" s="205" t="s">
        <v>557</v>
      </c>
      <c r="B107" s="206">
        <v>52124871.761183031</v>
      </c>
      <c r="C107" s="206">
        <v>36060454.038666867</v>
      </c>
      <c r="D107" s="206">
        <v>4073396.1219694219</v>
      </c>
      <c r="E107" s="206">
        <v>3463066.8552737548</v>
      </c>
    </row>
    <row r="108" spans="1:5" x14ac:dyDescent="0.25">
      <c r="A108" s="219" t="s">
        <v>558</v>
      </c>
      <c r="B108" s="220">
        <v>70325409.227225527</v>
      </c>
      <c r="C108" s="220">
        <v>48621672.881336205</v>
      </c>
      <c r="D108" s="220">
        <v>5150957.0731636398</v>
      </c>
      <c r="E108" s="220">
        <v>4569506.209414009</v>
      </c>
    </row>
    <row r="109" spans="1:5" x14ac:dyDescent="0.25">
      <c r="A109" s="208" t="s">
        <v>575</v>
      </c>
      <c r="B109" s="206">
        <v>63696362.958414577</v>
      </c>
      <c r="C109" s="206">
        <v>44309021.858175702</v>
      </c>
      <c r="D109" s="206">
        <v>4762977.5698647648</v>
      </c>
      <c r="E109" s="206">
        <v>4091361.7391424058</v>
      </c>
    </row>
    <row r="110" spans="1:5" x14ac:dyDescent="0.25">
      <c r="A110" s="208" t="s">
        <v>576</v>
      </c>
      <c r="B110" s="206">
        <v>63994907.637665316</v>
      </c>
      <c r="C110" s="206">
        <v>44520514.941822201</v>
      </c>
      <c r="D110" s="206">
        <v>4770319.8015366821</v>
      </c>
      <c r="E110" s="206">
        <v>4099156.4931002227</v>
      </c>
    </row>
    <row r="111" spans="1:5" x14ac:dyDescent="0.25">
      <c r="A111" s="208" t="s">
        <v>577</v>
      </c>
      <c r="B111" s="206">
        <v>64860053.544890635</v>
      </c>
      <c r="C111" s="206">
        <v>44970556.341564067</v>
      </c>
      <c r="D111" s="206">
        <v>4790436.5807098188</v>
      </c>
      <c r="E111" s="206">
        <v>4120914.664349474</v>
      </c>
    </row>
    <row r="112" spans="1:5" x14ac:dyDescent="0.25">
      <c r="A112" s="208" t="s">
        <v>578</v>
      </c>
      <c r="B112" s="206">
        <v>65728334.705676571</v>
      </c>
      <c r="C112" s="206">
        <v>45436158.618098512</v>
      </c>
      <c r="D112" s="206">
        <v>4853879.4257550761</v>
      </c>
      <c r="E112" s="206">
        <v>4205557.1092847055</v>
      </c>
    </row>
    <row r="113" spans="1:5" x14ac:dyDescent="0.25">
      <c r="A113" s="208" t="s">
        <v>579</v>
      </c>
      <c r="B113" s="206">
        <v>66487237.463731125</v>
      </c>
      <c r="C113" s="206">
        <v>45869113.586396888</v>
      </c>
      <c r="D113" s="206">
        <v>4942107.9733611783</v>
      </c>
      <c r="E113" s="206">
        <v>4317325.5893974723</v>
      </c>
    </row>
    <row r="114" spans="1:5" x14ac:dyDescent="0.25">
      <c r="A114" s="208" t="s">
        <v>580</v>
      </c>
      <c r="B114" s="206">
        <v>67158507.375148997</v>
      </c>
      <c r="C114" s="206">
        <v>46243176.301030934</v>
      </c>
      <c r="D114" s="206">
        <v>4996697.9239287786</v>
      </c>
      <c r="E114" s="206">
        <v>4398896.771803827</v>
      </c>
    </row>
    <row r="115" spans="1:5" x14ac:dyDescent="0.25">
      <c r="A115" s="208" t="s">
        <v>581</v>
      </c>
      <c r="B115" s="206">
        <v>71495305.011722028</v>
      </c>
      <c r="C115" s="206">
        <v>49293780.097641803</v>
      </c>
      <c r="D115" s="206">
        <v>5285358.0406123968</v>
      </c>
      <c r="E115" s="206">
        <v>4703728.2221015217</v>
      </c>
    </row>
    <row r="116" spans="1:5" x14ac:dyDescent="0.25">
      <c r="A116" s="208" t="s">
        <v>582</v>
      </c>
      <c r="B116" s="206">
        <v>72562820.255994841</v>
      </c>
      <c r="C116" s="206">
        <v>50049476.158138156</v>
      </c>
      <c r="D116" s="206">
        <v>5343223.9759224355</v>
      </c>
      <c r="E116" s="206">
        <v>4791257.5344296834</v>
      </c>
    </row>
    <row r="117" spans="1:5" x14ac:dyDescent="0.25">
      <c r="A117" s="208" t="s">
        <v>583</v>
      </c>
      <c r="B117" s="206">
        <v>74341706.803722784</v>
      </c>
      <c r="C117" s="206">
        <v>51336522.716239899</v>
      </c>
      <c r="D117" s="206">
        <v>5419614.7033567168</v>
      </c>
      <c r="E117" s="206">
        <v>4887790.7821044028</v>
      </c>
    </row>
    <row r="118" spans="1:5" x14ac:dyDescent="0.25">
      <c r="A118" s="208" t="s">
        <v>584</v>
      </c>
      <c r="B118" s="206">
        <v>76383252.740311757</v>
      </c>
      <c r="C118" s="206">
        <v>52777445.495826118</v>
      </c>
      <c r="D118" s="206">
        <v>5494279.9203069536</v>
      </c>
      <c r="E118" s="206">
        <v>4985450.6875939816</v>
      </c>
    </row>
    <row r="119" spans="1:5" x14ac:dyDescent="0.25">
      <c r="A119" s="208" t="s">
        <v>585</v>
      </c>
      <c r="B119" s="206">
        <v>77822215.433380589</v>
      </c>
      <c r="C119" s="206">
        <v>53790438.48087886</v>
      </c>
      <c r="D119" s="206">
        <v>5553125.5563144684</v>
      </c>
      <c r="E119" s="206">
        <v>5084684.765986192</v>
      </c>
    </row>
    <row r="120" spans="1:5" x14ac:dyDescent="0.25">
      <c r="A120" s="208" t="s">
        <v>586</v>
      </c>
      <c r="B120" s="206">
        <v>79374206.796047181</v>
      </c>
      <c r="C120" s="206">
        <v>54863869.980221249</v>
      </c>
      <c r="D120" s="206">
        <v>5599463.4062944036</v>
      </c>
      <c r="E120" s="206">
        <v>5147950.1536742188</v>
      </c>
    </row>
    <row r="121" spans="1:5" x14ac:dyDescent="0.25">
      <c r="A121" s="219" t="s">
        <v>559</v>
      </c>
      <c r="B121" s="220">
        <v>28404314.458391637</v>
      </c>
      <c r="C121" s="220">
        <v>19538600.04015791</v>
      </c>
      <c r="D121" s="220">
        <v>7087207.4631598182</v>
      </c>
      <c r="E121" s="220">
        <v>6735884.6632310161</v>
      </c>
    </row>
    <row r="122" spans="1:5" x14ac:dyDescent="0.25">
      <c r="A122" s="208" t="s">
        <v>575</v>
      </c>
      <c r="B122" s="206">
        <v>85329225.032237858</v>
      </c>
      <c r="C122" s="206">
        <v>59281217.267202884</v>
      </c>
      <c r="D122" s="206">
        <v>6132700.1791782491</v>
      </c>
      <c r="E122" s="206">
        <v>5679553.632685883</v>
      </c>
    </row>
    <row r="123" spans="1:5" x14ac:dyDescent="0.25">
      <c r="A123" s="208" t="s">
        <v>576</v>
      </c>
      <c r="B123" s="206">
        <v>25600211.370473564</v>
      </c>
      <c r="C123" s="206">
        <v>23066984.063865762</v>
      </c>
      <c r="D123" s="206">
        <v>6498751.6686510267</v>
      </c>
      <c r="E123" s="206">
        <v>6057090.6828516349</v>
      </c>
    </row>
    <row r="124" spans="1:5" x14ac:dyDescent="0.25">
      <c r="A124" s="208" t="s">
        <v>577</v>
      </c>
      <c r="B124" s="206">
        <v>26343023.491362132</v>
      </c>
      <c r="C124" s="206">
        <v>23864446.290870335</v>
      </c>
      <c r="D124" s="206">
        <v>6658569.4005818935</v>
      </c>
      <c r="E124" s="206">
        <v>6232259.3259341298</v>
      </c>
    </row>
    <row r="125" spans="1:5" x14ac:dyDescent="0.25">
      <c r="A125" s="208" t="s">
        <v>578</v>
      </c>
      <c r="B125" s="206">
        <v>26307696.940407004</v>
      </c>
      <c r="C125" s="206">
        <v>24186619.725794081</v>
      </c>
      <c r="D125" s="206">
        <v>6756216.970998928</v>
      </c>
      <c r="E125" s="206">
        <v>6351773.5113056358</v>
      </c>
    </row>
    <row r="126" spans="1:5" x14ac:dyDescent="0.25">
      <c r="A126" s="208" t="s">
        <v>579</v>
      </c>
      <c r="B126" s="206">
        <v>20202999.442572609</v>
      </c>
      <c r="C126" s="206">
        <v>11805726.360177547</v>
      </c>
      <c r="D126" s="206">
        <v>6834328.4957676977</v>
      </c>
      <c r="E126" s="206">
        <v>6450792.0539269475</v>
      </c>
    </row>
    <row r="127" spans="1:5" x14ac:dyDescent="0.25">
      <c r="A127" s="208" t="s">
        <v>580</v>
      </c>
      <c r="B127" s="206">
        <v>20053029.638470855</v>
      </c>
      <c r="C127" s="206">
        <v>11793055.343836</v>
      </c>
      <c r="D127" s="206">
        <v>6907765.9940315234</v>
      </c>
      <c r="E127" s="206">
        <v>6550657.2089116909</v>
      </c>
    </row>
    <row r="128" spans="1:5" x14ac:dyDescent="0.25">
      <c r="A128" s="208" t="s">
        <v>581</v>
      </c>
      <c r="B128" s="206">
        <v>22377324.760191623</v>
      </c>
      <c r="C128" s="206">
        <v>13224117.54782065</v>
      </c>
      <c r="D128" s="206">
        <v>7376892.1677712034</v>
      </c>
      <c r="E128" s="206">
        <v>7023761.3156361412</v>
      </c>
    </row>
    <row r="129" spans="1:5" x14ac:dyDescent="0.25">
      <c r="A129" s="208" t="s">
        <v>582</v>
      </c>
      <c r="B129" s="206">
        <v>22684708.714051336</v>
      </c>
      <c r="C129" s="206">
        <v>13379686.190742709</v>
      </c>
      <c r="D129" s="206">
        <v>7478883.8662241418</v>
      </c>
      <c r="E129" s="206">
        <v>7148149.1247316077</v>
      </c>
    </row>
    <row r="130" spans="1:5" x14ac:dyDescent="0.25">
      <c r="A130" s="208" t="s">
        <v>583</v>
      </c>
      <c r="B130" s="206">
        <v>22838710.828177366</v>
      </c>
      <c r="C130" s="206">
        <v>13432771.509775188</v>
      </c>
      <c r="D130" s="206">
        <v>7534369.5666278116</v>
      </c>
      <c r="E130" s="206">
        <v>7235405.0305390116</v>
      </c>
    </row>
    <row r="131" spans="1:5" x14ac:dyDescent="0.25">
      <c r="A131" s="208" t="s">
        <v>584</v>
      </c>
      <c r="B131" s="206">
        <v>22907039.828335743</v>
      </c>
      <c r="C131" s="206">
        <v>13420917.645273631</v>
      </c>
      <c r="D131" s="206">
        <v>7564538.8144861665</v>
      </c>
      <c r="E131" s="206">
        <v>7286512.3733402435</v>
      </c>
    </row>
    <row r="132" spans="1:5" x14ac:dyDescent="0.25">
      <c r="A132" s="208" t="s">
        <v>585</v>
      </c>
      <c r="B132" s="206">
        <v>23067765.572419517</v>
      </c>
      <c r="C132" s="206">
        <v>13508671.80453616</v>
      </c>
      <c r="D132" s="206">
        <v>7653519.1425991999</v>
      </c>
      <c r="E132" s="206">
        <v>7392855.8299092585</v>
      </c>
    </row>
    <row r="133" spans="1:5" x14ac:dyDescent="0.25">
      <c r="A133" s="208" t="s">
        <v>586</v>
      </c>
      <c r="B133" s="206">
        <v>23140037.881999999</v>
      </c>
      <c r="C133" s="206">
        <v>13498986.732000001</v>
      </c>
      <c r="D133" s="206">
        <v>7649953.2910000002</v>
      </c>
      <c r="E133" s="206">
        <v>7421805.8689999999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32"/>
  <sheetViews>
    <sheetView showGridLines="0" workbookViewId="0">
      <selection activeCell="B22" sqref="B22"/>
    </sheetView>
    <sheetView showGridLines="0" workbookViewId="1"/>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5.28515625" customWidth="1"/>
    <col min="10" max="10" width="15.42578125" customWidth="1"/>
    <col min="11" max="11" width="16" customWidth="1"/>
    <col min="12" max="12" width="14.5703125" customWidth="1"/>
    <col min="13" max="13" width="13.5703125" customWidth="1"/>
    <col min="14" max="14" width="15.28515625" customWidth="1"/>
    <col min="15" max="16" width="12.85546875" bestFit="1" customWidth="1"/>
    <col min="17" max="17" width="13.7109375" bestFit="1" customWidth="1"/>
    <col min="18" max="18" width="13.42578125" customWidth="1"/>
    <col min="19" max="19" width="12" bestFit="1" customWidth="1"/>
    <col min="20" max="21" width="12.85546875" bestFit="1" customWidth="1"/>
    <col min="22" max="23" width="13.7109375" bestFit="1" customWidth="1"/>
    <col min="24" max="24" width="12.28515625"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694</v>
      </c>
      <c r="C2" s="4"/>
      <c r="D2" s="4"/>
      <c r="E2" s="4"/>
      <c r="F2" s="4"/>
      <c r="G2" s="4"/>
      <c r="H2" s="4"/>
      <c r="I2" s="4"/>
      <c r="J2" s="4"/>
      <c r="K2" s="4"/>
    </row>
    <row r="3" spans="2:14" x14ac:dyDescent="0.25">
      <c r="B3" s="4"/>
      <c r="C3" s="4"/>
      <c r="D3" s="4"/>
      <c r="E3" s="4"/>
      <c r="F3" s="4"/>
      <c r="G3" s="4"/>
      <c r="H3" s="4"/>
      <c r="I3" s="4"/>
      <c r="J3" s="4"/>
      <c r="K3" s="4"/>
    </row>
    <row r="4" spans="2:14" ht="18.75" x14ac:dyDescent="0.3">
      <c r="B4" s="2" t="s">
        <v>773</v>
      </c>
      <c r="C4" s="2"/>
      <c r="D4" s="2"/>
      <c r="E4" s="2"/>
      <c r="F4" s="2"/>
      <c r="G4" s="2"/>
      <c r="J4" s="4"/>
      <c r="K4" s="4"/>
    </row>
    <row r="5" spans="2:14" x14ac:dyDescent="0.25">
      <c r="B5" s="3" t="s">
        <v>912</v>
      </c>
      <c r="J5" s="4"/>
      <c r="K5" s="4"/>
    </row>
    <row r="6" spans="2:14" x14ac:dyDescent="0.25">
      <c r="J6" s="4"/>
      <c r="K6" s="4"/>
    </row>
    <row r="7" spans="2:14" ht="17.25" x14ac:dyDescent="0.25">
      <c r="D7" s="422" t="s">
        <v>856</v>
      </c>
      <c r="E7" s="422"/>
      <c r="F7" s="422"/>
      <c r="G7" s="422" t="s">
        <v>5</v>
      </c>
      <c r="H7" s="422"/>
      <c r="I7" s="422"/>
      <c r="J7" s="430" t="s">
        <v>618</v>
      </c>
      <c r="K7" s="430"/>
      <c r="L7" s="430"/>
      <c r="N7" s="4"/>
    </row>
    <row r="8" spans="2:14" ht="32.25" x14ac:dyDescent="0.25">
      <c r="B8" s="268" t="s">
        <v>472</v>
      </c>
      <c r="C8" s="257" t="s">
        <v>589</v>
      </c>
      <c r="D8" s="264" t="s">
        <v>839</v>
      </c>
      <c r="E8" s="264" t="s">
        <v>903</v>
      </c>
      <c r="F8" s="264" t="s">
        <v>902</v>
      </c>
      <c r="G8" s="264" t="s">
        <v>839</v>
      </c>
      <c r="H8" s="264" t="s">
        <v>903</v>
      </c>
      <c r="I8" s="264" t="s">
        <v>902</v>
      </c>
      <c r="J8" s="282" t="s">
        <v>839</v>
      </c>
      <c r="K8" s="282" t="s">
        <v>903</v>
      </c>
      <c r="L8" s="282" t="s">
        <v>902</v>
      </c>
      <c r="M8" s="4"/>
    </row>
    <row r="9" spans="2:14" x14ac:dyDescent="0.25">
      <c r="B9" s="423">
        <v>45474</v>
      </c>
      <c r="C9" s="280" t="s">
        <v>73</v>
      </c>
      <c r="D9" s="284">
        <v>104051</v>
      </c>
      <c r="E9" s="284">
        <v>25674.329231</v>
      </c>
      <c r="F9" s="290">
        <v>25762.518020723212</v>
      </c>
      <c r="G9" s="284">
        <v>47933</v>
      </c>
      <c r="H9" s="284">
        <v>8711.2758109999995</v>
      </c>
      <c r="I9" s="290">
        <v>8741.1981845819955</v>
      </c>
      <c r="J9" s="285">
        <v>151984</v>
      </c>
      <c r="K9" s="285">
        <v>34385.605042000003</v>
      </c>
      <c r="L9" s="285">
        <v>34503.716205305202</v>
      </c>
    </row>
    <row r="10" spans="2:14" x14ac:dyDescent="0.25">
      <c r="B10" s="442"/>
      <c r="C10" s="280" t="s">
        <v>74</v>
      </c>
      <c r="D10" s="284">
        <v>58337</v>
      </c>
      <c r="E10" s="284">
        <v>14665.674628000001</v>
      </c>
      <c r="F10" s="290">
        <v>14716.04977448508</v>
      </c>
      <c r="G10" s="284">
        <v>51499</v>
      </c>
      <c r="H10" s="284">
        <v>8856.8317150000003</v>
      </c>
      <c r="I10" s="290">
        <v>8887.2540587621461</v>
      </c>
      <c r="J10" s="285">
        <v>109836</v>
      </c>
      <c r="K10" s="285">
        <v>23522.506343000001</v>
      </c>
      <c r="L10" s="285">
        <v>23603.303833247221</v>
      </c>
      <c r="M10" s="4"/>
    </row>
    <row r="11" spans="2:14" x14ac:dyDescent="0.25">
      <c r="B11" s="442"/>
      <c r="C11" s="280" t="s">
        <v>25</v>
      </c>
      <c r="D11" s="284">
        <v>162388</v>
      </c>
      <c r="E11" s="284">
        <v>40340.003858999997</v>
      </c>
      <c r="F11" s="290">
        <v>40478.567795208277</v>
      </c>
      <c r="G11" s="284">
        <v>99432</v>
      </c>
      <c r="H11" s="284">
        <v>17568.107526</v>
      </c>
      <c r="I11" s="290">
        <v>17628.452243344142</v>
      </c>
      <c r="J11" s="285">
        <v>261820</v>
      </c>
      <c r="K11" s="285">
        <v>57908.111384999997</v>
      </c>
      <c r="L11" s="285">
        <v>58107.020038552422</v>
      </c>
      <c r="M11" s="4"/>
    </row>
    <row r="12" spans="2:14" x14ac:dyDescent="0.25">
      <c r="B12" s="423">
        <v>45505</v>
      </c>
      <c r="C12" s="280" t="s">
        <v>73</v>
      </c>
      <c r="D12" s="284">
        <v>103719</v>
      </c>
      <c r="E12" s="284">
        <v>25611.172623999999</v>
      </c>
      <c r="F12" s="290">
        <v>25633.651208140211</v>
      </c>
      <c r="G12" s="284">
        <v>48030</v>
      </c>
      <c r="H12" s="284">
        <v>8722.7025369999992</v>
      </c>
      <c r="I12" s="290">
        <v>8730.3583365132254</v>
      </c>
      <c r="J12" s="285">
        <v>151749</v>
      </c>
      <c r="K12" s="285">
        <v>34333.875161000004</v>
      </c>
      <c r="L12" s="285">
        <v>34364.009544653432</v>
      </c>
      <c r="M12" s="4"/>
    </row>
    <row r="13" spans="2:14" x14ac:dyDescent="0.25">
      <c r="B13" s="442"/>
      <c r="C13" s="280" t="s">
        <v>74</v>
      </c>
      <c r="D13" s="284">
        <v>57968</v>
      </c>
      <c r="E13" s="284">
        <v>14591.401143999999</v>
      </c>
      <c r="F13" s="290">
        <v>14604.207821896171</v>
      </c>
      <c r="G13" s="284">
        <v>51610</v>
      </c>
      <c r="H13" s="284">
        <v>8871.6555879999996</v>
      </c>
      <c r="I13" s="290">
        <v>8879.4421216166174</v>
      </c>
      <c r="J13" s="285">
        <v>109578</v>
      </c>
      <c r="K13" s="285">
        <v>23463.056732000001</v>
      </c>
      <c r="L13" s="285">
        <v>23483.649943512792</v>
      </c>
      <c r="M13" s="4"/>
    </row>
    <row r="14" spans="2:14" x14ac:dyDescent="0.25">
      <c r="B14" s="442"/>
      <c r="C14" s="280" t="s">
        <v>25</v>
      </c>
      <c r="D14" s="284">
        <v>161687</v>
      </c>
      <c r="E14" s="284">
        <v>40202.573768000002</v>
      </c>
      <c r="F14" s="290">
        <v>40237.859030036387</v>
      </c>
      <c r="G14" s="284">
        <v>99640</v>
      </c>
      <c r="H14" s="284">
        <v>17594.358124999999</v>
      </c>
      <c r="I14" s="290">
        <v>17609.800458129841</v>
      </c>
      <c r="J14" s="285">
        <v>261327</v>
      </c>
      <c r="K14" s="285">
        <v>57796.931893000001</v>
      </c>
      <c r="L14" s="285">
        <v>57847.659488166231</v>
      </c>
      <c r="M14" s="4"/>
    </row>
    <row r="15" spans="2:14" x14ac:dyDescent="0.25">
      <c r="B15" s="439">
        <v>45536</v>
      </c>
      <c r="C15" s="280" t="s">
        <v>73</v>
      </c>
      <c r="D15" s="284">
        <v>103429</v>
      </c>
      <c r="E15" s="284">
        <v>25543.780151999999</v>
      </c>
      <c r="F15" s="290">
        <v>25543.780151999999</v>
      </c>
      <c r="G15" s="284">
        <v>48029</v>
      </c>
      <c r="H15" s="284">
        <v>8709.9113300000008</v>
      </c>
      <c r="I15" s="290">
        <v>8709.9113300000008</v>
      </c>
      <c r="J15" s="285">
        <v>151458</v>
      </c>
      <c r="K15" s="285">
        <v>34253.691482000002</v>
      </c>
      <c r="L15" s="285">
        <v>34253.691482000002</v>
      </c>
      <c r="M15" s="4"/>
    </row>
    <row r="16" spans="2:14" x14ac:dyDescent="0.25">
      <c r="B16" s="440"/>
      <c r="C16" s="280" t="s">
        <v>74</v>
      </c>
      <c r="D16" s="284">
        <v>57557</v>
      </c>
      <c r="E16" s="284">
        <v>14498.055632</v>
      </c>
      <c r="F16" s="290">
        <v>14498.055632</v>
      </c>
      <c r="G16" s="284">
        <v>51658</v>
      </c>
      <c r="H16" s="284">
        <v>8871.5785739999992</v>
      </c>
      <c r="I16" s="290">
        <v>8871.5785739999992</v>
      </c>
      <c r="J16" s="285">
        <v>109215</v>
      </c>
      <c r="K16" s="285">
        <v>23369.634205999999</v>
      </c>
      <c r="L16" s="285">
        <v>23369.634205999999</v>
      </c>
      <c r="M16" s="4"/>
    </row>
    <row r="17" spans="2:29" x14ac:dyDescent="0.25">
      <c r="B17" s="440"/>
      <c r="C17" s="281" t="s">
        <v>25</v>
      </c>
      <c r="D17" s="284">
        <v>160986</v>
      </c>
      <c r="E17" s="284">
        <v>40041.835784000003</v>
      </c>
      <c r="F17" s="290">
        <v>40041.835784000003</v>
      </c>
      <c r="G17" s="284">
        <v>99687</v>
      </c>
      <c r="H17" s="284">
        <v>17581.489903999998</v>
      </c>
      <c r="I17" s="290">
        <v>17581.489903999998</v>
      </c>
      <c r="J17" s="285">
        <v>260673</v>
      </c>
      <c r="K17" s="285">
        <v>57623.325687999997</v>
      </c>
      <c r="L17" s="285">
        <v>57623.325687999997</v>
      </c>
    </row>
    <row r="18" spans="2:29" x14ac:dyDescent="0.25">
      <c r="B18" s="4" t="s">
        <v>772</v>
      </c>
      <c r="M18" s="237"/>
    </row>
    <row r="19" spans="2:29" ht="69" customHeight="1" x14ac:dyDescent="0.25">
      <c r="B19" s="421" t="s">
        <v>836</v>
      </c>
      <c r="C19" s="421"/>
      <c r="D19" s="421"/>
      <c r="E19" s="421"/>
      <c r="F19" s="421"/>
      <c r="G19" s="421"/>
      <c r="H19" s="421"/>
      <c r="I19" s="421"/>
      <c r="J19" s="421"/>
      <c r="K19" s="421"/>
      <c r="L19" s="421"/>
      <c r="M19" s="237"/>
    </row>
    <row r="20" spans="2:29" x14ac:dyDescent="0.25">
      <c r="B20" s="258" t="s">
        <v>918</v>
      </c>
      <c r="C20" s="232"/>
      <c r="D20" s="232"/>
      <c r="E20" s="232"/>
      <c r="F20" s="232"/>
      <c r="G20" s="232"/>
      <c r="H20" s="232"/>
      <c r="I20" s="232"/>
      <c r="J20" s="232"/>
      <c r="K20" s="232"/>
      <c r="L20" s="232"/>
      <c r="M20" s="239"/>
    </row>
    <row r="21" spans="2:29" x14ac:dyDescent="0.25">
      <c r="B21" s="235"/>
      <c r="D21" s="210"/>
      <c r="E21" s="210"/>
      <c r="F21" s="210"/>
      <c r="G21" s="210"/>
      <c r="H21" s="210"/>
      <c r="I21" s="210"/>
      <c r="J21" s="210"/>
      <c r="K21" s="210"/>
    </row>
    <row r="22" spans="2:29" ht="18.75" x14ac:dyDescent="0.3">
      <c r="B22" s="387" t="s">
        <v>777</v>
      </c>
      <c r="C22" s="2"/>
      <c r="D22" s="2"/>
      <c r="E22" s="2"/>
      <c r="F22" s="2"/>
      <c r="G22" s="8"/>
    </row>
    <row r="23" spans="2:29" x14ac:dyDescent="0.25">
      <c r="B23" s="3" t="s">
        <v>913</v>
      </c>
    </row>
    <row r="25" spans="2:29" ht="17.25" x14ac:dyDescent="0.25">
      <c r="C25" s="416" t="s">
        <v>856</v>
      </c>
      <c r="D25" s="417"/>
      <c r="E25" s="417"/>
      <c r="F25" s="417"/>
      <c r="G25" s="417"/>
      <c r="H25" s="417"/>
      <c r="I25" s="417"/>
      <c r="J25" s="417"/>
      <c r="K25" s="418"/>
      <c r="L25" s="416" t="s">
        <v>5</v>
      </c>
      <c r="M25" s="417"/>
      <c r="N25" s="417"/>
      <c r="O25" s="417"/>
      <c r="P25" s="417"/>
      <c r="Q25" s="417"/>
      <c r="R25" s="417"/>
      <c r="S25" s="417"/>
      <c r="T25" s="418"/>
      <c r="U25" s="416" t="s">
        <v>618</v>
      </c>
      <c r="V25" s="417"/>
      <c r="W25" s="417"/>
      <c r="X25" s="417"/>
      <c r="Y25" s="417"/>
      <c r="Z25" s="417"/>
      <c r="AA25" s="417"/>
      <c r="AB25" s="417"/>
      <c r="AC25" s="418"/>
    </row>
    <row r="26" spans="2:29" x14ac:dyDescent="0.25">
      <c r="C26" s="416" t="s">
        <v>73</v>
      </c>
      <c r="D26" s="417"/>
      <c r="E26" s="418"/>
      <c r="F26" s="416" t="s">
        <v>74</v>
      </c>
      <c r="G26" s="417"/>
      <c r="H26" s="418"/>
      <c r="I26" s="416" t="s">
        <v>25</v>
      </c>
      <c r="J26" s="417"/>
      <c r="K26" s="418"/>
      <c r="L26" s="416" t="s">
        <v>73</v>
      </c>
      <c r="M26" s="417"/>
      <c r="N26" s="418"/>
      <c r="O26" s="416" t="s">
        <v>74</v>
      </c>
      <c r="P26" s="417"/>
      <c r="Q26" s="418"/>
      <c r="R26" s="416" t="s">
        <v>25</v>
      </c>
      <c r="S26" s="417"/>
      <c r="T26" s="418"/>
      <c r="U26" s="416" t="s">
        <v>73</v>
      </c>
      <c r="V26" s="417"/>
      <c r="W26" s="418"/>
      <c r="X26" s="416" t="s">
        <v>74</v>
      </c>
      <c r="Y26" s="417"/>
      <c r="Z26" s="418"/>
      <c r="AA26" s="416" t="s">
        <v>25</v>
      </c>
      <c r="AB26" s="417"/>
      <c r="AC26" s="418"/>
    </row>
    <row r="27" spans="2:29" ht="47.25" x14ac:dyDescent="0.25">
      <c r="B27" s="268" t="s">
        <v>472</v>
      </c>
      <c r="C27" s="292" t="s">
        <v>839</v>
      </c>
      <c r="D27" s="293" t="s">
        <v>904</v>
      </c>
      <c r="E27" s="292" t="s">
        <v>901</v>
      </c>
      <c r="F27" s="292" t="s">
        <v>839</v>
      </c>
      <c r="G27" s="293" t="s">
        <v>904</v>
      </c>
      <c r="H27" s="292" t="s">
        <v>901</v>
      </c>
      <c r="I27" s="292" t="s">
        <v>839</v>
      </c>
      <c r="J27" s="293" t="s">
        <v>904</v>
      </c>
      <c r="K27" s="292" t="s">
        <v>901</v>
      </c>
      <c r="L27" s="292" t="s">
        <v>839</v>
      </c>
      <c r="M27" s="293" t="s">
        <v>904</v>
      </c>
      <c r="N27" s="292" t="s">
        <v>901</v>
      </c>
      <c r="O27" s="292" t="s">
        <v>839</v>
      </c>
      <c r="P27" s="293" t="s">
        <v>904</v>
      </c>
      <c r="Q27" s="292" t="s">
        <v>901</v>
      </c>
      <c r="R27" s="292" t="s">
        <v>839</v>
      </c>
      <c r="S27" s="293" t="s">
        <v>904</v>
      </c>
      <c r="T27" s="292" t="s">
        <v>901</v>
      </c>
      <c r="U27" s="292" t="s">
        <v>839</v>
      </c>
      <c r="V27" s="293" t="s">
        <v>904</v>
      </c>
      <c r="W27" s="292" t="s">
        <v>901</v>
      </c>
      <c r="X27" s="292" t="s">
        <v>839</v>
      </c>
      <c r="Y27" s="293" t="s">
        <v>904</v>
      </c>
      <c r="Z27" s="292" t="s">
        <v>901</v>
      </c>
      <c r="AA27" s="292" t="s">
        <v>839</v>
      </c>
      <c r="AB27" s="293" t="s">
        <v>904</v>
      </c>
      <c r="AC27" s="292" t="s">
        <v>901</v>
      </c>
    </row>
    <row r="28" spans="2:29" hidden="1" outlineLevel="1" x14ac:dyDescent="0.25">
      <c r="B28" s="291">
        <v>39630</v>
      </c>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75"/>
    </row>
    <row r="29" spans="2:29" hidden="1" outlineLevel="1" x14ac:dyDescent="0.25">
      <c r="B29" s="291">
        <v>39661</v>
      </c>
      <c r="C29" s="294"/>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c r="AB29" s="294"/>
      <c r="AC29" s="275"/>
    </row>
    <row r="30" spans="2:29" hidden="1" outlineLevel="1" x14ac:dyDescent="0.25">
      <c r="B30" s="291">
        <v>39692</v>
      </c>
      <c r="C30" s="294"/>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75"/>
    </row>
    <row r="31" spans="2:29" hidden="1" outlineLevel="1" x14ac:dyDescent="0.25">
      <c r="B31" s="291">
        <v>39722</v>
      </c>
      <c r="C31" s="294">
        <v>2444</v>
      </c>
      <c r="D31" s="294">
        <v>668.62748533686965</v>
      </c>
      <c r="E31" s="294">
        <v>385.553922</v>
      </c>
      <c r="F31" s="294">
        <v>955</v>
      </c>
      <c r="G31" s="294">
        <v>332.43792131367388</v>
      </c>
      <c r="H31" s="294">
        <v>191.69529700000001</v>
      </c>
      <c r="I31" s="294">
        <v>3399</v>
      </c>
      <c r="J31" s="294">
        <v>1001.065406650544</v>
      </c>
      <c r="K31" s="294">
        <v>577.24921900000004</v>
      </c>
      <c r="L31" s="294">
        <v>217</v>
      </c>
      <c r="M31" s="294">
        <v>61.266045356358497</v>
      </c>
      <c r="N31" s="294">
        <v>35.328138000000003</v>
      </c>
      <c r="O31" s="294">
        <v>229</v>
      </c>
      <c r="P31" s="294">
        <v>62.297859477615788</v>
      </c>
      <c r="Q31" s="294">
        <v>35.923118000000002</v>
      </c>
      <c r="R31" s="294">
        <v>446</v>
      </c>
      <c r="S31" s="294">
        <v>123.56390483397431</v>
      </c>
      <c r="T31" s="294">
        <v>71.251255999999998</v>
      </c>
      <c r="U31" s="294">
        <v>2661</v>
      </c>
      <c r="V31" s="294">
        <v>729.89353069322817</v>
      </c>
      <c r="W31" s="294">
        <v>420.88206000000002</v>
      </c>
      <c r="X31" s="294">
        <v>1184</v>
      </c>
      <c r="Y31" s="294">
        <v>394.73578079128981</v>
      </c>
      <c r="Z31" s="294">
        <v>227.618415</v>
      </c>
      <c r="AA31" s="294">
        <v>3845</v>
      </c>
      <c r="AB31" s="294">
        <v>1124.629311484518</v>
      </c>
      <c r="AC31" s="275">
        <v>648.50047500000005</v>
      </c>
    </row>
    <row r="32" spans="2:29" hidden="1" outlineLevel="1" x14ac:dyDescent="0.25">
      <c r="B32" s="291">
        <v>39753</v>
      </c>
      <c r="C32" s="294">
        <v>3067</v>
      </c>
      <c r="D32" s="294">
        <v>335.05558311863763</v>
      </c>
      <c r="E32" s="294">
        <v>192.96798999999999</v>
      </c>
      <c r="F32" s="294">
        <v>1159</v>
      </c>
      <c r="G32" s="294">
        <v>148.72349224950651</v>
      </c>
      <c r="H32" s="294">
        <v>85.654066999999998</v>
      </c>
      <c r="I32" s="294">
        <v>4226</v>
      </c>
      <c r="J32" s="294">
        <v>483.77907536814399</v>
      </c>
      <c r="K32" s="294">
        <v>278.62205699999998</v>
      </c>
      <c r="L32" s="294">
        <v>290</v>
      </c>
      <c r="M32" s="294">
        <v>35.630741281976093</v>
      </c>
      <c r="N32" s="294">
        <v>20.520752000000002</v>
      </c>
      <c r="O32" s="294">
        <v>294</v>
      </c>
      <c r="P32" s="294">
        <v>34.095063992009763</v>
      </c>
      <c r="Q32" s="294">
        <v>19.636312</v>
      </c>
      <c r="R32" s="294">
        <v>584</v>
      </c>
      <c r="S32" s="294">
        <v>69.725805273985841</v>
      </c>
      <c r="T32" s="294">
        <v>40.157063999999998</v>
      </c>
      <c r="U32" s="294">
        <v>3357</v>
      </c>
      <c r="V32" s="294">
        <v>370.68632440061373</v>
      </c>
      <c r="W32" s="294">
        <v>213.488742</v>
      </c>
      <c r="X32" s="294">
        <v>1453</v>
      </c>
      <c r="Y32" s="294">
        <v>182.81855624151629</v>
      </c>
      <c r="Z32" s="294">
        <v>105.290379</v>
      </c>
      <c r="AA32" s="294">
        <v>4810</v>
      </c>
      <c r="AB32" s="294">
        <v>553.50488064212993</v>
      </c>
      <c r="AC32" s="275">
        <v>318.77912099999998</v>
      </c>
    </row>
    <row r="33" spans="2:29" collapsed="1" x14ac:dyDescent="0.25">
      <c r="B33" s="291">
        <v>39783</v>
      </c>
      <c r="C33" s="294">
        <v>3251</v>
      </c>
      <c r="D33" s="294">
        <v>348.88774734037469</v>
      </c>
      <c r="E33" s="294">
        <v>198.56528299999999</v>
      </c>
      <c r="F33" s="294">
        <v>1234</v>
      </c>
      <c r="G33" s="294">
        <v>189.2132655410112</v>
      </c>
      <c r="H33" s="294">
        <v>107.688464</v>
      </c>
      <c r="I33" s="294">
        <v>4485</v>
      </c>
      <c r="J33" s="294">
        <v>538.10101288138583</v>
      </c>
      <c r="K33" s="294">
        <v>306.25374699999998</v>
      </c>
      <c r="L33" s="294">
        <v>352</v>
      </c>
      <c r="M33" s="294">
        <v>37.140776263931457</v>
      </c>
      <c r="N33" s="294">
        <v>21.138228000000002</v>
      </c>
      <c r="O33" s="294">
        <v>348</v>
      </c>
      <c r="P33" s="294">
        <v>35.542232567708922</v>
      </c>
      <c r="Q33" s="294">
        <v>20.228435999999999</v>
      </c>
      <c r="R33" s="294">
        <v>700</v>
      </c>
      <c r="S33" s="294">
        <v>72.683008831640393</v>
      </c>
      <c r="T33" s="294">
        <v>41.366664</v>
      </c>
      <c r="U33" s="294">
        <v>3603</v>
      </c>
      <c r="V33" s="294">
        <v>386.02852360430609</v>
      </c>
      <c r="W33" s="294">
        <v>219.70351099999999</v>
      </c>
      <c r="X33" s="294">
        <v>1582</v>
      </c>
      <c r="Y33" s="294">
        <v>224.7554981087201</v>
      </c>
      <c r="Z33" s="294">
        <v>127.9169</v>
      </c>
      <c r="AA33" s="294">
        <v>5185</v>
      </c>
      <c r="AB33" s="294">
        <v>610.78402171302628</v>
      </c>
      <c r="AC33" s="275">
        <v>347.62041099999999</v>
      </c>
    </row>
    <row r="34" spans="2:29" hidden="1" outlineLevel="1" x14ac:dyDescent="0.25">
      <c r="B34" s="291">
        <v>39814</v>
      </c>
      <c r="C34" s="294">
        <v>4434</v>
      </c>
      <c r="D34" s="294">
        <v>684.40755932897218</v>
      </c>
      <c r="E34" s="294">
        <v>386.55168500000002</v>
      </c>
      <c r="F34" s="294">
        <v>1765</v>
      </c>
      <c r="G34" s="294">
        <v>345.05762989019519</v>
      </c>
      <c r="H34" s="294">
        <v>194.88768999999999</v>
      </c>
      <c r="I34" s="294">
        <v>6199</v>
      </c>
      <c r="J34" s="294">
        <v>1029.465189219168</v>
      </c>
      <c r="K34" s="294">
        <v>581.43937500000004</v>
      </c>
      <c r="L34" s="294">
        <v>468</v>
      </c>
      <c r="M34" s="294">
        <v>67.349271835290367</v>
      </c>
      <c r="N34" s="294">
        <v>38.038701000000003</v>
      </c>
      <c r="O34" s="294">
        <v>481</v>
      </c>
      <c r="P34" s="294">
        <v>77.351403404326163</v>
      </c>
      <c r="Q34" s="294">
        <v>43.68788</v>
      </c>
      <c r="R34" s="294">
        <v>949</v>
      </c>
      <c r="S34" s="294">
        <v>144.70067523961649</v>
      </c>
      <c r="T34" s="294">
        <v>81.726580999999996</v>
      </c>
      <c r="U34" s="294">
        <v>4902</v>
      </c>
      <c r="V34" s="294">
        <v>751.75683116426251</v>
      </c>
      <c r="W34" s="294">
        <v>424.59038600000002</v>
      </c>
      <c r="X34" s="294">
        <v>2246</v>
      </c>
      <c r="Y34" s="294">
        <v>422.40903329452141</v>
      </c>
      <c r="Z34" s="294">
        <v>238.57557</v>
      </c>
      <c r="AA34" s="294">
        <v>7148</v>
      </c>
      <c r="AB34" s="294">
        <v>1174.165864458784</v>
      </c>
      <c r="AC34" s="275">
        <v>663.16595600000005</v>
      </c>
    </row>
    <row r="35" spans="2:29" hidden="1" outlineLevel="1" x14ac:dyDescent="0.25">
      <c r="B35" s="291">
        <v>39845</v>
      </c>
      <c r="C35" s="294">
        <v>5048</v>
      </c>
      <c r="D35" s="294">
        <v>534.13653271226235</v>
      </c>
      <c r="E35" s="294">
        <v>297.76134000000002</v>
      </c>
      <c r="F35" s="294">
        <v>2132</v>
      </c>
      <c r="G35" s="294">
        <v>280.45147268401598</v>
      </c>
      <c r="H35" s="294">
        <v>156.34131199999999</v>
      </c>
      <c r="I35" s="294">
        <v>7180</v>
      </c>
      <c r="J35" s="294">
        <v>814.58800539627828</v>
      </c>
      <c r="K35" s="294">
        <v>454.10265199999998</v>
      </c>
      <c r="L35" s="294">
        <v>596</v>
      </c>
      <c r="M35" s="294">
        <v>84.522440422326682</v>
      </c>
      <c r="N35" s="294">
        <v>47.118130999999998</v>
      </c>
      <c r="O35" s="294">
        <v>584</v>
      </c>
      <c r="P35" s="294">
        <v>78.544687358972126</v>
      </c>
      <c r="Q35" s="294">
        <v>43.785755000000002</v>
      </c>
      <c r="R35" s="294">
        <v>1180</v>
      </c>
      <c r="S35" s="294">
        <v>163.06712778129881</v>
      </c>
      <c r="T35" s="294">
        <v>90.903886</v>
      </c>
      <c r="U35" s="294">
        <v>5644</v>
      </c>
      <c r="V35" s="294">
        <v>618.65897313458902</v>
      </c>
      <c r="W35" s="294">
        <v>344.87947100000002</v>
      </c>
      <c r="X35" s="294">
        <v>2716</v>
      </c>
      <c r="Y35" s="294">
        <v>358.99616004298809</v>
      </c>
      <c r="Z35" s="294">
        <v>200.12706700000001</v>
      </c>
      <c r="AA35" s="294">
        <v>8360</v>
      </c>
      <c r="AB35" s="294">
        <v>977.65513317757711</v>
      </c>
      <c r="AC35" s="275">
        <v>545.00653799999998</v>
      </c>
    </row>
    <row r="36" spans="2:29" hidden="1" outlineLevel="1" x14ac:dyDescent="0.25">
      <c r="B36" s="291">
        <v>39873</v>
      </c>
      <c r="C36" s="294">
        <v>5703</v>
      </c>
      <c r="D36" s="294">
        <v>592.95656155402185</v>
      </c>
      <c r="E36" s="294">
        <v>330.681512</v>
      </c>
      <c r="F36" s="294">
        <v>2584</v>
      </c>
      <c r="G36" s="294">
        <v>362.24988811100542</v>
      </c>
      <c r="H36" s="294">
        <v>202.020432</v>
      </c>
      <c r="I36" s="294">
        <v>8287</v>
      </c>
      <c r="J36" s="294">
        <v>955.20644966502721</v>
      </c>
      <c r="K36" s="294">
        <v>532.70194400000003</v>
      </c>
      <c r="L36" s="294">
        <v>787</v>
      </c>
      <c r="M36" s="294">
        <v>111.1261933242877</v>
      </c>
      <c r="N36" s="294">
        <v>61.973135999999997</v>
      </c>
      <c r="O36" s="294">
        <v>703</v>
      </c>
      <c r="P36" s="294">
        <v>85.069820085166867</v>
      </c>
      <c r="Q36" s="294">
        <v>47.441952000000001</v>
      </c>
      <c r="R36" s="294">
        <v>1490</v>
      </c>
      <c r="S36" s="294">
        <v>196.19601340945459</v>
      </c>
      <c r="T36" s="294">
        <v>109.415088</v>
      </c>
      <c r="U36" s="294">
        <v>6490</v>
      </c>
      <c r="V36" s="294">
        <v>704.08275487830952</v>
      </c>
      <c r="W36" s="294">
        <v>392.65464800000001</v>
      </c>
      <c r="X36" s="294">
        <v>3287</v>
      </c>
      <c r="Y36" s="294">
        <v>447.3197081961722</v>
      </c>
      <c r="Z36" s="294">
        <v>249.46238399999999</v>
      </c>
      <c r="AA36" s="294">
        <v>9777</v>
      </c>
      <c r="AB36" s="294">
        <v>1151.4024630744821</v>
      </c>
      <c r="AC36" s="275">
        <v>642.11703199999999</v>
      </c>
    </row>
    <row r="37" spans="2:29" hidden="1" outlineLevel="1" x14ac:dyDescent="0.25">
      <c r="B37" s="291">
        <v>39904</v>
      </c>
      <c r="C37" s="294">
        <v>6499</v>
      </c>
      <c r="D37" s="294">
        <v>851.6839126478676</v>
      </c>
      <c r="E37" s="294">
        <v>474.23753900000003</v>
      </c>
      <c r="F37" s="294">
        <v>3131</v>
      </c>
      <c r="G37" s="294">
        <v>505.63690000081323</v>
      </c>
      <c r="H37" s="294">
        <v>281.55046199999998</v>
      </c>
      <c r="I37" s="294">
        <v>9630</v>
      </c>
      <c r="J37" s="294">
        <v>1357.3208126486811</v>
      </c>
      <c r="K37" s="294">
        <v>755.78800100000001</v>
      </c>
      <c r="L37" s="294">
        <v>1119</v>
      </c>
      <c r="M37" s="294">
        <v>196.25275694077521</v>
      </c>
      <c r="N37" s="294">
        <v>109.27812900000001</v>
      </c>
      <c r="O37" s="294">
        <v>922</v>
      </c>
      <c r="P37" s="294">
        <v>143.14117333752139</v>
      </c>
      <c r="Q37" s="294">
        <v>79.704356000000004</v>
      </c>
      <c r="R37" s="294">
        <v>2041</v>
      </c>
      <c r="S37" s="294">
        <v>339.39393027829658</v>
      </c>
      <c r="T37" s="294">
        <v>188.982485</v>
      </c>
      <c r="U37" s="294">
        <v>7618</v>
      </c>
      <c r="V37" s="294">
        <v>1047.9366695886431</v>
      </c>
      <c r="W37" s="294">
        <v>583.51566800000001</v>
      </c>
      <c r="X37" s="294">
        <v>4053</v>
      </c>
      <c r="Y37" s="294">
        <v>648.77807333833448</v>
      </c>
      <c r="Z37" s="294">
        <v>361.254818</v>
      </c>
      <c r="AA37" s="294">
        <v>11671</v>
      </c>
      <c r="AB37" s="294">
        <v>1696.714742926978</v>
      </c>
      <c r="AC37" s="275">
        <v>944.77048600000001</v>
      </c>
    </row>
    <row r="38" spans="2:29" hidden="1" outlineLevel="1" x14ac:dyDescent="0.25">
      <c r="B38" s="291">
        <v>39934</v>
      </c>
      <c r="C38" s="294">
        <v>7208</v>
      </c>
      <c r="D38" s="294">
        <v>783.2308635718739</v>
      </c>
      <c r="E38" s="294">
        <v>435.18742300000002</v>
      </c>
      <c r="F38" s="294">
        <v>3842</v>
      </c>
      <c r="G38" s="294">
        <v>596.01775799858808</v>
      </c>
      <c r="H38" s="294">
        <v>331.166</v>
      </c>
      <c r="I38" s="294">
        <v>11050</v>
      </c>
      <c r="J38" s="294">
        <v>1379.2486215704621</v>
      </c>
      <c r="K38" s="294">
        <v>766.35342300000002</v>
      </c>
      <c r="L38" s="294">
        <v>1372</v>
      </c>
      <c r="M38" s="294">
        <v>185.99461905389671</v>
      </c>
      <c r="N38" s="294">
        <v>103.34439399999999</v>
      </c>
      <c r="O38" s="294">
        <v>1125</v>
      </c>
      <c r="P38" s="294">
        <v>150.29303548607939</v>
      </c>
      <c r="Q38" s="294">
        <v>83.507484000000005</v>
      </c>
      <c r="R38" s="294">
        <v>2497</v>
      </c>
      <c r="S38" s="294">
        <v>336.28765453997607</v>
      </c>
      <c r="T38" s="294">
        <v>186.851878</v>
      </c>
      <c r="U38" s="294">
        <v>8580</v>
      </c>
      <c r="V38" s="294">
        <v>969.22548262577061</v>
      </c>
      <c r="W38" s="294">
        <v>538.53181700000005</v>
      </c>
      <c r="X38" s="294">
        <v>4967</v>
      </c>
      <c r="Y38" s="294">
        <v>746.31079348466744</v>
      </c>
      <c r="Z38" s="294">
        <v>414.67348399999997</v>
      </c>
      <c r="AA38" s="294">
        <v>13547</v>
      </c>
      <c r="AB38" s="294">
        <v>1715.5362761104379</v>
      </c>
      <c r="AC38" s="275">
        <v>953.20530099999996</v>
      </c>
    </row>
    <row r="39" spans="2:29" hidden="1" outlineLevel="1" x14ac:dyDescent="0.25">
      <c r="B39" s="291">
        <v>39965</v>
      </c>
      <c r="C39" s="294">
        <v>7817</v>
      </c>
      <c r="D39" s="294">
        <v>789.00367428163008</v>
      </c>
      <c r="E39" s="294">
        <v>439.86606499999999</v>
      </c>
      <c r="F39" s="294">
        <v>4373</v>
      </c>
      <c r="G39" s="294">
        <v>548.43304090514573</v>
      </c>
      <c r="H39" s="294">
        <v>305.74899900000003</v>
      </c>
      <c r="I39" s="294">
        <v>12190</v>
      </c>
      <c r="J39" s="294">
        <v>1337.4367151867759</v>
      </c>
      <c r="K39" s="294">
        <v>745.61506399999996</v>
      </c>
      <c r="L39" s="294">
        <v>1674</v>
      </c>
      <c r="M39" s="294">
        <v>220.54878692723429</v>
      </c>
      <c r="N39" s="294">
        <v>122.954975</v>
      </c>
      <c r="O39" s="294">
        <v>1346</v>
      </c>
      <c r="P39" s="294">
        <v>169.42447713120399</v>
      </c>
      <c r="Q39" s="294">
        <v>94.453398000000007</v>
      </c>
      <c r="R39" s="294">
        <v>3020</v>
      </c>
      <c r="S39" s="294">
        <v>389.97326405843819</v>
      </c>
      <c r="T39" s="294">
        <v>217.40837300000001</v>
      </c>
      <c r="U39" s="294">
        <v>9491</v>
      </c>
      <c r="V39" s="294">
        <v>1009.552461208864</v>
      </c>
      <c r="W39" s="294">
        <v>562.82104000000004</v>
      </c>
      <c r="X39" s="294">
        <v>5719</v>
      </c>
      <c r="Y39" s="294">
        <v>717.85751803634969</v>
      </c>
      <c r="Z39" s="294">
        <v>400.20239700000002</v>
      </c>
      <c r="AA39" s="294">
        <v>15210</v>
      </c>
      <c r="AB39" s="294">
        <v>1727.4099792452139</v>
      </c>
      <c r="AC39" s="275">
        <v>963.02343699999994</v>
      </c>
    </row>
    <row r="40" spans="2:29" hidden="1" outlineLevel="1" x14ac:dyDescent="0.25">
      <c r="B40" s="291">
        <v>39995</v>
      </c>
      <c r="C40" s="294">
        <v>8395</v>
      </c>
      <c r="D40" s="294">
        <v>1144.150995792163</v>
      </c>
      <c r="E40" s="294">
        <v>635.12379399999998</v>
      </c>
      <c r="F40" s="294">
        <v>4882</v>
      </c>
      <c r="G40" s="294">
        <v>764.21439102317424</v>
      </c>
      <c r="H40" s="294">
        <v>424.219133</v>
      </c>
      <c r="I40" s="294">
        <v>13277</v>
      </c>
      <c r="J40" s="294">
        <v>1908.3653868153369</v>
      </c>
      <c r="K40" s="294">
        <v>1059.3429269999999</v>
      </c>
      <c r="L40" s="294">
        <v>2118</v>
      </c>
      <c r="M40" s="294">
        <v>400.61293016986542</v>
      </c>
      <c r="N40" s="294">
        <v>222.38219000000001</v>
      </c>
      <c r="O40" s="294">
        <v>1670</v>
      </c>
      <c r="P40" s="294">
        <v>311.64199451258389</v>
      </c>
      <c r="Q40" s="294">
        <v>172.99399</v>
      </c>
      <c r="R40" s="294">
        <v>3788</v>
      </c>
      <c r="S40" s="294">
        <v>712.2549246824492</v>
      </c>
      <c r="T40" s="294">
        <v>395.37617999999998</v>
      </c>
      <c r="U40" s="294">
        <v>10513</v>
      </c>
      <c r="V40" s="294">
        <v>1544.763925962028</v>
      </c>
      <c r="W40" s="294">
        <v>857.50598400000001</v>
      </c>
      <c r="X40" s="294">
        <v>6552</v>
      </c>
      <c r="Y40" s="294">
        <v>1075.8563855357579</v>
      </c>
      <c r="Z40" s="294">
        <v>597.213123</v>
      </c>
      <c r="AA40" s="294">
        <v>17065</v>
      </c>
      <c r="AB40" s="294">
        <v>2620.6203114977861</v>
      </c>
      <c r="AC40" s="275">
        <v>1454.7191069999999</v>
      </c>
    </row>
    <row r="41" spans="2:29" hidden="1" outlineLevel="1" x14ac:dyDescent="0.25">
      <c r="B41" s="291">
        <v>40026</v>
      </c>
      <c r="C41" s="294">
        <v>9052</v>
      </c>
      <c r="D41" s="294">
        <v>1333.8895174736369</v>
      </c>
      <c r="E41" s="294">
        <v>737.03956900000003</v>
      </c>
      <c r="F41" s="294">
        <v>5603</v>
      </c>
      <c r="G41" s="294">
        <v>1048.3591201996419</v>
      </c>
      <c r="H41" s="294">
        <v>579.26998000000003</v>
      </c>
      <c r="I41" s="294">
        <v>14655</v>
      </c>
      <c r="J41" s="294">
        <v>2382.2486376732791</v>
      </c>
      <c r="K41" s="294">
        <v>1316.3095490000001</v>
      </c>
      <c r="L41" s="294">
        <v>2469</v>
      </c>
      <c r="M41" s="294">
        <v>417.14950676613711</v>
      </c>
      <c r="N41" s="294">
        <v>230.495621</v>
      </c>
      <c r="O41" s="294">
        <v>1969</v>
      </c>
      <c r="P41" s="294">
        <v>325.4682788274614</v>
      </c>
      <c r="Q41" s="294">
        <v>179.837233</v>
      </c>
      <c r="R41" s="294">
        <v>4438</v>
      </c>
      <c r="S41" s="294">
        <v>742.61778559359846</v>
      </c>
      <c r="T41" s="294">
        <v>410.332854</v>
      </c>
      <c r="U41" s="294">
        <v>11521</v>
      </c>
      <c r="V41" s="294">
        <v>1751.0390242397741</v>
      </c>
      <c r="W41" s="294">
        <v>967.53519000000006</v>
      </c>
      <c r="X41" s="294">
        <v>7572</v>
      </c>
      <c r="Y41" s="294">
        <v>1373.827399027103</v>
      </c>
      <c r="Z41" s="294">
        <v>759.107213</v>
      </c>
      <c r="AA41" s="294">
        <v>19093</v>
      </c>
      <c r="AB41" s="294">
        <v>3124.8664232668771</v>
      </c>
      <c r="AC41" s="275">
        <v>1726.6424030000001</v>
      </c>
    </row>
    <row r="42" spans="2:29" hidden="1" outlineLevel="1" x14ac:dyDescent="0.25">
      <c r="B42" s="291">
        <v>40057</v>
      </c>
      <c r="C42" s="294">
        <v>12193</v>
      </c>
      <c r="D42" s="294">
        <v>1713.7389031992859</v>
      </c>
      <c r="E42" s="294">
        <v>957.69102899999996</v>
      </c>
      <c r="F42" s="294">
        <v>15010</v>
      </c>
      <c r="G42" s="294">
        <v>1771.1562507765691</v>
      </c>
      <c r="H42" s="294">
        <v>989.77764300000001</v>
      </c>
      <c r="I42" s="294">
        <v>27203</v>
      </c>
      <c r="J42" s="294">
        <v>3484.895153975855</v>
      </c>
      <c r="K42" s="294">
        <v>1947.468672</v>
      </c>
      <c r="L42" s="294">
        <v>2777</v>
      </c>
      <c r="M42" s="294">
        <v>430.96386226261058</v>
      </c>
      <c r="N42" s="294">
        <v>240.836118</v>
      </c>
      <c r="O42" s="294">
        <v>2203</v>
      </c>
      <c r="P42" s="294">
        <v>333.57688717147198</v>
      </c>
      <c r="Q42" s="294">
        <v>186.41322299999999</v>
      </c>
      <c r="R42" s="294">
        <v>4980</v>
      </c>
      <c r="S42" s="294">
        <v>764.54074943408261</v>
      </c>
      <c r="T42" s="294">
        <v>427.24934100000002</v>
      </c>
      <c r="U42" s="294">
        <v>14970</v>
      </c>
      <c r="V42" s="294">
        <v>2144.702765461896</v>
      </c>
      <c r="W42" s="294">
        <v>1198.527147</v>
      </c>
      <c r="X42" s="294">
        <v>17213</v>
      </c>
      <c r="Y42" s="294">
        <v>2104.7331379480411</v>
      </c>
      <c r="Z42" s="294">
        <v>1176.1908659999999</v>
      </c>
      <c r="AA42" s="294">
        <v>32183</v>
      </c>
      <c r="AB42" s="294">
        <v>4249.435903409938</v>
      </c>
      <c r="AC42" s="275">
        <v>2374.7180130000002</v>
      </c>
    </row>
    <row r="43" spans="2:29" hidden="1" outlineLevel="1" x14ac:dyDescent="0.25">
      <c r="B43" s="291">
        <v>40087</v>
      </c>
      <c r="C43" s="294">
        <v>98877</v>
      </c>
      <c r="D43" s="294">
        <v>8430.899401324441</v>
      </c>
      <c r="E43" s="294">
        <v>4711.0963140000003</v>
      </c>
      <c r="F43" s="294">
        <v>70157</v>
      </c>
      <c r="G43" s="294">
        <v>5326.1628120528476</v>
      </c>
      <c r="H43" s="294">
        <v>2976.2027509999998</v>
      </c>
      <c r="I43" s="294">
        <v>169034</v>
      </c>
      <c r="J43" s="294">
        <v>13757.06221337729</v>
      </c>
      <c r="K43" s="294">
        <v>7687.2990650000002</v>
      </c>
      <c r="L43" s="294">
        <v>3876</v>
      </c>
      <c r="M43" s="294">
        <v>773.69384235327198</v>
      </c>
      <c r="N43" s="294">
        <v>432.33183500000001</v>
      </c>
      <c r="O43" s="294">
        <v>3042</v>
      </c>
      <c r="P43" s="294">
        <v>580.79285553775185</v>
      </c>
      <c r="Q43" s="294">
        <v>324.54082899999997</v>
      </c>
      <c r="R43" s="294">
        <v>6918</v>
      </c>
      <c r="S43" s="294">
        <v>1354.4866978910241</v>
      </c>
      <c r="T43" s="294">
        <v>756.87266399999999</v>
      </c>
      <c r="U43" s="294">
        <v>102753</v>
      </c>
      <c r="V43" s="294">
        <v>9204.593243677713</v>
      </c>
      <c r="W43" s="294">
        <v>5143.4281490000003</v>
      </c>
      <c r="X43" s="294">
        <v>73199</v>
      </c>
      <c r="Y43" s="294">
        <v>5906.9556675906006</v>
      </c>
      <c r="Z43" s="294">
        <v>3300.7435799999998</v>
      </c>
      <c r="AA43" s="294">
        <v>175952</v>
      </c>
      <c r="AB43" s="294">
        <v>15111.54891126831</v>
      </c>
      <c r="AC43" s="275">
        <v>8444.1717289999997</v>
      </c>
    </row>
    <row r="44" spans="2:29" hidden="1" outlineLevel="1" x14ac:dyDescent="0.25">
      <c r="B44" s="291">
        <v>40118</v>
      </c>
      <c r="C44" s="294">
        <v>118191</v>
      </c>
      <c r="D44" s="294">
        <v>5101.9922145748669</v>
      </c>
      <c r="E44" s="294">
        <v>2839.6532900000002</v>
      </c>
      <c r="F44" s="294">
        <v>85364</v>
      </c>
      <c r="G44" s="294">
        <v>3808.9980455096129</v>
      </c>
      <c r="H44" s="294">
        <v>2120.0020260000001</v>
      </c>
      <c r="I44" s="294">
        <v>203555</v>
      </c>
      <c r="J44" s="294">
        <v>8910.9902600844798</v>
      </c>
      <c r="K44" s="294">
        <v>4959.6553160000003</v>
      </c>
      <c r="L44" s="294">
        <v>4342</v>
      </c>
      <c r="M44" s="294">
        <v>681.31019741378509</v>
      </c>
      <c r="N44" s="294">
        <v>379.20182199999999</v>
      </c>
      <c r="O44" s="294">
        <v>3394</v>
      </c>
      <c r="P44" s="294">
        <v>519.95394293791287</v>
      </c>
      <c r="Q44" s="294">
        <v>289.394586</v>
      </c>
      <c r="R44" s="294">
        <v>7736</v>
      </c>
      <c r="S44" s="294">
        <v>1201.264140351698</v>
      </c>
      <c r="T44" s="294">
        <v>668.596408</v>
      </c>
      <c r="U44" s="294">
        <v>122533</v>
      </c>
      <c r="V44" s="294">
        <v>5783.3024119886522</v>
      </c>
      <c r="W44" s="294">
        <v>3218.8551120000002</v>
      </c>
      <c r="X44" s="294">
        <v>88758</v>
      </c>
      <c r="Y44" s="294">
        <v>4328.9519884475267</v>
      </c>
      <c r="Z44" s="294">
        <v>2409.396612</v>
      </c>
      <c r="AA44" s="294">
        <v>211291</v>
      </c>
      <c r="AB44" s="294">
        <v>10112.254400436181</v>
      </c>
      <c r="AC44" s="275">
        <v>5628.2517240000006</v>
      </c>
    </row>
    <row r="45" spans="2:29" collapsed="1" x14ac:dyDescent="0.25">
      <c r="B45" s="291">
        <v>40148</v>
      </c>
      <c r="C45" s="294">
        <v>137544</v>
      </c>
      <c r="D45" s="294">
        <v>6152.4807096133536</v>
      </c>
      <c r="E45" s="294">
        <v>3411.337309</v>
      </c>
      <c r="F45" s="294">
        <v>100434</v>
      </c>
      <c r="G45" s="294">
        <v>4782.8937758502434</v>
      </c>
      <c r="H45" s="294">
        <v>2651.9488240000001</v>
      </c>
      <c r="I45" s="294">
        <v>237978</v>
      </c>
      <c r="J45" s="294">
        <v>10935.374485463601</v>
      </c>
      <c r="K45" s="294">
        <v>6063.2861329999996</v>
      </c>
      <c r="L45" s="294">
        <v>4968</v>
      </c>
      <c r="M45" s="294">
        <v>834.11760766165423</v>
      </c>
      <c r="N45" s="294">
        <v>462.48930300000001</v>
      </c>
      <c r="O45" s="294">
        <v>3798</v>
      </c>
      <c r="P45" s="294">
        <v>623.25060381460378</v>
      </c>
      <c r="Q45" s="294">
        <v>345.57085799999999</v>
      </c>
      <c r="R45" s="294">
        <v>8766</v>
      </c>
      <c r="S45" s="294">
        <v>1457.368211476258</v>
      </c>
      <c r="T45" s="294">
        <v>808.06016099999999</v>
      </c>
      <c r="U45" s="294">
        <v>142512</v>
      </c>
      <c r="V45" s="294">
        <v>6986.5983172750084</v>
      </c>
      <c r="W45" s="294">
        <v>3873.8266119999998</v>
      </c>
      <c r="X45" s="294">
        <v>104232</v>
      </c>
      <c r="Y45" s="294">
        <v>5406.1443796648473</v>
      </c>
      <c r="Z45" s="294">
        <v>2997.5196820000001</v>
      </c>
      <c r="AA45" s="294">
        <v>246744</v>
      </c>
      <c r="AB45" s="294">
        <v>12392.742696939849</v>
      </c>
      <c r="AC45" s="275">
        <v>6871.3462939999999</v>
      </c>
    </row>
    <row r="46" spans="2:29" hidden="1" outlineLevel="1" x14ac:dyDescent="0.25">
      <c r="B46" s="291">
        <v>40179</v>
      </c>
      <c r="C46" s="294">
        <v>147468</v>
      </c>
      <c r="D46" s="294">
        <v>5798.9810620826865</v>
      </c>
      <c r="E46" s="294">
        <v>3231.9974950000001</v>
      </c>
      <c r="F46" s="294">
        <v>103465</v>
      </c>
      <c r="G46" s="294">
        <v>4270.1273700645543</v>
      </c>
      <c r="H46" s="294">
        <v>2379.907921</v>
      </c>
      <c r="I46" s="294">
        <v>250933</v>
      </c>
      <c r="J46" s="294">
        <v>10069.108432147241</v>
      </c>
      <c r="K46" s="294">
        <v>5611.9054159999996</v>
      </c>
      <c r="L46" s="294">
        <v>5495</v>
      </c>
      <c r="M46" s="294">
        <v>845.99058981511075</v>
      </c>
      <c r="N46" s="294">
        <v>471.50343099999998</v>
      </c>
      <c r="O46" s="294">
        <v>4172</v>
      </c>
      <c r="P46" s="294">
        <v>631.46220223021146</v>
      </c>
      <c r="Q46" s="294">
        <v>351.938424</v>
      </c>
      <c r="R46" s="294">
        <v>9667</v>
      </c>
      <c r="S46" s="294">
        <v>1477.452792045322</v>
      </c>
      <c r="T46" s="294">
        <v>823.44185500000003</v>
      </c>
      <c r="U46" s="294">
        <v>152963</v>
      </c>
      <c r="V46" s="294">
        <v>6644.9716518977984</v>
      </c>
      <c r="W46" s="294">
        <v>3703.5009260000002</v>
      </c>
      <c r="X46" s="294">
        <v>107637</v>
      </c>
      <c r="Y46" s="294">
        <v>4901.5895722947662</v>
      </c>
      <c r="Z46" s="294">
        <v>2731.8463449999999</v>
      </c>
      <c r="AA46" s="294">
        <v>260600</v>
      </c>
      <c r="AB46" s="294">
        <v>11546.561224192559</v>
      </c>
      <c r="AC46" s="275">
        <v>6435.3472709999996</v>
      </c>
    </row>
    <row r="47" spans="2:29" hidden="1" outlineLevel="1" x14ac:dyDescent="0.25">
      <c r="B47" s="291">
        <v>40210</v>
      </c>
      <c r="C47" s="294">
        <v>157189</v>
      </c>
      <c r="D47" s="294">
        <v>6234.5483895470634</v>
      </c>
      <c r="E47" s="294">
        <v>3484.5200679999998</v>
      </c>
      <c r="F47" s="294">
        <v>108163</v>
      </c>
      <c r="G47" s="294">
        <v>4485.3915149148861</v>
      </c>
      <c r="H47" s="294">
        <v>2506.9076009999999</v>
      </c>
      <c r="I47" s="294">
        <v>265352</v>
      </c>
      <c r="J47" s="294">
        <v>10719.939904461949</v>
      </c>
      <c r="K47" s="294">
        <v>5991.4276689999997</v>
      </c>
      <c r="L47" s="294">
        <v>5997</v>
      </c>
      <c r="M47" s="294">
        <v>855.09299681364871</v>
      </c>
      <c r="N47" s="294">
        <v>477.91572400000001</v>
      </c>
      <c r="O47" s="294">
        <v>4576</v>
      </c>
      <c r="P47" s="294">
        <v>653.41100173610641</v>
      </c>
      <c r="Q47" s="294">
        <v>365.19465500000001</v>
      </c>
      <c r="R47" s="294">
        <v>10573</v>
      </c>
      <c r="S47" s="294">
        <v>1508.5039985497549</v>
      </c>
      <c r="T47" s="294">
        <v>843.11037899999997</v>
      </c>
      <c r="U47" s="294">
        <v>163186</v>
      </c>
      <c r="V47" s="294">
        <v>7089.6413863607122</v>
      </c>
      <c r="W47" s="294">
        <v>3962.4357920000002</v>
      </c>
      <c r="X47" s="294">
        <v>112739</v>
      </c>
      <c r="Y47" s="294">
        <v>5138.8025166509924</v>
      </c>
      <c r="Z47" s="294">
        <v>2872.1022560000001</v>
      </c>
      <c r="AA47" s="294">
        <v>275925</v>
      </c>
      <c r="AB47" s="294">
        <v>12228.443903011699</v>
      </c>
      <c r="AC47" s="275">
        <v>6834.5380479999994</v>
      </c>
    </row>
    <row r="48" spans="2:29" hidden="1" outlineLevel="1" x14ac:dyDescent="0.25">
      <c r="B48" s="291">
        <v>40238</v>
      </c>
      <c r="C48" s="294">
        <v>167854</v>
      </c>
      <c r="D48" s="294">
        <v>7136.9053217151068</v>
      </c>
      <c r="E48" s="294">
        <v>3992.2058029999998</v>
      </c>
      <c r="F48" s="294">
        <v>115920</v>
      </c>
      <c r="G48" s="294">
        <v>5517.0926061839791</v>
      </c>
      <c r="H48" s="294">
        <v>3086.123204</v>
      </c>
      <c r="I48" s="294">
        <v>283774</v>
      </c>
      <c r="J48" s="294">
        <v>12653.99792789909</v>
      </c>
      <c r="K48" s="294">
        <v>7078.3290070000003</v>
      </c>
      <c r="L48" s="294">
        <v>6477</v>
      </c>
      <c r="M48" s="294">
        <v>983.68237633153308</v>
      </c>
      <c r="N48" s="294">
        <v>550.24724500000002</v>
      </c>
      <c r="O48" s="294">
        <v>4862</v>
      </c>
      <c r="P48" s="294">
        <v>721.72715409491173</v>
      </c>
      <c r="Q48" s="294">
        <v>403.71606500000001</v>
      </c>
      <c r="R48" s="294">
        <v>11339</v>
      </c>
      <c r="S48" s="294">
        <v>1705.4095304264449</v>
      </c>
      <c r="T48" s="294">
        <v>953.96330999999998</v>
      </c>
      <c r="U48" s="294">
        <v>174331</v>
      </c>
      <c r="V48" s="294">
        <v>8120.5876980466401</v>
      </c>
      <c r="W48" s="294">
        <v>4542.4530479999994</v>
      </c>
      <c r="X48" s="294">
        <v>120782</v>
      </c>
      <c r="Y48" s="294">
        <v>6238.8197602788896</v>
      </c>
      <c r="Z48" s="294">
        <v>3489.8392690000001</v>
      </c>
      <c r="AA48" s="294">
        <v>295113</v>
      </c>
      <c r="AB48" s="294">
        <v>14359.40745832553</v>
      </c>
      <c r="AC48" s="275">
        <v>8032.2923170000004</v>
      </c>
    </row>
    <row r="49" spans="2:29" hidden="1" outlineLevel="1" x14ac:dyDescent="0.25">
      <c r="B49" s="291">
        <v>40269</v>
      </c>
      <c r="C49" s="294">
        <v>172340</v>
      </c>
      <c r="D49" s="294">
        <v>6287.596638676052</v>
      </c>
      <c r="E49" s="294">
        <v>3533.379966</v>
      </c>
      <c r="F49" s="294">
        <v>118241</v>
      </c>
      <c r="G49" s="294">
        <v>4607.9681503898637</v>
      </c>
      <c r="H49" s="294">
        <v>2589.4953639999999</v>
      </c>
      <c r="I49" s="294">
        <v>290581</v>
      </c>
      <c r="J49" s="294">
        <v>10895.56478906592</v>
      </c>
      <c r="K49" s="294">
        <v>6122.8753299999998</v>
      </c>
      <c r="L49" s="294">
        <v>6887</v>
      </c>
      <c r="M49" s="294">
        <v>981.48104312670091</v>
      </c>
      <c r="N49" s="294">
        <v>551.55342399999995</v>
      </c>
      <c r="O49" s="294">
        <v>5130</v>
      </c>
      <c r="P49" s="294">
        <v>717.03762864906878</v>
      </c>
      <c r="Q49" s="294">
        <v>402.94671199999999</v>
      </c>
      <c r="R49" s="294">
        <v>12017</v>
      </c>
      <c r="S49" s="294">
        <v>1698.5186717757699</v>
      </c>
      <c r="T49" s="294">
        <v>954.500136</v>
      </c>
      <c r="U49" s="294">
        <v>179227</v>
      </c>
      <c r="V49" s="294">
        <v>7269.0776818027534</v>
      </c>
      <c r="W49" s="294">
        <v>4084.9333900000001</v>
      </c>
      <c r="X49" s="294">
        <v>123371</v>
      </c>
      <c r="Y49" s="294">
        <v>5325.0057790389328</v>
      </c>
      <c r="Z49" s="294">
        <v>2992.4420759999998</v>
      </c>
      <c r="AA49" s="294">
        <v>302598</v>
      </c>
      <c r="AB49" s="294">
        <v>12594.08346084169</v>
      </c>
      <c r="AC49" s="275">
        <v>7077.3754660000004</v>
      </c>
    </row>
    <row r="50" spans="2:29" hidden="1" outlineLevel="1" x14ac:dyDescent="0.25">
      <c r="B50" s="291">
        <v>40299</v>
      </c>
      <c r="C50" s="294">
        <v>177041</v>
      </c>
      <c r="D50" s="294">
        <v>6520.5743869489388</v>
      </c>
      <c r="E50" s="294">
        <v>3677.4894800000002</v>
      </c>
      <c r="F50" s="294">
        <v>120927</v>
      </c>
      <c r="G50" s="294">
        <v>4922.7994130109109</v>
      </c>
      <c r="H50" s="294">
        <v>2776.372445</v>
      </c>
      <c r="I50" s="294">
        <v>297968</v>
      </c>
      <c r="J50" s="294">
        <v>11443.373799959851</v>
      </c>
      <c r="K50" s="294">
        <v>6453.8619250000002</v>
      </c>
      <c r="L50" s="294">
        <v>7424</v>
      </c>
      <c r="M50" s="294">
        <v>1077.82539032462</v>
      </c>
      <c r="N50" s="294">
        <v>607.87459799999999</v>
      </c>
      <c r="O50" s="294">
        <v>5506</v>
      </c>
      <c r="P50" s="294">
        <v>775.62015544803899</v>
      </c>
      <c r="Q50" s="294">
        <v>437.436151</v>
      </c>
      <c r="R50" s="294">
        <v>12930</v>
      </c>
      <c r="S50" s="294">
        <v>1853.445545772659</v>
      </c>
      <c r="T50" s="294">
        <v>1045.310749</v>
      </c>
      <c r="U50" s="294">
        <v>184465</v>
      </c>
      <c r="V50" s="294">
        <v>7598.3997772735584</v>
      </c>
      <c r="W50" s="294">
        <v>4285.3640780000014</v>
      </c>
      <c r="X50" s="294">
        <v>126433</v>
      </c>
      <c r="Y50" s="294">
        <v>5698.4195684589504</v>
      </c>
      <c r="Z50" s="294">
        <v>3213.8085959999999</v>
      </c>
      <c r="AA50" s="294">
        <v>310898</v>
      </c>
      <c r="AB50" s="294">
        <v>13296.819345732511</v>
      </c>
      <c r="AC50" s="275">
        <v>7499.1726740000004</v>
      </c>
    </row>
    <row r="51" spans="2:29" hidden="1" outlineLevel="1" x14ac:dyDescent="0.25">
      <c r="B51" s="291">
        <v>40330</v>
      </c>
      <c r="C51" s="294">
        <v>183571</v>
      </c>
      <c r="D51" s="294">
        <v>6921.563646037931</v>
      </c>
      <c r="E51" s="294">
        <v>3903.6546229999999</v>
      </c>
      <c r="F51" s="294">
        <v>125869</v>
      </c>
      <c r="G51" s="294">
        <v>4986.2784547597848</v>
      </c>
      <c r="H51" s="294">
        <v>2812.1837690000002</v>
      </c>
      <c r="I51" s="294">
        <v>309440</v>
      </c>
      <c r="J51" s="294">
        <v>11907.84210079771</v>
      </c>
      <c r="K51" s="294">
        <v>6715.8383919999997</v>
      </c>
      <c r="L51" s="294">
        <v>8152</v>
      </c>
      <c r="M51" s="294">
        <v>1307.893573220188</v>
      </c>
      <c r="N51" s="294">
        <v>737.63170500000001</v>
      </c>
      <c r="O51" s="294">
        <v>6003</v>
      </c>
      <c r="P51" s="294">
        <v>920.94067399645826</v>
      </c>
      <c r="Q51" s="294">
        <v>519.39626699999997</v>
      </c>
      <c r="R51" s="294">
        <v>14155</v>
      </c>
      <c r="S51" s="294">
        <v>2228.834247216646</v>
      </c>
      <c r="T51" s="294">
        <v>1257.0279720000001</v>
      </c>
      <c r="U51" s="294">
        <v>191723</v>
      </c>
      <c r="V51" s="294">
        <v>8229.4572192581181</v>
      </c>
      <c r="W51" s="294">
        <v>4641.2863280000001</v>
      </c>
      <c r="X51" s="294">
        <v>131872</v>
      </c>
      <c r="Y51" s="294">
        <v>5907.2191287562428</v>
      </c>
      <c r="Z51" s="294">
        <v>3331.5800359999998</v>
      </c>
      <c r="AA51" s="294">
        <v>323595</v>
      </c>
      <c r="AB51" s="294">
        <v>14136.67634801436</v>
      </c>
      <c r="AC51" s="275">
        <v>7972.8663640000004</v>
      </c>
    </row>
    <row r="52" spans="2:29" hidden="1" outlineLevel="1" x14ac:dyDescent="0.25">
      <c r="B52" s="291">
        <v>40360</v>
      </c>
      <c r="C52" s="294">
        <v>187484</v>
      </c>
      <c r="D52" s="294">
        <v>12293.71377085621</v>
      </c>
      <c r="E52" s="294">
        <v>6978.0038930000001</v>
      </c>
      <c r="F52" s="294">
        <v>129748</v>
      </c>
      <c r="G52" s="294">
        <v>8837.6767801366477</v>
      </c>
      <c r="H52" s="294">
        <v>5016.3314460000001</v>
      </c>
      <c r="I52" s="294">
        <v>317232</v>
      </c>
      <c r="J52" s="294">
        <v>21131.390550992859</v>
      </c>
      <c r="K52" s="294">
        <v>11994.335338999999</v>
      </c>
      <c r="L52" s="294">
        <v>8702</v>
      </c>
      <c r="M52" s="294">
        <v>1278.2317192736059</v>
      </c>
      <c r="N52" s="294">
        <v>725.53388500000005</v>
      </c>
      <c r="O52" s="294">
        <v>6395</v>
      </c>
      <c r="P52" s="294">
        <v>935.20882251959404</v>
      </c>
      <c r="Q52" s="294">
        <v>530.83152299999995</v>
      </c>
      <c r="R52" s="294">
        <v>15097</v>
      </c>
      <c r="S52" s="294">
        <v>2213.4405417931998</v>
      </c>
      <c r="T52" s="294">
        <v>1256.3654079999999</v>
      </c>
      <c r="U52" s="294">
        <v>196186</v>
      </c>
      <c r="V52" s="294">
        <v>13571.94549012981</v>
      </c>
      <c r="W52" s="294">
        <v>7703.5377779999999</v>
      </c>
      <c r="X52" s="294">
        <v>136143</v>
      </c>
      <c r="Y52" s="294">
        <v>9772.8856026562426</v>
      </c>
      <c r="Z52" s="294">
        <v>5547.162969</v>
      </c>
      <c r="AA52" s="294">
        <v>332329</v>
      </c>
      <c r="AB52" s="294">
        <v>23344.831092786051</v>
      </c>
      <c r="AC52" s="275">
        <v>13250.700747000001</v>
      </c>
    </row>
    <row r="53" spans="2:29" hidden="1" outlineLevel="1" x14ac:dyDescent="0.25">
      <c r="B53" s="291">
        <v>40391</v>
      </c>
      <c r="C53" s="294">
        <v>192848</v>
      </c>
      <c r="D53" s="294">
        <v>13116.81604431445</v>
      </c>
      <c r="E53" s="294">
        <v>7437.8836940000001</v>
      </c>
      <c r="F53" s="294">
        <v>133983</v>
      </c>
      <c r="G53" s="294">
        <v>9231.365150562473</v>
      </c>
      <c r="H53" s="294">
        <v>5234.6407920000001</v>
      </c>
      <c r="I53" s="294">
        <v>326831</v>
      </c>
      <c r="J53" s="294">
        <v>22348.181194876921</v>
      </c>
      <c r="K53" s="294">
        <v>12672.524486</v>
      </c>
      <c r="L53" s="294">
        <v>9142</v>
      </c>
      <c r="M53" s="294">
        <v>1307.466207906522</v>
      </c>
      <c r="N53" s="294">
        <v>741.39803099999995</v>
      </c>
      <c r="O53" s="294">
        <v>6680</v>
      </c>
      <c r="P53" s="294">
        <v>960.86554157204023</v>
      </c>
      <c r="Q53" s="294">
        <v>544.85830399999998</v>
      </c>
      <c r="R53" s="294">
        <v>15822</v>
      </c>
      <c r="S53" s="294">
        <v>2268.3317494785629</v>
      </c>
      <c r="T53" s="294">
        <v>1286.256335</v>
      </c>
      <c r="U53" s="294">
        <v>201990</v>
      </c>
      <c r="V53" s="294">
        <v>14424.28225222097</v>
      </c>
      <c r="W53" s="294">
        <v>8179.2817249999998</v>
      </c>
      <c r="X53" s="294">
        <v>140663</v>
      </c>
      <c r="Y53" s="294">
        <v>10192.23069213451</v>
      </c>
      <c r="Z53" s="294">
        <v>5779.4990959999996</v>
      </c>
      <c r="AA53" s="294">
        <v>342653</v>
      </c>
      <c r="AB53" s="294">
        <v>24616.51294435548</v>
      </c>
      <c r="AC53" s="275">
        <v>13958.780821</v>
      </c>
    </row>
    <row r="54" spans="2:29" hidden="1" outlineLevel="1" x14ac:dyDescent="0.25">
      <c r="B54" s="291">
        <v>40422</v>
      </c>
      <c r="C54" s="294">
        <v>198415</v>
      </c>
      <c r="D54" s="294">
        <v>12751.674352055141</v>
      </c>
      <c r="E54" s="294">
        <v>7259.7487270000001</v>
      </c>
      <c r="F54" s="294">
        <v>138718</v>
      </c>
      <c r="G54" s="294">
        <v>9079.1076890521745</v>
      </c>
      <c r="H54" s="294">
        <v>5168.8930149999997</v>
      </c>
      <c r="I54" s="294">
        <v>337133</v>
      </c>
      <c r="J54" s="294">
        <v>21830.782041107312</v>
      </c>
      <c r="K54" s="294">
        <v>12428.641742</v>
      </c>
      <c r="L54" s="294">
        <v>9139</v>
      </c>
      <c r="M54" s="294">
        <v>1223.9133576567981</v>
      </c>
      <c r="N54" s="294">
        <v>696.79503999999997</v>
      </c>
      <c r="O54" s="294">
        <v>6646</v>
      </c>
      <c r="P54" s="294">
        <v>879.3598541663921</v>
      </c>
      <c r="Q54" s="294">
        <v>500.634772</v>
      </c>
      <c r="R54" s="294">
        <v>15785</v>
      </c>
      <c r="S54" s="294">
        <v>2103.2732118231902</v>
      </c>
      <c r="T54" s="294">
        <v>1197.4298120000001</v>
      </c>
      <c r="U54" s="294">
        <v>207554</v>
      </c>
      <c r="V54" s="294">
        <v>13975.58770971193</v>
      </c>
      <c r="W54" s="294">
        <v>7956.5437670000001</v>
      </c>
      <c r="X54" s="294">
        <v>145364</v>
      </c>
      <c r="Y54" s="294">
        <v>9958.4675432185668</v>
      </c>
      <c r="Z54" s="294">
        <v>5669.527787</v>
      </c>
      <c r="AA54" s="294">
        <v>352918</v>
      </c>
      <c r="AB54" s="294">
        <v>23934.055252930499</v>
      </c>
      <c r="AC54" s="275">
        <v>13626.071554</v>
      </c>
    </row>
    <row r="55" spans="2:29" hidden="1" outlineLevel="1" x14ac:dyDescent="0.25">
      <c r="B55" s="291">
        <v>40452</v>
      </c>
      <c r="C55" s="294">
        <v>204343</v>
      </c>
      <c r="D55" s="294">
        <v>13875.56058484075</v>
      </c>
      <c r="E55" s="294">
        <v>7907.3420169999999</v>
      </c>
      <c r="F55" s="294">
        <v>143664</v>
      </c>
      <c r="G55" s="294">
        <v>9943.1492378544826</v>
      </c>
      <c r="H55" s="294">
        <v>5666.357137</v>
      </c>
      <c r="I55" s="294">
        <v>348007</v>
      </c>
      <c r="J55" s="294">
        <v>23818.709822695229</v>
      </c>
      <c r="K55" s="294">
        <v>13573.699154</v>
      </c>
      <c r="L55" s="294">
        <v>9374</v>
      </c>
      <c r="M55" s="294">
        <v>1290.882145036019</v>
      </c>
      <c r="N55" s="294">
        <v>735.64210700000001</v>
      </c>
      <c r="O55" s="294">
        <v>6792</v>
      </c>
      <c r="P55" s="294">
        <v>922.38829288624743</v>
      </c>
      <c r="Q55" s="294">
        <v>525.64648899999997</v>
      </c>
      <c r="R55" s="294">
        <v>16166</v>
      </c>
      <c r="S55" s="294">
        <v>2213.270437922266</v>
      </c>
      <c r="T55" s="294">
        <v>1261.2885960000001</v>
      </c>
      <c r="U55" s="294">
        <v>213717</v>
      </c>
      <c r="V55" s="294">
        <v>15166.44272987677</v>
      </c>
      <c r="W55" s="294">
        <v>8642.9841240000005</v>
      </c>
      <c r="X55" s="294">
        <v>150456</v>
      </c>
      <c r="Y55" s="294">
        <v>10865.53753074073</v>
      </c>
      <c r="Z55" s="294">
        <v>6192.0036259999997</v>
      </c>
      <c r="AA55" s="294">
        <v>364173</v>
      </c>
      <c r="AB55" s="294">
        <v>26031.9802606175</v>
      </c>
      <c r="AC55" s="275">
        <v>14834.98775</v>
      </c>
    </row>
    <row r="56" spans="2:29" hidden="1" outlineLevel="1" x14ac:dyDescent="0.25">
      <c r="B56" s="291">
        <v>40483</v>
      </c>
      <c r="C56" s="294">
        <v>211646</v>
      </c>
      <c r="D56" s="294">
        <v>14704.022078470491</v>
      </c>
      <c r="E56" s="294">
        <v>8385.3597800000007</v>
      </c>
      <c r="F56" s="294">
        <v>150888</v>
      </c>
      <c r="G56" s="294">
        <v>10643.93910001877</v>
      </c>
      <c r="H56" s="294">
        <v>6069.9894459999996</v>
      </c>
      <c r="I56" s="294">
        <v>362534</v>
      </c>
      <c r="J56" s="294">
        <v>25347.961178489259</v>
      </c>
      <c r="K56" s="294">
        <v>14455.349226</v>
      </c>
      <c r="L56" s="294">
        <v>9728</v>
      </c>
      <c r="M56" s="294">
        <v>1392.8835674730481</v>
      </c>
      <c r="N56" s="294">
        <v>794.32891099999995</v>
      </c>
      <c r="O56" s="294">
        <v>7036</v>
      </c>
      <c r="P56" s="294">
        <v>998.7468900824523</v>
      </c>
      <c r="Q56" s="294">
        <v>569.56198500000005</v>
      </c>
      <c r="R56" s="294">
        <v>16764</v>
      </c>
      <c r="S56" s="294">
        <v>2391.6304575555009</v>
      </c>
      <c r="T56" s="294">
        <v>1363.8908960000001</v>
      </c>
      <c r="U56" s="294">
        <v>221374</v>
      </c>
      <c r="V56" s="294">
        <v>16096.90564594354</v>
      </c>
      <c r="W56" s="294">
        <v>9179.6886910000012</v>
      </c>
      <c r="X56" s="294">
        <v>157924</v>
      </c>
      <c r="Y56" s="294">
        <v>11642.685990101219</v>
      </c>
      <c r="Z56" s="294">
        <v>6639.5514309999999</v>
      </c>
      <c r="AA56" s="294">
        <v>379298</v>
      </c>
      <c r="AB56" s="294">
        <v>27739.591636044759</v>
      </c>
      <c r="AC56" s="275">
        <v>15819.240121999999</v>
      </c>
    </row>
    <row r="57" spans="2:29" collapsed="1" x14ac:dyDescent="0.25">
      <c r="B57" s="291">
        <v>40513</v>
      </c>
      <c r="C57" s="294">
        <v>215860</v>
      </c>
      <c r="D57" s="294">
        <v>14539.462023471009</v>
      </c>
      <c r="E57" s="294">
        <v>8301.2893170000007</v>
      </c>
      <c r="F57" s="294">
        <v>154356</v>
      </c>
      <c r="G57" s="294">
        <v>10540.940974955751</v>
      </c>
      <c r="H57" s="294">
        <v>6018.3382689999999</v>
      </c>
      <c r="I57" s="294">
        <v>370216</v>
      </c>
      <c r="J57" s="294">
        <v>25080.402998426762</v>
      </c>
      <c r="K57" s="294">
        <v>14319.627586000001</v>
      </c>
      <c r="L57" s="294">
        <v>10094</v>
      </c>
      <c r="M57" s="294">
        <v>1437.0036452814791</v>
      </c>
      <c r="N57" s="294">
        <v>820.45559800000001</v>
      </c>
      <c r="O57" s="294">
        <v>7277</v>
      </c>
      <c r="P57" s="294">
        <v>1032.3280205379669</v>
      </c>
      <c r="Q57" s="294">
        <v>589.40651000000003</v>
      </c>
      <c r="R57" s="294">
        <v>17371</v>
      </c>
      <c r="S57" s="294">
        <v>2469.3316658194458</v>
      </c>
      <c r="T57" s="294">
        <v>1409.862108</v>
      </c>
      <c r="U57" s="294">
        <v>225954</v>
      </c>
      <c r="V57" s="294">
        <v>15976.465668752489</v>
      </c>
      <c r="W57" s="294">
        <v>9121.7449150000011</v>
      </c>
      <c r="X57" s="294">
        <v>161633</v>
      </c>
      <c r="Y57" s="294">
        <v>11573.26899549372</v>
      </c>
      <c r="Z57" s="294">
        <v>6607.7447789999997</v>
      </c>
      <c r="AA57" s="294">
        <v>387587</v>
      </c>
      <c r="AB57" s="294">
        <v>27549.734664246211</v>
      </c>
      <c r="AC57" s="275">
        <v>15729.489694</v>
      </c>
    </row>
    <row r="58" spans="2:29" hidden="1" outlineLevel="1" x14ac:dyDescent="0.25">
      <c r="B58" s="291">
        <v>40544</v>
      </c>
      <c r="C58" s="294">
        <v>216052</v>
      </c>
      <c r="D58" s="294">
        <v>14200.14572327554</v>
      </c>
      <c r="E58" s="294">
        <v>8129.5038379999996</v>
      </c>
      <c r="F58" s="294">
        <v>156801</v>
      </c>
      <c r="G58" s="294">
        <v>10764.88827553089</v>
      </c>
      <c r="H58" s="294">
        <v>6162.8382030000002</v>
      </c>
      <c r="I58" s="294">
        <v>372853</v>
      </c>
      <c r="J58" s="294">
        <v>24965.033998806419</v>
      </c>
      <c r="K58" s="294">
        <v>14292.342041</v>
      </c>
      <c r="L58" s="294">
        <v>10664</v>
      </c>
      <c r="M58" s="294">
        <v>1648.115212767764</v>
      </c>
      <c r="N58" s="294">
        <v>943.53672200000005</v>
      </c>
      <c r="O58" s="294">
        <v>7665</v>
      </c>
      <c r="P58" s="294">
        <v>1182.421523498205</v>
      </c>
      <c r="Q58" s="294">
        <v>676.92969500000004</v>
      </c>
      <c r="R58" s="294">
        <v>18329</v>
      </c>
      <c r="S58" s="294">
        <v>2830.536736265969</v>
      </c>
      <c r="T58" s="294">
        <v>1620.4664170000001</v>
      </c>
      <c r="U58" s="294">
        <v>226716</v>
      </c>
      <c r="V58" s="294">
        <v>15848.2609360433</v>
      </c>
      <c r="W58" s="294">
        <v>9073.0405599999995</v>
      </c>
      <c r="X58" s="294">
        <v>164466</v>
      </c>
      <c r="Y58" s="294">
        <v>11947.30979902909</v>
      </c>
      <c r="Z58" s="294">
        <v>6839.7678980000001</v>
      </c>
      <c r="AA58" s="294">
        <v>391182</v>
      </c>
      <c r="AB58" s="294">
        <v>27795.57073507239</v>
      </c>
      <c r="AC58" s="275">
        <v>15912.808458</v>
      </c>
    </row>
    <row r="59" spans="2:29" hidden="1" outlineLevel="1" x14ac:dyDescent="0.25">
      <c r="B59" s="291">
        <v>40575</v>
      </c>
      <c r="C59" s="294">
        <v>221369</v>
      </c>
      <c r="D59" s="294">
        <v>15376.194872333281</v>
      </c>
      <c r="E59" s="294">
        <v>8823.0395110000009</v>
      </c>
      <c r="F59" s="294">
        <v>159862</v>
      </c>
      <c r="G59" s="294">
        <v>10958.595026139399</v>
      </c>
      <c r="H59" s="294">
        <v>6288.1693230000001</v>
      </c>
      <c r="I59" s="294">
        <v>381231</v>
      </c>
      <c r="J59" s="294">
        <v>26334.789898472682</v>
      </c>
      <c r="K59" s="294">
        <v>15111.208833999999</v>
      </c>
      <c r="L59" s="294">
        <v>10862</v>
      </c>
      <c r="M59" s="294">
        <v>1470.4228694123319</v>
      </c>
      <c r="N59" s="294">
        <v>843.74575000000004</v>
      </c>
      <c r="O59" s="294">
        <v>7770</v>
      </c>
      <c r="P59" s="294">
        <v>1038.138894817394</v>
      </c>
      <c r="Q59" s="294">
        <v>595.69617600000004</v>
      </c>
      <c r="R59" s="294">
        <v>18632</v>
      </c>
      <c r="S59" s="294">
        <v>2508.5617642297261</v>
      </c>
      <c r="T59" s="294">
        <v>1439.441926</v>
      </c>
      <c r="U59" s="294">
        <v>232231</v>
      </c>
      <c r="V59" s="294">
        <v>16846.617741745609</v>
      </c>
      <c r="W59" s="294">
        <v>9666.7852610000009</v>
      </c>
      <c r="X59" s="294">
        <v>167632</v>
      </c>
      <c r="Y59" s="294">
        <v>11996.733920956791</v>
      </c>
      <c r="Z59" s="294">
        <v>6883.8654990000005</v>
      </c>
      <c r="AA59" s="294">
        <v>399863</v>
      </c>
      <c r="AB59" s="294">
        <v>28843.3516627024</v>
      </c>
      <c r="AC59" s="275">
        <v>16550.65076</v>
      </c>
    </row>
    <row r="60" spans="2:29" hidden="1" outlineLevel="1" x14ac:dyDescent="0.25">
      <c r="B60" s="291">
        <v>40603</v>
      </c>
      <c r="C60" s="294">
        <v>222893</v>
      </c>
      <c r="D60" s="294">
        <v>14167.62917386721</v>
      </c>
      <c r="E60" s="294">
        <v>8191.7163389999996</v>
      </c>
      <c r="F60" s="294">
        <v>161524</v>
      </c>
      <c r="G60" s="294">
        <v>10449.039814217749</v>
      </c>
      <c r="H60" s="294">
        <v>6041.6297690000001</v>
      </c>
      <c r="I60" s="294">
        <v>384417</v>
      </c>
      <c r="J60" s="294">
        <v>24616.668988084959</v>
      </c>
      <c r="K60" s="294">
        <v>14233.346108</v>
      </c>
      <c r="L60" s="294">
        <v>11369</v>
      </c>
      <c r="M60" s="294">
        <v>1709.47967735508</v>
      </c>
      <c r="N60" s="294">
        <v>988.42032300000005</v>
      </c>
      <c r="O60" s="294">
        <v>8148</v>
      </c>
      <c r="P60" s="294">
        <v>1206.3053721678571</v>
      </c>
      <c r="Q60" s="294">
        <v>697.48518300000001</v>
      </c>
      <c r="R60" s="294">
        <v>19517</v>
      </c>
      <c r="S60" s="294">
        <v>2915.7850495229368</v>
      </c>
      <c r="T60" s="294">
        <v>1685.9055060000001</v>
      </c>
      <c r="U60" s="294">
        <v>234262</v>
      </c>
      <c r="V60" s="294">
        <v>15877.10885122229</v>
      </c>
      <c r="W60" s="294">
        <v>9180.136661999999</v>
      </c>
      <c r="X60" s="294">
        <v>169672</v>
      </c>
      <c r="Y60" s="294">
        <v>11655.345186385601</v>
      </c>
      <c r="Z60" s="294">
        <v>6739.1149519999999</v>
      </c>
      <c r="AA60" s="294">
        <v>403934</v>
      </c>
      <c r="AB60" s="294">
        <v>27532.454037607891</v>
      </c>
      <c r="AC60" s="275">
        <v>15919.251614000001</v>
      </c>
    </row>
    <row r="61" spans="2:29" hidden="1" outlineLevel="1" x14ac:dyDescent="0.25">
      <c r="B61" s="291">
        <v>40634</v>
      </c>
      <c r="C61" s="294">
        <v>222010</v>
      </c>
      <c r="D61" s="294">
        <v>13392.30299484639</v>
      </c>
      <c r="E61" s="294">
        <v>7768.1213120000002</v>
      </c>
      <c r="F61" s="294">
        <v>161901</v>
      </c>
      <c r="G61" s="294">
        <v>9936.4166478426559</v>
      </c>
      <c r="H61" s="294">
        <v>5763.5561230000003</v>
      </c>
      <c r="I61" s="294">
        <v>383911</v>
      </c>
      <c r="J61" s="294">
        <v>23328.71964268904</v>
      </c>
      <c r="K61" s="294">
        <v>13531.677435</v>
      </c>
      <c r="L61" s="294">
        <v>11684</v>
      </c>
      <c r="M61" s="294">
        <v>1455.842547690793</v>
      </c>
      <c r="N61" s="294">
        <v>844.45233399999995</v>
      </c>
      <c r="O61" s="294">
        <v>8406</v>
      </c>
      <c r="P61" s="294">
        <v>1037.134828530214</v>
      </c>
      <c r="Q61" s="294">
        <v>601.58354899999995</v>
      </c>
      <c r="R61" s="294">
        <v>20090</v>
      </c>
      <c r="S61" s="294">
        <v>2492.9773762210061</v>
      </c>
      <c r="T61" s="294">
        <v>1446.035883</v>
      </c>
      <c r="U61" s="294">
        <v>233694</v>
      </c>
      <c r="V61" s="294">
        <v>14848.145542537181</v>
      </c>
      <c r="W61" s="294">
        <v>8612.5736460000007</v>
      </c>
      <c r="X61" s="294">
        <v>170307</v>
      </c>
      <c r="Y61" s="294">
        <v>10973.55147637287</v>
      </c>
      <c r="Z61" s="294">
        <v>6365.1396720000002</v>
      </c>
      <c r="AA61" s="294">
        <v>404001</v>
      </c>
      <c r="AB61" s="294">
        <v>25821.69701891005</v>
      </c>
      <c r="AC61" s="275">
        <v>14977.713318</v>
      </c>
    </row>
    <row r="62" spans="2:29" hidden="1" outlineLevel="1" x14ac:dyDescent="0.25">
      <c r="B62" s="291">
        <v>40664</v>
      </c>
      <c r="C62" s="294">
        <v>223751</v>
      </c>
      <c r="D62" s="294">
        <v>14399.564888767891</v>
      </c>
      <c r="E62" s="294">
        <v>8385.7735599999996</v>
      </c>
      <c r="F62" s="294">
        <v>165419</v>
      </c>
      <c r="G62" s="294">
        <v>11062.809319973279</v>
      </c>
      <c r="H62" s="294">
        <v>6442.5706339999997</v>
      </c>
      <c r="I62" s="294">
        <v>389170</v>
      </c>
      <c r="J62" s="294">
        <v>25462.37420874117</v>
      </c>
      <c r="K62" s="294">
        <v>14828.344193999999</v>
      </c>
      <c r="L62" s="294">
        <v>12497</v>
      </c>
      <c r="M62" s="294">
        <v>1950.790327519954</v>
      </c>
      <c r="N62" s="294">
        <v>1136.068074</v>
      </c>
      <c r="O62" s="294">
        <v>9044</v>
      </c>
      <c r="P62" s="294">
        <v>1432.649408712869</v>
      </c>
      <c r="Q62" s="294">
        <v>834.32198300000005</v>
      </c>
      <c r="R62" s="294">
        <v>21541</v>
      </c>
      <c r="S62" s="294">
        <v>3383.4397362328218</v>
      </c>
      <c r="T62" s="294">
        <v>1970.3900570000001</v>
      </c>
      <c r="U62" s="294">
        <v>236248</v>
      </c>
      <c r="V62" s="294">
        <v>16350.35521628785</v>
      </c>
      <c r="W62" s="294">
        <v>9521.8416340000003</v>
      </c>
      <c r="X62" s="294">
        <v>174463</v>
      </c>
      <c r="Y62" s="294">
        <v>12495.45872868615</v>
      </c>
      <c r="Z62" s="294">
        <v>7276.8926170000004</v>
      </c>
      <c r="AA62" s="294">
        <v>410711</v>
      </c>
      <c r="AB62" s="294">
        <v>28845.813944974001</v>
      </c>
      <c r="AC62" s="275">
        <v>16798.734251000002</v>
      </c>
    </row>
    <row r="63" spans="2:29" hidden="1" outlineLevel="1" x14ac:dyDescent="0.25">
      <c r="B63" s="291">
        <v>40695</v>
      </c>
      <c r="C63" s="294">
        <v>229420</v>
      </c>
      <c r="D63" s="294">
        <v>15431.43673098673</v>
      </c>
      <c r="E63" s="294">
        <v>9001.9484850000008</v>
      </c>
      <c r="F63" s="294">
        <v>168072</v>
      </c>
      <c r="G63" s="294">
        <v>11039.107820597839</v>
      </c>
      <c r="H63" s="294">
        <v>6439.6777599999996</v>
      </c>
      <c r="I63" s="294">
        <v>397492</v>
      </c>
      <c r="J63" s="294">
        <v>26470.54455158456</v>
      </c>
      <c r="K63" s="294">
        <v>15441.626244999999</v>
      </c>
      <c r="L63" s="294">
        <v>13001</v>
      </c>
      <c r="M63" s="294">
        <v>1860.349666236925</v>
      </c>
      <c r="N63" s="294">
        <v>1085.2373729999999</v>
      </c>
      <c r="O63" s="294">
        <v>9368</v>
      </c>
      <c r="P63" s="294">
        <v>1313.731692071822</v>
      </c>
      <c r="Q63" s="294">
        <v>766.367074</v>
      </c>
      <c r="R63" s="294">
        <v>22369</v>
      </c>
      <c r="S63" s="294">
        <v>3174.081358308747</v>
      </c>
      <c r="T63" s="294">
        <v>1851.6044469999999</v>
      </c>
      <c r="U63" s="294">
        <v>242421</v>
      </c>
      <c r="V63" s="294">
        <v>17291.786397223659</v>
      </c>
      <c r="W63" s="294">
        <v>10087.185858000001</v>
      </c>
      <c r="X63" s="294">
        <v>177440</v>
      </c>
      <c r="Y63" s="294">
        <v>12352.83951266966</v>
      </c>
      <c r="Z63" s="294">
        <v>7206.0448339999994</v>
      </c>
      <c r="AA63" s="294">
        <v>419861</v>
      </c>
      <c r="AB63" s="294">
        <v>29644.625909893311</v>
      </c>
      <c r="AC63" s="275">
        <v>17293.230692000001</v>
      </c>
    </row>
    <row r="64" spans="2:29" hidden="1" outlineLevel="1" x14ac:dyDescent="0.25">
      <c r="B64" s="291">
        <v>40725</v>
      </c>
      <c r="C64" s="294">
        <v>232716</v>
      </c>
      <c r="D64" s="294">
        <v>19058.535194572461</v>
      </c>
      <c r="E64" s="294">
        <v>11131.936645</v>
      </c>
      <c r="F64" s="294">
        <v>169626</v>
      </c>
      <c r="G64" s="294">
        <v>13824.350978140041</v>
      </c>
      <c r="H64" s="294">
        <v>8074.6918729999998</v>
      </c>
      <c r="I64" s="294">
        <v>402342</v>
      </c>
      <c r="J64" s="294">
        <v>32882.886172712497</v>
      </c>
      <c r="K64" s="294">
        <v>19206.628518000001</v>
      </c>
      <c r="L64" s="294">
        <v>13322</v>
      </c>
      <c r="M64" s="294">
        <v>1851.5595517501511</v>
      </c>
      <c r="N64" s="294">
        <v>1081.480996</v>
      </c>
      <c r="O64" s="294">
        <v>9629</v>
      </c>
      <c r="P64" s="294">
        <v>1345.535322085017</v>
      </c>
      <c r="Q64" s="294">
        <v>785.91632600000003</v>
      </c>
      <c r="R64" s="294">
        <v>22951</v>
      </c>
      <c r="S64" s="294">
        <v>3197.0948738351681</v>
      </c>
      <c r="T64" s="294">
        <v>1867.397322</v>
      </c>
      <c r="U64" s="294">
        <v>246038</v>
      </c>
      <c r="V64" s="294">
        <v>20910.094746322611</v>
      </c>
      <c r="W64" s="294">
        <v>12213.417641</v>
      </c>
      <c r="X64" s="294">
        <v>179255</v>
      </c>
      <c r="Y64" s="294">
        <v>15169.88630022506</v>
      </c>
      <c r="Z64" s="294">
        <v>8860.6081990000002</v>
      </c>
      <c r="AA64" s="294">
        <v>425293</v>
      </c>
      <c r="AB64" s="294">
        <v>36079.981046547662</v>
      </c>
      <c r="AC64" s="275">
        <v>21074.025839999998</v>
      </c>
    </row>
    <row r="65" spans="2:29" hidden="1" outlineLevel="1" x14ac:dyDescent="0.25">
      <c r="B65" s="291">
        <v>40756</v>
      </c>
      <c r="C65" s="294">
        <v>237643</v>
      </c>
      <c r="D65" s="294">
        <v>19940.909975190869</v>
      </c>
      <c r="E65" s="294">
        <v>11666.210709000001</v>
      </c>
      <c r="F65" s="294">
        <v>172104</v>
      </c>
      <c r="G65" s="294">
        <v>14393.837751988211</v>
      </c>
      <c r="H65" s="294">
        <v>8420.9569339999998</v>
      </c>
      <c r="I65" s="294">
        <v>409747</v>
      </c>
      <c r="J65" s="294">
        <v>34334.747727179078</v>
      </c>
      <c r="K65" s="294">
        <v>20087.167643000001</v>
      </c>
      <c r="L65" s="294">
        <v>13665</v>
      </c>
      <c r="M65" s="294">
        <v>1917.801978657018</v>
      </c>
      <c r="N65" s="294">
        <v>1121.9890170000001</v>
      </c>
      <c r="O65" s="294">
        <v>9887</v>
      </c>
      <c r="P65" s="294">
        <v>1401.2791546446711</v>
      </c>
      <c r="Q65" s="294">
        <v>819.80300299999999</v>
      </c>
      <c r="R65" s="294">
        <v>23552</v>
      </c>
      <c r="S65" s="294">
        <v>3319.08113330169</v>
      </c>
      <c r="T65" s="294">
        <v>1941.7920200000001</v>
      </c>
      <c r="U65" s="294">
        <v>251308</v>
      </c>
      <c r="V65" s="294">
        <v>21858.711953847891</v>
      </c>
      <c r="W65" s="294">
        <v>12788.199726000001</v>
      </c>
      <c r="X65" s="294">
        <v>181991</v>
      </c>
      <c r="Y65" s="294">
        <v>15795.11690663288</v>
      </c>
      <c r="Z65" s="294">
        <v>9240.7599369999989</v>
      </c>
      <c r="AA65" s="294">
        <v>433299</v>
      </c>
      <c r="AB65" s="294">
        <v>37653.828860480768</v>
      </c>
      <c r="AC65" s="275">
        <v>22028.959663000001</v>
      </c>
    </row>
    <row r="66" spans="2:29" hidden="1" outlineLevel="1" x14ac:dyDescent="0.25">
      <c r="B66" s="291">
        <v>40787</v>
      </c>
      <c r="C66" s="294">
        <v>237602</v>
      </c>
      <c r="D66" s="294">
        <v>18370.840530230271</v>
      </c>
      <c r="E66" s="294">
        <v>10801.076693999999</v>
      </c>
      <c r="F66" s="294">
        <v>171862</v>
      </c>
      <c r="G66" s="294">
        <v>13392.99887236671</v>
      </c>
      <c r="H66" s="294">
        <v>7874.3706769999999</v>
      </c>
      <c r="I66" s="294">
        <v>409464</v>
      </c>
      <c r="J66" s="294">
        <v>31763.839402596979</v>
      </c>
      <c r="K66" s="294">
        <v>18675.447370999998</v>
      </c>
      <c r="L66" s="294">
        <v>13650</v>
      </c>
      <c r="M66" s="294">
        <v>1752.8331814156461</v>
      </c>
      <c r="N66" s="294">
        <v>1030.5726400000001</v>
      </c>
      <c r="O66" s="294">
        <v>9861</v>
      </c>
      <c r="P66" s="294">
        <v>1252.47327692417</v>
      </c>
      <c r="Q66" s="294">
        <v>736.38764100000003</v>
      </c>
      <c r="R66" s="294">
        <v>23511</v>
      </c>
      <c r="S66" s="294">
        <v>3005.3064583398159</v>
      </c>
      <c r="T66" s="294">
        <v>1766.9602809999999</v>
      </c>
      <c r="U66" s="294">
        <v>251252</v>
      </c>
      <c r="V66" s="294">
        <v>20123.673711645919</v>
      </c>
      <c r="W66" s="294">
        <v>11831.649334</v>
      </c>
      <c r="X66" s="294">
        <v>181723</v>
      </c>
      <c r="Y66" s="294">
        <v>14645.472149290879</v>
      </c>
      <c r="Z66" s="294">
        <v>8610.7583180000001</v>
      </c>
      <c r="AA66" s="294">
        <v>432975</v>
      </c>
      <c r="AB66" s="294">
        <v>34769.145860936798</v>
      </c>
      <c r="AC66" s="275">
        <v>20442.407652000002</v>
      </c>
    </row>
    <row r="67" spans="2:29" hidden="1" outlineLevel="1" x14ac:dyDescent="0.25">
      <c r="B67" s="291">
        <v>40817</v>
      </c>
      <c r="C67" s="294">
        <v>244518</v>
      </c>
      <c r="D67" s="294">
        <v>20872.22512408371</v>
      </c>
      <c r="E67" s="294">
        <v>12331.326424999999</v>
      </c>
      <c r="F67" s="294">
        <v>177646</v>
      </c>
      <c r="G67" s="294">
        <v>15758.82307278412</v>
      </c>
      <c r="H67" s="294">
        <v>9310.3246170000002</v>
      </c>
      <c r="I67" s="294">
        <v>422164</v>
      </c>
      <c r="J67" s="294">
        <v>36631.048196867829</v>
      </c>
      <c r="K67" s="294">
        <v>21641.651042000001</v>
      </c>
      <c r="L67" s="294">
        <v>14421</v>
      </c>
      <c r="M67" s="294">
        <v>2173.7831164787899</v>
      </c>
      <c r="N67" s="294">
        <v>1284.2727130000001</v>
      </c>
      <c r="O67" s="294">
        <v>10422</v>
      </c>
      <c r="P67" s="294">
        <v>1578.591642495496</v>
      </c>
      <c r="Q67" s="294">
        <v>932.63313900000003</v>
      </c>
      <c r="R67" s="294">
        <v>24843</v>
      </c>
      <c r="S67" s="294">
        <v>3752.3747589742852</v>
      </c>
      <c r="T67" s="294">
        <v>2216.9058519999999</v>
      </c>
      <c r="U67" s="294">
        <v>258939</v>
      </c>
      <c r="V67" s="294">
        <v>23046.0082405625</v>
      </c>
      <c r="W67" s="294">
        <v>13615.599138</v>
      </c>
      <c r="X67" s="294">
        <v>188068</v>
      </c>
      <c r="Y67" s="294">
        <v>17337.41471527961</v>
      </c>
      <c r="Z67" s="294">
        <v>10242.957756</v>
      </c>
      <c r="AA67" s="294">
        <v>447007</v>
      </c>
      <c r="AB67" s="294">
        <v>40383.422955842107</v>
      </c>
      <c r="AC67" s="275">
        <v>23858.556894000001</v>
      </c>
    </row>
    <row r="68" spans="2:29" hidden="1" outlineLevel="1" x14ac:dyDescent="0.25">
      <c r="B68" s="291">
        <v>40848</v>
      </c>
      <c r="C68" s="294">
        <v>244805</v>
      </c>
      <c r="D68" s="294">
        <v>19365.39856267377</v>
      </c>
      <c r="E68" s="294">
        <v>11477.395828000001</v>
      </c>
      <c r="F68" s="294">
        <v>177882</v>
      </c>
      <c r="G68" s="294">
        <v>14381.89126637715</v>
      </c>
      <c r="H68" s="294">
        <v>8523.7935219999999</v>
      </c>
      <c r="I68" s="294">
        <v>422687</v>
      </c>
      <c r="J68" s="294">
        <v>33747.289829050918</v>
      </c>
      <c r="K68" s="294">
        <v>20001.189350000001</v>
      </c>
      <c r="L68" s="294">
        <v>14395</v>
      </c>
      <c r="M68" s="294">
        <v>1841.7509002757949</v>
      </c>
      <c r="N68" s="294">
        <v>1091.5604980000001</v>
      </c>
      <c r="O68" s="294">
        <v>10364</v>
      </c>
      <c r="P68" s="294">
        <v>1316.076092895571</v>
      </c>
      <c r="Q68" s="294">
        <v>780.00595799999996</v>
      </c>
      <c r="R68" s="294">
        <v>24759</v>
      </c>
      <c r="S68" s="294">
        <v>3157.8269931713671</v>
      </c>
      <c r="T68" s="294">
        <v>1871.566456</v>
      </c>
      <c r="U68" s="294">
        <v>259200</v>
      </c>
      <c r="V68" s="294">
        <v>21207.149462949561</v>
      </c>
      <c r="W68" s="294">
        <v>12568.956326</v>
      </c>
      <c r="X68" s="294">
        <v>188246</v>
      </c>
      <c r="Y68" s="294">
        <v>15697.967359272719</v>
      </c>
      <c r="Z68" s="294">
        <v>9303.7994799999997</v>
      </c>
      <c r="AA68" s="294">
        <v>447446</v>
      </c>
      <c r="AB68" s="294">
        <v>36905.116822222277</v>
      </c>
      <c r="AC68" s="275">
        <v>21872.755806000001</v>
      </c>
    </row>
    <row r="69" spans="2:29" collapsed="1" x14ac:dyDescent="0.25">
      <c r="B69" s="291">
        <v>40878</v>
      </c>
      <c r="C69" s="294">
        <v>253065</v>
      </c>
      <c r="D69" s="294">
        <v>21506.57598415179</v>
      </c>
      <c r="E69" s="294">
        <v>12824.071207999999</v>
      </c>
      <c r="F69" s="294">
        <v>183726</v>
      </c>
      <c r="G69" s="294">
        <v>15885.777949304849</v>
      </c>
      <c r="H69" s="294">
        <v>9472.4677589999992</v>
      </c>
      <c r="I69" s="294">
        <v>436791</v>
      </c>
      <c r="J69" s="294">
        <v>37392.353933456638</v>
      </c>
      <c r="K69" s="294">
        <v>22296.538967</v>
      </c>
      <c r="L69" s="294">
        <v>15067</v>
      </c>
      <c r="M69" s="294">
        <v>2226.8560476706011</v>
      </c>
      <c r="N69" s="294">
        <v>1327.8431929999999</v>
      </c>
      <c r="O69" s="294">
        <v>10837</v>
      </c>
      <c r="P69" s="294">
        <v>1603.4378912280879</v>
      </c>
      <c r="Q69" s="294">
        <v>956.10764400000005</v>
      </c>
      <c r="R69" s="294">
        <v>25904</v>
      </c>
      <c r="S69" s="294">
        <v>3830.2939388986888</v>
      </c>
      <c r="T69" s="294">
        <v>2283.9508369999999</v>
      </c>
      <c r="U69" s="294">
        <v>268132</v>
      </c>
      <c r="V69" s="294">
        <v>23733.432031822391</v>
      </c>
      <c r="W69" s="294">
        <v>14151.914401</v>
      </c>
      <c r="X69" s="294">
        <v>194563</v>
      </c>
      <c r="Y69" s="294">
        <v>17489.215840532928</v>
      </c>
      <c r="Z69" s="294">
        <v>10428.575403000001</v>
      </c>
      <c r="AA69" s="294">
        <v>462695</v>
      </c>
      <c r="AB69" s="294">
        <v>41222.64787235533</v>
      </c>
      <c r="AC69" s="275">
        <v>24580.489804000001</v>
      </c>
    </row>
    <row r="70" spans="2:29" hidden="1" outlineLevel="1" x14ac:dyDescent="0.25">
      <c r="B70" s="291">
        <v>40909</v>
      </c>
      <c r="C70" s="294">
        <v>252071</v>
      </c>
      <c r="D70" s="294">
        <v>18888.984051519921</v>
      </c>
      <c r="E70" s="294">
        <v>11273.151109</v>
      </c>
      <c r="F70" s="294">
        <v>182814</v>
      </c>
      <c r="G70" s="294">
        <v>14333.975472386781</v>
      </c>
      <c r="H70" s="294">
        <v>8554.6724510000004</v>
      </c>
      <c r="I70" s="294">
        <v>434885</v>
      </c>
      <c r="J70" s="294">
        <v>33222.959523906713</v>
      </c>
      <c r="K70" s="294">
        <v>19827.823560000001</v>
      </c>
      <c r="L70" s="294">
        <v>15016</v>
      </c>
      <c r="M70" s="294">
        <v>1900.765451130545</v>
      </c>
      <c r="N70" s="294">
        <v>1134.3974929999999</v>
      </c>
      <c r="O70" s="294">
        <v>10786</v>
      </c>
      <c r="P70" s="294">
        <v>1351.258497645563</v>
      </c>
      <c r="Q70" s="294">
        <v>806.44576700000005</v>
      </c>
      <c r="R70" s="294">
        <v>25802</v>
      </c>
      <c r="S70" s="294">
        <v>3252.0239487761082</v>
      </c>
      <c r="T70" s="294">
        <v>1940.8432600000001</v>
      </c>
      <c r="U70" s="294">
        <v>267087</v>
      </c>
      <c r="V70" s="294">
        <v>20789.749502650469</v>
      </c>
      <c r="W70" s="294">
        <v>12407.548602000001</v>
      </c>
      <c r="X70" s="294">
        <v>193600</v>
      </c>
      <c r="Y70" s="294">
        <v>15685.23397003235</v>
      </c>
      <c r="Z70" s="294">
        <v>9361.1182179999996</v>
      </c>
      <c r="AA70" s="294">
        <v>460687</v>
      </c>
      <c r="AB70" s="294">
        <v>36474.983472682812</v>
      </c>
      <c r="AC70" s="275">
        <v>21768.666819999999</v>
      </c>
    </row>
    <row r="71" spans="2:29" hidden="1" outlineLevel="1" x14ac:dyDescent="0.25">
      <c r="B71" s="291">
        <v>40940</v>
      </c>
      <c r="C71" s="294">
        <v>257841</v>
      </c>
      <c r="D71" s="294">
        <v>21176.794269856779</v>
      </c>
      <c r="E71" s="294">
        <v>12687.628672999999</v>
      </c>
      <c r="F71" s="294">
        <v>187623</v>
      </c>
      <c r="G71" s="294">
        <v>15732.623806030821</v>
      </c>
      <c r="H71" s="294">
        <v>9425.8690129999995</v>
      </c>
      <c r="I71" s="294">
        <v>445464</v>
      </c>
      <c r="J71" s="294">
        <v>36909.418075887603</v>
      </c>
      <c r="K71" s="294">
        <v>22113.497685999999</v>
      </c>
      <c r="L71" s="294">
        <v>15866</v>
      </c>
      <c r="M71" s="294">
        <v>2389.3626436537329</v>
      </c>
      <c r="N71" s="294">
        <v>1431.536124</v>
      </c>
      <c r="O71" s="294">
        <v>11407</v>
      </c>
      <c r="P71" s="294">
        <v>1731.371718258436</v>
      </c>
      <c r="Q71" s="294">
        <v>1037.3147690000001</v>
      </c>
      <c r="R71" s="294">
        <v>27273</v>
      </c>
      <c r="S71" s="294">
        <v>4120.7343619121684</v>
      </c>
      <c r="T71" s="294">
        <v>2468.8508929999998</v>
      </c>
      <c r="U71" s="294">
        <v>273707</v>
      </c>
      <c r="V71" s="294">
        <v>23566.156913510509</v>
      </c>
      <c r="W71" s="294">
        <v>14119.164796999999</v>
      </c>
      <c r="X71" s="294">
        <v>199030</v>
      </c>
      <c r="Y71" s="294">
        <v>17463.99552428925</v>
      </c>
      <c r="Z71" s="294">
        <v>10463.183782</v>
      </c>
      <c r="AA71" s="294">
        <v>472737</v>
      </c>
      <c r="AB71" s="294">
        <v>41030.152437799763</v>
      </c>
      <c r="AC71" s="275">
        <v>24582.348579000001</v>
      </c>
    </row>
    <row r="72" spans="2:29" hidden="1" outlineLevel="1" x14ac:dyDescent="0.25">
      <c r="B72" s="291">
        <v>40969</v>
      </c>
      <c r="C72" s="294">
        <v>266227</v>
      </c>
      <c r="D72" s="294">
        <v>21814.731625254761</v>
      </c>
      <c r="E72" s="294">
        <v>13091.164983000001</v>
      </c>
      <c r="F72" s="294">
        <v>193233</v>
      </c>
      <c r="G72" s="294">
        <v>15819.04799873626</v>
      </c>
      <c r="H72" s="294">
        <v>9493.1155139999992</v>
      </c>
      <c r="I72" s="294">
        <v>459460</v>
      </c>
      <c r="J72" s="294">
        <v>37633.779623991017</v>
      </c>
      <c r="K72" s="294">
        <v>22584.280497</v>
      </c>
      <c r="L72" s="294">
        <v>16203</v>
      </c>
      <c r="M72" s="294">
        <v>2211.8210255959489</v>
      </c>
      <c r="N72" s="294">
        <v>1327.328452</v>
      </c>
      <c r="O72" s="294">
        <v>11662</v>
      </c>
      <c r="P72" s="294">
        <v>1604.5912859417131</v>
      </c>
      <c r="Q72" s="294">
        <v>962.92586200000005</v>
      </c>
      <c r="R72" s="294">
        <v>27865</v>
      </c>
      <c r="S72" s="294">
        <v>3816.4123115376619</v>
      </c>
      <c r="T72" s="294">
        <v>2290.2543139999998</v>
      </c>
      <c r="U72" s="294">
        <v>282430</v>
      </c>
      <c r="V72" s="294">
        <v>24026.55265085071</v>
      </c>
      <c r="W72" s="294">
        <v>14418.493435</v>
      </c>
      <c r="X72" s="294">
        <v>204895</v>
      </c>
      <c r="Y72" s="294">
        <v>17423.639284677971</v>
      </c>
      <c r="Z72" s="294">
        <v>10456.041375999999</v>
      </c>
      <c r="AA72" s="294">
        <v>487325</v>
      </c>
      <c r="AB72" s="294">
        <v>41450.191935528681</v>
      </c>
      <c r="AC72" s="275">
        <v>24874.534811000001</v>
      </c>
    </row>
    <row r="73" spans="2:29" hidden="1" outlineLevel="1" x14ac:dyDescent="0.25">
      <c r="B73" s="291">
        <v>41000</v>
      </c>
      <c r="C73" s="294">
        <v>268907</v>
      </c>
      <c r="D73" s="294">
        <v>20614.189363268229</v>
      </c>
      <c r="E73" s="294">
        <v>12376.984071000001</v>
      </c>
      <c r="F73" s="294">
        <v>195360</v>
      </c>
      <c r="G73" s="294">
        <v>15220.56295278793</v>
      </c>
      <c r="H73" s="294">
        <v>9138.5919620000004</v>
      </c>
      <c r="I73" s="294">
        <v>464267</v>
      </c>
      <c r="J73" s="294">
        <v>35834.752316056161</v>
      </c>
      <c r="K73" s="294">
        <v>21515.576033000001</v>
      </c>
      <c r="L73" s="294">
        <v>16729</v>
      </c>
      <c r="M73" s="294">
        <v>2254.1258610804471</v>
      </c>
      <c r="N73" s="294">
        <v>1353.401746</v>
      </c>
      <c r="O73" s="294">
        <v>12056</v>
      </c>
      <c r="P73" s="294">
        <v>1610.2401164694561</v>
      </c>
      <c r="Q73" s="294">
        <v>966.80572400000005</v>
      </c>
      <c r="R73" s="294">
        <v>28785</v>
      </c>
      <c r="S73" s="294">
        <v>3864.3659775499032</v>
      </c>
      <c r="T73" s="294">
        <v>2320.2074699999998</v>
      </c>
      <c r="U73" s="294">
        <v>285636</v>
      </c>
      <c r="V73" s="294">
        <v>22868.31522434868</v>
      </c>
      <c r="W73" s="294">
        <v>13730.385817</v>
      </c>
      <c r="X73" s="294">
        <v>207416</v>
      </c>
      <c r="Y73" s="294">
        <v>16830.803069257388</v>
      </c>
      <c r="Z73" s="294">
        <v>10105.397686</v>
      </c>
      <c r="AA73" s="294">
        <v>493052</v>
      </c>
      <c r="AB73" s="294">
        <v>39699.118293606058</v>
      </c>
      <c r="AC73" s="275">
        <v>23835.783502999999</v>
      </c>
    </row>
    <row r="74" spans="2:29" hidden="1" outlineLevel="1" x14ac:dyDescent="0.25">
      <c r="B74" s="291">
        <v>41030</v>
      </c>
      <c r="C74" s="294">
        <v>273881</v>
      </c>
      <c r="D74" s="294">
        <v>21772.56993824985</v>
      </c>
      <c r="E74" s="294">
        <v>13076.498552999999</v>
      </c>
      <c r="F74" s="294">
        <v>198501</v>
      </c>
      <c r="G74" s="294">
        <v>15932.93280429733</v>
      </c>
      <c r="H74" s="294">
        <v>9569.2411759999995</v>
      </c>
      <c r="I74" s="294">
        <v>472382</v>
      </c>
      <c r="J74" s="294">
        <v>37705.502742547178</v>
      </c>
      <c r="K74" s="294">
        <v>22645.739729000001</v>
      </c>
      <c r="L74" s="294">
        <v>17101</v>
      </c>
      <c r="M74" s="294">
        <v>2308.6738590432992</v>
      </c>
      <c r="N74" s="294">
        <v>1386.5781790000001</v>
      </c>
      <c r="O74" s="294">
        <v>12311</v>
      </c>
      <c r="P74" s="294">
        <v>1656.315792885938</v>
      </c>
      <c r="Q74" s="294">
        <v>994.77512899999999</v>
      </c>
      <c r="R74" s="294">
        <v>29412</v>
      </c>
      <c r="S74" s="294">
        <v>3964.989651929237</v>
      </c>
      <c r="T74" s="294">
        <v>2381.3533080000002</v>
      </c>
      <c r="U74" s="294">
        <v>290982</v>
      </c>
      <c r="V74" s="294">
        <v>24081.243797293151</v>
      </c>
      <c r="W74" s="294">
        <v>14463.076732</v>
      </c>
      <c r="X74" s="294">
        <v>210812</v>
      </c>
      <c r="Y74" s="294">
        <v>17589.248597183261</v>
      </c>
      <c r="Z74" s="294">
        <v>10564.016304999999</v>
      </c>
      <c r="AA74" s="294">
        <v>501794</v>
      </c>
      <c r="AB74" s="294">
        <v>41670.492394476423</v>
      </c>
      <c r="AC74" s="275">
        <v>25027.093036999999</v>
      </c>
    </row>
    <row r="75" spans="2:29" hidden="1" outlineLevel="1" x14ac:dyDescent="0.25">
      <c r="B75" s="291">
        <v>41061</v>
      </c>
      <c r="C75" s="294">
        <v>279232</v>
      </c>
      <c r="D75" s="294">
        <v>22155.121993661229</v>
      </c>
      <c r="E75" s="294">
        <v>13266.851407</v>
      </c>
      <c r="F75" s="294">
        <v>201334</v>
      </c>
      <c r="G75" s="294">
        <v>15938.33883659516</v>
      </c>
      <c r="H75" s="294">
        <v>9544.1394130000008</v>
      </c>
      <c r="I75" s="294">
        <v>480566</v>
      </c>
      <c r="J75" s="294">
        <v>38093.460830256387</v>
      </c>
      <c r="K75" s="294">
        <v>22810.990819999999</v>
      </c>
      <c r="L75" s="294">
        <v>17619</v>
      </c>
      <c r="M75" s="294">
        <v>2358.9029728026439</v>
      </c>
      <c r="N75" s="294">
        <v>1412.549894</v>
      </c>
      <c r="O75" s="294">
        <v>12603</v>
      </c>
      <c r="P75" s="294">
        <v>1703.4662930028569</v>
      </c>
      <c r="Q75" s="294">
        <v>1020.063631</v>
      </c>
      <c r="R75" s="294">
        <v>30222</v>
      </c>
      <c r="S75" s="294">
        <v>4062.369265805502</v>
      </c>
      <c r="T75" s="294">
        <v>2432.6135250000002</v>
      </c>
      <c r="U75" s="294">
        <v>296851</v>
      </c>
      <c r="V75" s="294">
        <v>24514.024966463869</v>
      </c>
      <c r="W75" s="294">
        <v>14679.401301</v>
      </c>
      <c r="X75" s="294">
        <v>213937</v>
      </c>
      <c r="Y75" s="294">
        <v>17641.805129598019</v>
      </c>
      <c r="Z75" s="294">
        <v>10564.203044</v>
      </c>
      <c r="AA75" s="294">
        <v>510788</v>
      </c>
      <c r="AB75" s="294">
        <v>42155.830096061887</v>
      </c>
      <c r="AC75" s="275">
        <v>25243.604345</v>
      </c>
    </row>
    <row r="76" spans="2:29" hidden="1" outlineLevel="1" x14ac:dyDescent="0.25">
      <c r="B76" s="291">
        <v>41091</v>
      </c>
      <c r="C76" s="294">
        <v>276215</v>
      </c>
      <c r="D76" s="294">
        <v>22352.500073482792</v>
      </c>
      <c r="E76" s="294">
        <v>13383.284857000001</v>
      </c>
      <c r="F76" s="294">
        <v>202381</v>
      </c>
      <c r="G76" s="294">
        <v>16510.481509566722</v>
      </c>
      <c r="H76" s="294">
        <v>9885.4480010000007</v>
      </c>
      <c r="I76" s="294">
        <v>478596</v>
      </c>
      <c r="J76" s="294">
        <v>38862.981583049514</v>
      </c>
      <c r="K76" s="294">
        <v>23268.732857999999</v>
      </c>
      <c r="L76" s="294">
        <v>17698</v>
      </c>
      <c r="M76" s="294">
        <v>2409.3943419845582</v>
      </c>
      <c r="N76" s="294">
        <v>1442.5952669999999</v>
      </c>
      <c r="O76" s="294">
        <v>12634</v>
      </c>
      <c r="P76" s="294">
        <v>1730.793781750564</v>
      </c>
      <c r="Q76" s="294">
        <v>1036.2915170000001</v>
      </c>
      <c r="R76" s="294">
        <v>30332</v>
      </c>
      <c r="S76" s="294">
        <v>4140.1881237351226</v>
      </c>
      <c r="T76" s="294">
        <v>2478.8867839999998</v>
      </c>
      <c r="U76" s="294">
        <v>293913</v>
      </c>
      <c r="V76" s="294">
        <v>24761.894415467341</v>
      </c>
      <c r="W76" s="294">
        <v>14825.880123999999</v>
      </c>
      <c r="X76" s="294">
        <v>215015</v>
      </c>
      <c r="Y76" s="294">
        <v>18241.275291317292</v>
      </c>
      <c r="Z76" s="294">
        <v>10921.739518</v>
      </c>
      <c r="AA76" s="294">
        <v>508928</v>
      </c>
      <c r="AB76" s="294">
        <v>43003.169706784633</v>
      </c>
      <c r="AC76" s="275">
        <v>25747.619642000001</v>
      </c>
    </row>
    <row r="77" spans="2:29" hidden="1" outlineLevel="1" x14ac:dyDescent="0.25">
      <c r="B77" s="291">
        <v>41122</v>
      </c>
      <c r="C77" s="294">
        <v>282810</v>
      </c>
      <c r="D77" s="294">
        <v>23315.389317811369</v>
      </c>
      <c r="E77" s="294">
        <v>13990.675440000001</v>
      </c>
      <c r="F77" s="294">
        <v>207070</v>
      </c>
      <c r="G77" s="294">
        <v>17170.17378762089</v>
      </c>
      <c r="H77" s="294">
        <v>10303.166095</v>
      </c>
      <c r="I77" s="294">
        <v>489880</v>
      </c>
      <c r="J77" s="294">
        <v>40485.563105432258</v>
      </c>
      <c r="K77" s="294">
        <v>24293.841535</v>
      </c>
      <c r="L77" s="294">
        <v>23663</v>
      </c>
      <c r="M77" s="294">
        <v>3186.893608324885</v>
      </c>
      <c r="N77" s="294">
        <v>1912.3332459999999</v>
      </c>
      <c r="O77" s="294">
        <v>19160</v>
      </c>
      <c r="P77" s="294">
        <v>2527.655278363598</v>
      </c>
      <c r="Q77" s="294">
        <v>1516.7494799999999</v>
      </c>
      <c r="R77" s="294">
        <v>42823</v>
      </c>
      <c r="S77" s="294">
        <v>5714.5488866884834</v>
      </c>
      <c r="T77" s="294">
        <v>3429.0827260000001</v>
      </c>
      <c r="U77" s="294">
        <v>306473</v>
      </c>
      <c r="V77" s="294">
        <v>26502.28292613626</v>
      </c>
      <c r="W77" s="294">
        <v>15903.008685999999</v>
      </c>
      <c r="X77" s="294">
        <v>226230</v>
      </c>
      <c r="Y77" s="294">
        <v>19697.82906598449</v>
      </c>
      <c r="Z77" s="294">
        <v>11819.915575000001</v>
      </c>
      <c r="AA77" s="294">
        <v>532703</v>
      </c>
      <c r="AB77" s="294">
        <v>46200.111992120743</v>
      </c>
      <c r="AC77" s="275">
        <v>27722.924261</v>
      </c>
    </row>
    <row r="78" spans="2:29" hidden="1" outlineLevel="1" x14ac:dyDescent="0.25">
      <c r="B78" s="291">
        <v>41153</v>
      </c>
      <c r="C78" s="294">
        <v>287696</v>
      </c>
      <c r="D78" s="294">
        <v>23267.44500634908</v>
      </c>
      <c r="E78" s="294">
        <v>14069.211756999999</v>
      </c>
      <c r="F78" s="294">
        <v>211511</v>
      </c>
      <c r="G78" s="294">
        <v>17269.98573782514</v>
      </c>
      <c r="H78" s="294">
        <v>10442.705948999999</v>
      </c>
      <c r="I78" s="294">
        <v>499207</v>
      </c>
      <c r="J78" s="294">
        <v>40537.430744174228</v>
      </c>
      <c r="K78" s="294">
        <v>24511.917706</v>
      </c>
      <c r="L78" s="294">
        <v>23918</v>
      </c>
      <c r="M78" s="294">
        <v>3165.3835108589592</v>
      </c>
      <c r="N78" s="294">
        <v>1914.024118</v>
      </c>
      <c r="O78" s="294">
        <v>19316</v>
      </c>
      <c r="P78" s="294">
        <v>2567.9865398661382</v>
      </c>
      <c r="Q78" s="294">
        <v>1552.793889</v>
      </c>
      <c r="R78" s="294">
        <v>43234</v>
      </c>
      <c r="S78" s="294">
        <v>5733.370050725096</v>
      </c>
      <c r="T78" s="294">
        <v>3466.8180069999999</v>
      </c>
      <c r="U78" s="294">
        <v>311614</v>
      </c>
      <c r="V78" s="294">
        <v>26432.82851720804</v>
      </c>
      <c r="W78" s="294">
        <v>15983.235875</v>
      </c>
      <c r="X78" s="294">
        <v>230827</v>
      </c>
      <c r="Y78" s="294">
        <v>19837.972277691279</v>
      </c>
      <c r="Z78" s="294">
        <v>11995.499838</v>
      </c>
      <c r="AA78" s="294">
        <v>542441</v>
      </c>
      <c r="AB78" s="294">
        <v>46270.800794899333</v>
      </c>
      <c r="AC78" s="275">
        <v>27978.735712999998</v>
      </c>
    </row>
    <row r="79" spans="2:29" hidden="1" outlineLevel="1" x14ac:dyDescent="0.25">
      <c r="B79" s="291">
        <v>41183</v>
      </c>
      <c r="C79" s="294">
        <v>294781</v>
      </c>
      <c r="D79" s="294">
        <v>24149.953421012309</v>
      </c>
      <c r="E79" s="294">
        <v>14684.423467000001</v>
      </c>
      <c r="F79" s="294">
        <v>216179</v>
      </c>
      <c r="G79" s="294">
        <v>17634.28006240162</v>
      </c>
      <c r="H79" s="294">
        <v>10722.556332</v>
      </c>
      <c r="I79" s="294">
        <v>510960</v>
      </c>
      <c r="J79" s="294">
        <v>41784.233483413933</v>
      </c>
      <c r="K79" s="294">
        <v>25406.979799000001</v>
      </c>
      <c r="L79" s="294">
        <v>22975</v>
      </c>
      <c r="M79" s="294">
        <v>3065.4713413969448</v>
      </c>
      <c r="N79" s="294">
        <v>1863.965471</v>
      </c>
      <c r="O79" s="294">
        <v>18437</v>
      </c>
      <c r="P79" s="294">
        <v>2423.0659818496101</v>
      </c>
      <c r="Q79" s="294">
        <v>1473.3497139999999</v>
      </c>
      <c r="R79" s="294">
        <v>41412</v>
      </c>
      <c r="S79" s="294">
        <v>5488.5373232465536</v>
      </c>
      <c r="T79" s="294">
        <v>3337.3151849999999</v>
      </c>
      <c r="U79" s="294">
        <v>317756</v>
      </c>
      <c r="V79" s="294">
        <v>27215.42476240925</v>
      </c>
      <c r="W79" s="294">
        <v>16548.388938</v>
      </c>
      <c r="X79" s="294">
        <v>234616</v>
      </c>
      <c r="Y79" s="294">
        <v>20057.34604425123</v>
      </c>
      <c r="Z79" s="294">
        <v>12195.906046</v>
      </c>
      <c r="AA79" s="294">
        <v>552372</v>
      </c>
      <c r="AB79" s="294">
        <v>47272.77080666049</v>
      </c>
      <c r="AC79" s="275">
        <v>28744.294984</v>
      </c>
    </row>
    <row r="80" spans="2:29" hidden="1" outlineLevel="1" x14ac:dyDescent="0.25">
      <c r="B80" s="291">
        <v>41214</v>
      </c>
      <c r="C80" s="294">
        <v>303521</v>
      </c>
      <c r="D80" s="294">
        <v>24859.417518559188</v>
      </c>
      <c r="E80" s="294">
        <v>15047.736121</v>
      </c>
      <c r="F80" s="294">
        <v>223185</v>
      </c>
      <c r="G80" s="294">
        <v>18372.049832143992</v>
      </c>
      <c r="H80" s="294">
        <v>11120.846160999999</v>
      </c>
      <c r="I80" s="294">
        <v>526706</v>
      </c>
      <c r="J80" s="294">
        <v>43231.467350703177</v>
      </c>
      <c r="K80" s="294">
        <v>26168.582281999999</v>
      </c>
      <c r="L80" s="294">
        <v>21524</v>
      </c>
      <c r="M80" s="294">
        <v>2824.5056839399222</v>
      </c>
      <c r="N80" s="294">
        <v>1709.7108639999999</v>
      </c>
      <c r="O80" s="294">
        <v>16946</v>
      </c>
      <c r="P80" s="294">
        <v>2176.175052085599</v>
      </c>
      <c r="Q80" s="294">
        <v>1317.2677080000001</v>
      </c>
      <c r="R80" s="294">
        <v>38470</v>
      </c>
      <c r="S80" s="294">
        <v>5000.6807360255198</v>
      </c>
      <c r="T80" s="294">
        <v>3026.978572</v>
      </c>
      <c r="U80" s="294">
        <v>325045</v>
      </c>
      <c r="V80" s="294">
        <v>27683.923202499111</v>
      </c>
      <c r="W80" s="294">
        <v>16757.446984999999</v>
      </c>
      <c r="X80" s="294">
        <v>240131</v>
      </c>
      <c r="Y80" s="294">
        <v>20548.224884229588</v>
      </c>
      <c r="Z80" s="294">
        <v>12438.113869000001</v>
      </c>
      <c r="AA80" s="294">
        <v>565176</v>
      </c>
      <c r="AB80" s="294">
        <v>48232.148086728703</v>
      </c>
      <c r="AC80" s="275">
        <v>29195.560853999999</v>
      </c>
    </row>
    <row r="81" spans="2:29" collapsed="1" x14ac:dyDescent="0.25">
      <c r="B81" s="291">
        <v>41244</v>
      </c>
      <c r="C81" s="294">
        <v>312354</v>
      </c>
      <c r="D81" s="294">
        <v>25414.72407267665</v>
      </c>
      <c r="E81" s="294">
        <v>15379.786630000001</v>
      </c>
      <c r="F81" s="294">
        <v>227534</v>
      </c>
      <c r="G81" s="294">
        <v>18359.70539554839</v>
      </c>
      <c r="H81" s="294">
        <v>11110.423656999999</v>
      </c>
      <c r="I81" s="294">
        <v>539888</v>
      </c>
      <c r="J81" s="294">
        <v>43774.429468225047</v>
      </c>
      <c r="K81" s="294">
        <v>26490.210287000002</v>
      </c>
      <c r="L81" s="294">
        <v>22465</v>
      </c>
      <c r="M81" s="294">
        <v>3056.934030234399</v>
      </c>
      <c r="N81" s="294">
        <v>1849.9116100000001</v>
      </c>
      <c r="O81" s="294">
        <v>17699</v>
      </c>
      <c r="P81" s="294">
        <v>2348.729692648159</v>
      </c>
      <c r="Q81" s="294">
        <v>1421.3399059999999</v>
      </c>
      <c r="R81" s="294">
        <v>40164</v>
      </c>
      <c r="S81" s="294">
        <v>5405.6637228825584</v>
      </c>
      <c r="T81" s="294">
        <v>3271.2515159999998</v>
      </c>
      <c r="U81" s="294">
        <v>334819</v>
      </c>
      <c r="V81" s="294">
        <v>28471.658102911049</v>
      </c>
      <c r="W81" s="294">
        <v>17229.698240000002</v>
      </c>
      <c r="X81" s="294">
        <v>245233</v>
      </c>
      <c r="Y81" s="294">
        <v>20708.435088196551</v>
      </c>
      <c r="Z81" s="294">
        <v>12531.763563</v>
      </c>
      <c r="AA81" s="294">
        <v>580052</v>
      </c>
      <c r="AB81" s="294">
        <v>49180.093191107597</v>
      </c>
      <c r="AC81" s="275">
        <v>29761.461802999998</v>
      </c>
    </row>
    <row r="82" spans="2:29" hidden="1" outlineLevel="1" x14ac:dyDescent="0.25">
      <c r="B82" s="291">
        <v>41275</v>
      </c>
      <c r="C82" s="294">
        <v>316102</v>
      </c>
      <c r="D82" s="294">
        <v>24998.846203190449</v>
      </c>
      <c r="E82" s="294">
        <v>15155.009141</v>
      </c>
      <c r="F82" s="294">
        <v>230222</v>
      </c>
      <c r="G82" s="294">
        <v>18338.875448704832</v>
      </c>
      <c r="H82" s="294">
        <v>11117.546098000001</v>
      </c>
      <c r="I82" s="294">
        <v>546324</v>
      </c>
      <c r="J82" s="294">
        <v>43337.721651895277</v>
      </c>
      <c r="K82" s="294">
        <v>26272.555239000001</v>
      </c>
      <c r="L82" s="294">
        <v>22998</v>
      </c>
      <c r="M82" s="294">
        <v>3039.1611784356328</v>
      </c>
      <c r="N82" s="294">
        <v>1842.425649</v>
      </c>
      <c r="O82" s="294">
        <v>18080</v>
      </c>
      <c r="P82" s="294">
        <v>2346.5314407994342</v>
      </c>
      <c r="Q82" s="294">
        <v>1422.53387</v>
      </c>
      <c r="R82" s="294">
        <v>41078</v>
      </c>
      <c r="S82" s="294">
        <v>5385.6926192350666</v>
      </c>
      <c r="T82" s="294">
        <v>3264.959519</v>
      </c>
      <c r="U82" s="294">
        <v>339100</v>
      </c>
      <c r="V82" s="294">
        <v>28038.007381626081</v>
      </c>
      <c r="W82" s="294">
        <v>16997.434789999999</v>
      </c>
      <c r="X82" s="294">
        <v>248302</v>
      </c>
      <c r="Y82" s="294">
        <v>20685.406889504258</v>
      </c>
      <c r="Z82" s="294">
        <v>12540.079968</v>
      </c>
      <c r="AA82" s="294">
        <v>587402</v>
      </c>
      <c r="AB82" s="294">
        <v>48723.414271130343</v>
      </c>
      <c r="AC82" s="275">
        <v>29537.514758000001</v>
      </c>
    </row>
    <row r="83" spans="2:29" hidden="1" outlineLevel="1" x14ac:dyDescent="0.25">
      <c r="B83" s="291">
        <v>41306</v>
      </c>
      <c r="C83" s="294">
        <v>318370</v>
      </c>
      <c r="D83" s="294">
        <v>24610.48740381734</v>
      </c>
      <c r="E83" s="294">
        <v>14937.260643</v>
      </c>
      <c r="F83" s="294">
        <v>231652</v>
      </c>
      <c r="G83" s="294">
        <v>18143.898764722951</v>
      </c>
      <c r="H83" s="294">
        <v>11012.384292999999</v>
      </c>
      <c r="I83" s="294">
        <v>550022</v>
      </c>
      <c r="J83" s="294">
        <v>42754.386168540303</v>
      </c>
      <c r="K83" s="294">
        <v>25949.644936000001</v>
      </c>
      <c r="L83" s="294">
        <v>23375</v>
      </c>
      <c r="M83" s="294">
        <v>3069.5970647803929</v>
      </c>
      <c r="N83" s="294">
        <v>1863.082623</v>
      </c>
      <c r="O83" s="294">
        <v>18243</v>
      </c>
      <c r="P83" s="294">
        <v>2338.8580918630428</v>
      </c>
      <c r="Q83" s="294">
        <v>1419.562821</v>
      </c>
      <c r="R83" s="294">
        <v>41618</v>
      </c>
      <c r="S83" s="294">
        <v>5408.4551566434366</v>
      </c>
      <c r="T83" s="294">
        <v>3282.6454440000002</v>
      </c>
      <c r="U83" s="294">
        <v>341745</v>
      </c>
      <c r="V83" s="294">
        <v>27680.084468597739</v>
      </c>
      <c r="W83" s="294">
        <v>16800.343266</v>
      </c>
      <c r="X83" s="294">
        <v>249895</v>
      </c>
      <c r="Y83" s="294">
        <v>20482.756856585991</v>
      </c>
      <c r="Z83" s="294">
        <v>12431.947114000001</v>
      </c>
      <c r="AA83" s="294">
        <v>591640</v>
      </c>
      <c r="AB83" s="294">
        <v>48162.841325183741</v>
      </c>
      <c r="AC83" s="275">
        <v>29232.290379999999</v>
      </c>
    </row>
    <row r="84" spans="2:29" hidden="1" outlineLevel="1" x14ac:dyDescent="0.25">
      <c r="B84" s="291">
        <v>41334</v>
      </c>
      <c r="C84" s="294">
        <v>320652</v>
      </c>
      <c r="D84" s="294">
        <v>24789.59001314787</v>
      </c>
      <c r="E84" s="294">
        <v>15129.817061</v>
      </c>
      <c r="F84" s="294">
        <v>233004</v>
      </c>
      <c r="G84" s="294">
        <v>18244.38096868834</v>
      </c>
      <c r="H84" s="294">
        <v>11135.083166</v>
      </c>
      <c r="I84" s="294">
        <v>553656</v>
      </c>
      <c r="J84" s="294">
        <v>43033.970981836203</v>
      </c>
      <c r="K84" s="294">
        <v>26264.900226999998</v>
      </c>
      <c r="L84" s="294">
        <v>23775</v>
      </c>
      <c r="M84" s="294">
        <v>3092.246782846833</v>
      </c>
      <c r="N84" s="294">
        <v>1887.2893059999999</v>
      </c>
      <c r="O84" s="294">
        <v>18581</v>
      </c>
      <c r="P84" s="294">
        <v>2355.904257691865</v>
      </c>
      <c r="Q84" s="294">
        <v>1437.8777709999999</v>
      </c>
      <c r="R84" s="294">
        <v>42356</v>
      </c>
      <c r="S84" s="294">
        <v>5448.151040538698</v>
      </c>
      <c r="T84" s="294">
        <v>3325.1670770000001</v>
      </c>
      <c r="U84" s="294">
        <v>344427</v>
      </c>
      <c r="V84" s="294">
        <v>27881.836795994699</v>
      </c>
      <c r="W84" s="294">
        <v>17017.106367</v>
      </c>
      <c r="X84" s="294">
        <v>251585</v>
      </c>
      <c r="Y84" s="294">
        <v>20600.285226380209</v>
      </c>
      <c r="Z84" s="294">
        <v>12572.960937</v>
      </c>
      <c r="AA84" s="294">
        <v>596012</v>
      </c>
      <c r="AB84" s="294">
        <v>48482.122022374897</v>
      </c>
      <c r="AC84" s="275">
        <v>29590.067304</v>
      </c>
    </row>
    <row r="85" spans="2:29" hidden="1" outlineLevel="1" x14ac:dyDescent="0.25">
      <c r="B85" s="291">
        <v>41365</v>
      </c>
      <c r="C85" s="294">
        <v>322878</v>
      </c>
      <c r="D85" s="294">
        <v>25049.987418872261</v>
      </c>
      <c r="E85" s="294">
        <v>15261.790779999999</v>
      </c>
      <c r="F85" s="294">
        <v>234782</v>
      </c>
      <c r="G85" s="294">
        <v>18343.486907774641</v>
      </c>
      <c r="H85" s="294">
        <v>11175.832334000001</v>
      </c>
      <c r="I85" s="294">
        <v>557660</v>
      </c>
      <c r="J85" s="294">
        <v>43393.474326646909</v>
      </c>
      <c r="K85" s="294">
        <v>26437.623114000002</v>
      </c>
      <c r="L85" s="294">
        <v>24167</v>
      </c>
      <c r="M85" s="294">
        <v>3134.962941525167</v>
      </c>
      <c r="N85" s="294">
        <v>1909.986928</v>
      </c>
      <c r="O85" s="294">
        <v>18856</v>
      </c>
      <c r="P85" s="294">
        <v>2390.5853837347222</v>
      </c>
      <c r="Q85" s="294">
        <v>1456.4723469999999</v>
      </c>
      <c r="R85" s="294">
        <v>43023</v>
      </c>
      <c r="S85" s="294">
        <v>5525.5483252598897</v>
      </c>
      <c r="T85" s="294">
        <v>3366.4592750000002</v>
      </c>
      <c r="U85" s="294">
        <v>347045</v>
      </c>
      <c r="V85" s="294">
        <v>28184.950360397419</v>
      </c>
      <c r="W85" s="294">
        <v>17171.777708000001</v>
      </c>
      <c r="X85" s="294">
        <v>253638</v>
      </c>
      <c r="Y85" s="294">
        <v>20734.072291509361</v>
      </c>
      <c r="Z85" s="294">
        <v>12632.304681</v>
      </c>
      <c r="AA85" s="294">
        <v>600683</v>
      </c>
      <c r="AB85" s="294">
        <v>48919.022651906787</v>
      </c>
      <c r="AC85" s="275">
        <v>29804.082388999999</v>
      </c>
    </row>
    <row r="86" spans="2:29" hidden="1" outlineLevel="1" x14ac:dyDescent="0.25">
      <c r="B86" s="291">
        <v>41395</v>
      </c>
      <c r="C86" s="294">
        <v>323526</v>
      </c>
      <c r="D86" s="294">
        <v>25013.306942755211</v>
      </c>
      <c r="E86" s="294">
        <v>15231.41418</v>
      </c>
      <c r="F86" s="294">
        <v>234339</v>
      </c>
      <c r="G86" s="294">
        <v>18337.524511567961</v>
      </c>
      <c r="H86" s="294">
        <v>11166.313655</v>
      </c>
      <c r="I86" s="294">
        <v>557865</v>
      </c>
      <c r="J86" s="294">
        <v>43350.831454323183</v>
      </c>
      <c r="K86" s="294">
        <v>26397.727835000002</v>
      </c>
      <c r="L86" s="294">
        <v>25946</v>
      </c>
      <c r="M86" s="294">
        <v>3359.1039405587221</v>
      </c>
      <c r="N86" s="294">
        <v>2045.4673789999999</v>
      </c>
      <c r="O86" s="294">
        <v>20403</v>
      </c>
      <c r="P86" s="294">
        <v>2589.0581365363269</v>
      </c>
      <c r="Q86" s="294">
        <v>1576.561504</v>
      </c>
      <c r="R86" s="294">
        <v>46349</v>
      </c>
      <c r="S86" s="294">
        <v>5948.1620770950494</v>
      </c>
      <c r="T86" s="294">
        <v>3622.028883</v>
      </c>
      <c r="U86" s="294">
        <v>349472</v>
      </c>
      <c r="V86" s="294">
        <v>28372.410883313929</v>
      </c>
      <c r="W86" s="294">
        <v>17276.881559000001</v>
      </c>
      <c r="X86" s="294">
        <v>254742</v>
      </c>
      <c r="Y86" s="294">
        <v>20926.58264810429</v>
      </c>
      <c r="Z86" s="294">
        <v>12742.875158999999</v>
      </c>
      <c r="AA86" s="294">
        <v>604214</v>
      </c>
      <c r="AB86" s="294">
        <v>49298.993531418222</v>
      </c>
      <c r="AC86" s="275">
        <v>30019.756718000001</v>
      </c>
    </row>
    <row r="87" spans="2:29" hidden="1" outlineLevel="1" x14ac:dyDescent="0.25">
      <c r="B87" s="291">
        <v>41426</v>
      </c>
      <c r="C87" s="294">
        <v>325229</v>
      </c>
      <c r="D87" s="294">
        <v>24983.79592241369</v>
      </c>
      <c r="E87" s="294">
        <v>15283.216640000001</v>
      </c>
      <c r="F87" s="294">
        <v>235609</v>
      </c>
      <c r="G87" s="294">
        <v>18321.97165128632</v>
      </c>
      <c r="H87" s="294">
        <v>11208.0111</v>
      </c>
      <c r="I87" s="294">
        <v>560838</v>
      </c>
      <c r="J87" s="294">
        <v>43305.767573700003</v>
      </c>
      <c r="K87" s="294">
        <v>26491.227739999998</v>
      </c>
      <c r="L87" s="294">
        <v>26338</v>
      </c>
      <c r="M87" s="294">
        <v>3403.164814794648</v>
      </c>
      <c r="N87" s="294">
        <v>2081.8015519999999</v>
      </c>
      <c r="O87" s="294">
        <v>20883</v>
      </c>
      <c r="P87" s="294">
        <v>2652.9642826812992</v>
      </c>
      <c r="Q87" s="294">
        <v>1622.8850090000001</v>
      </c>
      <c r="R87" s="294">
        <v>47221</v>
      </c>
      <c r="S87" s="294">
        <v>6056.1290974759468</v>
      </c>
      <c r="T87" s="294">
        <v>3704.686561</v>
      </c>
      <c r="U87" s="294">
        <v>351567</v>
      </c>
      <c r="V87" s="294">
        <v>28386.96073720833</v>
      </c>
      <c r="W87" s="294">
        <v>17365.018192</v>
      </c>
      <c r="X87" s="294">
        <v>256492</v>
      </c>
      <c r="Y87" s="294">
        <v>20974.935933967619</v>
      </c>
      <c r="Z87" s="294">
        <v>12830.896108999999</v>
      </c>
      <c r="AA87" s="294">
        <v>608059</v>
      </c>
      <c r="AB87" s="294">
        <v>49361.896671175949</v>
      </c>
      <c r="AC87" s="275">
        <v>30195.914301000001</v>
      </c>
    </row>
    <row r="88" spans="2:29" hidden="1" outlineLevel="1" x14ac:dyDescent="0.25">
      <c r="B88" s="291">
        <v>41456</v>
      </c>
      <c r="C88" s="294">
        <v>327498</v>
      </c>
      <c r="D88" s="294">
        <v>25553.813509677679</v>
      </c>
      <c r="E88" s="294">
        <v>15640.3174</v>
      </c>
      <c r="F88" s="294">
        <v>237441</v>
      </c>
      <c r="G88" s="294">
        <v>18778.019328937949</v>
      </c>
      <c r="H88" s="294">
        <v>11493.164507</v>
      </c>
      <c r="I88" s="294">
        <v>564939</v>
      </c>
      <c r="J88" s="294">
        <v>44331.832838615643</v>
      </c>
      <c r="K88" s="294">
        <v>27133.481907000001</v>
      </c>
      <c r="L88" s="294">
        <v>26760</v>
      </c>
      <c r="M88" s="294">
        <v>3469.4182060425928</v>
      </c>
      <c r="N88" s="294">
        <v>2123.471783</v>
      </c>
      <c r="O88" s="294">
        <v>21252</v>
      </c>
      <c r="P88" s="294">
        <v>2695.6214851709378</v>
      </c>
      <c r="Q88" s="294">
        <v>1649.866295</v>
      </c>
      <c r="R88" s="294">
        <v>48012</v>
      </c>
      <c r="S88" s="294">
        <v>6165.0396912135311</v>
      </c>
      <c r="T88" s="294">
        <v>3773.3380780000002</v>
      </c>
      <c r="U88" s="294">
        <v>354258</v>
      </c>
      <c r="V88" s="294">
        <v>29023.231715720271</v>
      </c>
      <c r="W88" s="294">
        <v>17763.789183000001</v>
      </c>
      <c r="X88" s="294">
        <v>258693</v>
      </c>
      <c r="Y88" s="294">
        <v>21473.64081410889</v>
      </c>
      <c r="Z88" s="294">
        <v>13143.030801999999</v>
      </c>
      <c r="AA88" s="294">
        <v>612951</v>
      </c>
      <c r="AB88" s="294">
        <v>50496.872529829183</v>
      </c>
      <c r="AC88" s="275">
        <v>30906.819984999998</v>
      </c>
    </row>
    <row r="89" spans="2:29" hidden="1" outlineLevel="1" x14ac:dyDescent="0.25">
      <c r="B89" s="291">
        <v>41487</v>
      </c>
      <c r="C89" s="294">
        <v>329632</v>
      </c>
      <c r="D89" s="294">
        <v>26159.76602660953</v>
      </c>
      <c r="E89" s="294">
        <v>16056.738143</v>
      </c>
      <c r="F89" s="294">
        <v>239444</v>
      </c>
      <c r="G89" s="294">
        <v>19243.289263574879</v>
      </c>
      <c r="H89" s="294">
        <v>11811.438083999999</v>
      </c>
      <c r="I89" s="294">
        <v>569076</v>
      </c>
      <c r="J89" s="294">
        <v>45403.055290184413</v>
      </c>
      <c r="K89" s="294">
        <v>27868.176227</v>
      </c>
      <c r="L89" s="294">
        <v>27306</v>
      </c>
      <c r="M89" s="294">
        <v>3542.2890382771138</v>
      </c>
      <c r="N89" s="294">
        <v>2174.2399169999999</v>
      </c>
      <c r="O89" s="294">
        <v>21757</v>
      </c>
      <c r="P89" s="294">
        <v>2776.2373408502149</v>
      </c>
      <c r="Q89" s="294">
        <v>1704.041082</v>
      </c>
      <c r="R89" s="294">
        <v>49063</v>
      </c>
      <c r="S89" s="294">
        <v>6318.5263791273292</v>
      </c>
      <c r="T89" s="294">
        <v>3878.2809990000001</v>
      </c>
      <c r="U89" s="294">
        <v>356938</v>
      </c>
      <c r="V89" s="294">
        <v>29702.055064886641</v>
      </c>
      <c r="W89" s="294">
        <v>18230.978060000001</v>
      </c>
      <c r="X89" s="294">
        <v>261201</v>
      </c>
      <c r="Y89" s="294">
        <v>22019.5266044251</v>
      </c>
      <c r="Z89" s="294">
        <v>13515.479165999999</v>
      </c>
      <c r="AA89" s="294">
        <v>618139</v>
      </c>
      <c r="AB89" s="294">
        <v>51721.581669311738</v>
      </c>
      <c r="AC89" s="275">
        <v>31746.457225999999</v>
      </c>
    </row>
    <row r="90" spans="2:29" hidden="1" outlineLevel="1" x14ac:dyDescent="0.25">
      <c r="B90" s="291">
        <v>41518</v>
      </c>
      <c r="C90" s="294">
        <v>331319</v>
      </c>
      <c r="D90" s="294">
        <v>26629.358072125669</v>
      </c>
      <c r="E90" s="294">
        <v>16424.761710999999</v>
      </c>
      <c r="F90" s="294">
        <v>241073</v>
      </c>
      <c r="G90" s="294">
        <v>19659.08122238567</v>
      </c>
      <c r="H90" s="294">
        <v>12125.554196999999</v>
      </c>
      <c r="I90" s="294">
        <v>572392</v>
      </c>
      <c r="J90" s="294">
        <v>46288.43929451135</v>
      </c>
      <c r="K90" s="294">
        <v>28550.315908</v>
      </c>
      <c r="L90" s="294">
        <v>28726</v>
      </c>
      <c r="M90" s="294">
        <v>3825.4715244325421</v>
      </c>
      <c r="N90" s="294">
        <v>2359.5183200000001</v>
      </c>
      <c r="O90" s="294">
        <v>22887</v>
      </c>
      <c r="P90" s="294">
        <v>2997.6024196402382</v>
      </c>
      <c r="Q90" s="294">
        <v>1848.8956929999999</v>
      </c>
      <c r="R90" s="294">
        <v>51613</v>
      </c>
      <c r="S90" s="294">
        <v>6823.0739440727793</v>
      </c>
      <c r="T90" s="294">
        <v>4208.4140129999996</v>
      </c>
      <c r="U90" s="294">
        <v>360045</v>
      </c>
      <c r="V90" s="294">
        <v>30454.829596558211</v>
      </c>
      <c r="W90" s="294">
        <v>18784.280030999998</v>
      </c>
      <c r="X90" s="294">
        <v>263960</v>
      </c>
      <c r="Y90" s="294">
        <v>22656.68364202591</v>
      </c>
      <c r="Z90" s="294">
        <v>13974.44989</v>
      </c>
      <c r="AA90" s="294">
        <v>624005</v>
      </c>
      <c r="AB90" s="294">
        <v>53111.513238584128</v>
      </c>
      <c r="AC90" s="275">
        <v>32758.729920999998</v>
      </c>
    </row>
    <row r="91" spans="2:29" hidden="1" outlineLevel="1" x14ac:dyDescent="0.25">
      <c r="B91" s="291">
        <v>41548</v>
      </c>
      <c r="C91" s="294">
        <v>333585</v>
      </c>
      <c r="D91" s="294">
        <v>26726.202368356451</v>
      </c>
      <c r="E91" s="294">
        <v>16533.519283000001</v>
      </c>
      <c r="F91" s="294">
        <v>242881</v>
      </c>
      <c r="G91" s="294">
        <v>19682.02067326711</v>
      </c>
      <c r="H91" s="294">
        <v>12175.806493</v>
      </c>
      <c r="I91" s="294">
        <v>576466</v>
      </c>
      <c r="J91" s="294">
        <v>46408.223041623562</v>
      </c>
      <c r="K91" s="294">
        <v>28709.325776000001</v>
      </c>
      <c r="L91" s="294">
        <v>29640</v>
      </c>
      <c r="M91" s="294">
        <v>4067.2686292962298</v>
      </c>
      <c r="N91" s="294">
        <v>2516.1174559999999</v>
      </c>
      <c r="O91" s="294">
        <v>23639</v>
      </c>
      <c r="P91" s="294">
        <v>3118.1800157256898</v>
      </c>
      <c r="Q91" s="294">
        <v>1928.986719</v>
      </c>
      <c r="R91" s="294">
        <v>53279</v>
      </c>
      <c r="S91" s="294">
        <v>7185.448645021921</v>
      </c>
      <c r="T91" s="294">
        <v>4445.1041750000004</v>
      </c>
      <c r="U91" s="294">
        <v>363225</v>
      </c>
      <c r="V91" s="294">
        <v>30793.470997652679</v>
      </c>
      <c r="W91" s="294">
        <v>19049.636739000001</v>
      </c>
      <c r="X91" s="294">
        <v>266520</v>
      </c>
      <c r="Y91" s="294">
        <v>22800.200688992809</v>
      </c>
      <c r="Z91" s="294">
        <v>14104.793212</v>
      </c>
      <c r="AA91" s="294">
        <v>629745</v>
      </c>
      <c r="AB91" s="294">
        <v>53593.671686645481</v>
      </c>
      <c r="AC91" s="275">
        <v>33154.429950999998</v>
      </c>
    </row>
    <row r="92" spans="2:29" hidden="1" outlineLevel="1" x14ac:dyDescent="0.25">
      <c r="B92" s="291">
        <v>41579</v>
      </c>
      <c r="C92" s="294">
        <v>336778</v>
      </c>
      <c r="D92" s="294">
        <v>27006.843545315831</v>
      </c>
      <c r="E92" s="294">
        <v>16747.936438000001</v>
      </c>
      <c r="F92" s="294">
        <v>245366</v>
      </c>
      <c r="G92" s="294">
        <v>19820.404858367769</v>
      </c>
      <c r="H92" s="294">
        <v>12291.361639000001</v>
      </c>
      <c r="I92" s="294">
        <v>582144</v>
      </c>
      <c r="J92" s="294">
        <v>46827.248403683603</v>
      </c>
      <c r="K92" s="294">
        <v>29039.298076999999</v>
      </c>
      <c r="L92" s="294">
        <v>30000</v>
      </c>
      <c r="M92" s="294">
        <v>3937.341142839894</v>
      </c>
      <c r="N92" s="294">
        <v>2441.689977</v>
      </c>
      <c r="O92" s="294">
        <v>23904</v>
      </c>
      <c r="P92" s="294">
        <v>3071.1986946583811</v>
      </c>
      <c r="Q92" s="294">
        <v>1904.563206</v>
      </c>
      <c r="R92" s="294">
        <v>53904</v>
      </c>
      <c r="S92" s="294">
        <v>7008.5398374982742</v>
      </c>
      <c r="T92" s="294">
        <v>4346.2531829999998</v>
      </c>
      <c r="U92" s="294">
        <v>366778</v>
      </c>
      <c r="V92" s="294">
        <v>30944.184688155729</v>
      </c>
      <c r="W92" s="294">
        <v>19189.626414999999</v>
      </c>
      <c r="X92" s="294">
        <v>269270</v>
      </c>
      <c r="Y92" s="294">
        <v>22891.603553026151</v>
      </c>
      <c r="Z92" s="294">
        <v>14195.924845</v>
      </c>
      <c r="AA92" s="294">
        <v>636048</v>
      </c>
      <c r="AB92" s="294">
        <v>53835.788241181879</v>
      </c>
      <c r="AC92" s="275">
        <v>33385.55126</v>
      </c>
    </row>
    <row r="93" spans="2:29" collapsed="1" x14ac:dyDescent="0.25">
      <c r="B93" s="291">
        <v>41609</v>
      </c>
      <c r="C93" s="294">
        <v>339536</v>
      </c>
      <c r="D93" s="294">
        <v>27159.078439582328</v>
      </c>
      <c r="E93" s="294">
        <v>16901.835812000001</v>
      </c>
      <c r="F93" s="294">
        <v>247347</v>
      </c>
      <c r="G93" s="294">
        <v>19900.449267391519</v>
      </c>
      <c r="H93" s="294">
        <v>12384.592756</v>
      </c>
      <c r="I93" s="294">
        <v>586883</v>
      </c>
      <c r="J93" s="294">
        <v>47059.527706973851</v>
      </c>
      <c r="K93" s="294">
        <v>29286.428567999999</v>
      </c>
      <c r="L93" s="294">
        <v>30254</v>
      </c>
      <c r="M93" s="294">
        <v>3926.6109003885972</v>
      </c>
      <c r="N93" s="294">
        <v>2443.6371389999999</v>
      </c>
      <c r="O93" s="294">
        <v>24221</v>
      </c>
      <c r="P93" s="294">
        <v>3086.9744623833099</v>
      </c>
      <c r="Q93" s="294">
        <v>1921.1084659999999</v>
      </c>
      <c r="R93" s="294">
        <v>54475</v>
      </c>
      <c r="S93" s="294">
        <v>7013.585362771908</v>
      </c>
      <c r="T93" s="294">
        <v>4364.7456050000001</v>
      </c>
      <c r="U93" s="294">
        <v>369790</v>
      </c>
      <c r="V93" s="294">
        <v>31085.68933997093</v>
      </c>
      <c r="W93" s="294">
        <v>19345.472951</v>
      </c>
      <c r="X93" s="294">
        <v>271568</v>
      </c>
      <c r="Y93" s="294">
        <v>22987.42372977483</v>
      </c>
      <c r="Z93" s="294">
        <v>14305.701222</v>
      </c>
      <c r="AA93" s="294">
        <v>641358</v>
      </c>
      <c r="AB93" s="294">
        <v>54073.113069745763</v>
      </c>
      <c r="AC93" s="275">
        <v>33651.174172999999</v>
      </c>
    </row>
    <row r="94" spans="2:29" hidden="1" outlineLevel="1" x14ac:dyDescent="0.25">
      <c r="B94" s="291">
        <v>41640</v>
      </c>
      <c r="C94" s="294">
        <v>343977</v>
      </c>
      <c r="D94" s="294">
        <v>27296.32981017667</v>
      </c>
      <c r="E94" s="294">
        <v>17017.659095999999</v>
      </c>
      <c r="F94" s="294">
        <v>250199</v>
      </c>
      <c r="G94" s="294">
        <v>19930.011221065299</v>
      </c>
      <c r="H94" s="294">
        <v>12425.191924999999</v>
      </c>
      <c r="I94" s="294">
        <v>594176</v>
      </c>
      <c r="J94" s="294">
        <v>47226.341031241973</v>
      </c>
      <c r="K94" s="294">
        <v>29442.851020999999</v>
      </c>
      <c r="L94" s="294">
        <v>30730</v>
      </c>
      <c r="M94" s="294">
        <v>3996.6896819820231</v>
      </c>
      <c r="N94" s="294">
        <v>2491.7013750000001</v>
      </c>
      <c r="O94" s="294">
        <v>24692</v>
      </c>
      <c r="P94" s="294">
        <v>3155.2938896508808</v>
      </c>
      <c r="Q94" s="294">
        <v>1967.140496</v>
      </c>
      <c r="R94" s="294">
        <v>55422</v>
      </c>
      <c r="S94" s="294">
        <v>7151.9835716329026</v>
      </c>
      <c r="T94" s="294">
        <v>4458.8418709999996</v>
      </c>
      <c r="U94" s="294">
        <v>374707</v>
      </c>
      <c r="V94" s="294">
        <v>31293.019492158699</v>
      </c>
      <c r="W94" s="294">
        <v>19509.360471</v>
      </c>
      <c r="X94" s="294">
        <v>274891</v>
      </c>
      <c r="Y94" s="294">
        <v>23085.305110716181</v>
      </c>
      <c r="Z94" s="294">
        <v>14392.332420999999</v>
      </c>
      <c r="AA94" s="294">
        <v>649598</v>
      </c>
      <c r="AB94" s="294">
        <v>54378.324602874884</v>
      </c>
      <c r="AC94" s="275">
        <v>33901.692891999999</v>
      </c>
    </row>
    <row r="95" spans="2:29" hidden="1" outlineLevel="1" x14ac:dyDescent="0.25">
      <c r="B95" s="291">
        <v>41671</v>
      </c>
      <c r="C95" s="294">
        <v>345030</v>
      </c>
      <c r="D95" s="294">
        <v>26959.41699554136</v>
      </c>
      <c r="E95" s="294">
        <v>16889.411189999999</v>
      </c>
      <c r="F95" s="294">
        <v>250279</v>
      </c>
      <c r="G95" s="294">
        <v>19805.528224361791</v>
      </c>
      <c r="H95" s="294">
        <v>12407.675955000001</v>
      </c>
      <c r="I95" s="294">
        <v>595309</v>
      </c>
      <c r="J95" s="294">
        <v>46764.945219903151</v>
      </c>
      <c r="K95" s="294">
        <v>29297.087145000001</v>
      </c>
      <c r="L95" s="294">
        <v>31813</v>
      </c>
      <c r="M95" s="294">
        <v>4223.9774694830367</v>
      </c>
      <c r="N95" s="294">
        <v>2646.2179190000002</v>
      </c>
      <c r="O95" s="294">
        <v>25927</v>
      </c>
      <c r="P95" s="294">
        <v>3332.4896077509829</v>
      </c>
      <c r="Q95" s="294">
        <v>2087.7227160000002</v>
      </c>
      <c r="R95" s="294">
        <v>57740</v>
      </c>
      <c r="S95" s="294">
        <v>7556.4670772340196</v>
      </c>
      <c r="T95" s="294">
        <v>4733.9406349999999</v>
      </c>
      <c r="U95" s="294">
        <v>376843</v>
      </c>
      <c r="V95" s="294">
        <v>31183.39446502439</v>
      </c>
      <c r="W95" s="294">
        <v>19535.629109000001</v>
      </c>
      <c r="X95" s="294">
        <v>276206</v>
      </c>
      <c r="Y95" s="294">
        <v>23138.017832112779</v>
      </c>
      <c r="Z95" s="294">
        <v>14495.398671000001</v>
      </c>
      <c r="AA95" s="294">
        <v>653049</v>
      </c>
      <c r="AB95" s="294">
        <v>54321.412297137169</v>
      </c>
      <c r="AC95" s="275">
        <v>34031.027779999997</v>
      </c>
    </row>
    <row r="96" spans="2:29" hidden="1" outlineLevel="1" x14ac:dyDescent="0.25">
      <c r="B96" s="291">
        <v>41699</v>
      </c>
      <c r="C96" s="294">
        <v>347209</v>
      </c>
      <c r="D96" s="294">
        <v>26927.34199061057</v>
      </c>
      <c r="E96" s="294">
        <v>17010.565615</v>
      </c>
      <c r="F96" s="294">
        <v>251731</v>
      </c>
      <c r="G96" s="294">
        <v>19773.723882658571</v>
      </c>
      <c r="H96" s="294">
        <v>12491.475307000001</v>
      </c>
      <c r="I96" s="294">
        <v>598940</v>
      </c>
      <c r="J96" s="294">
        <v>46701.065873269137</v>
      </c>
      <c r="K96" s="294">
        <v>29502.040922</v>
      </c>
      <c r="L96" s="294">
        <v>32148</v>
      </c>
      <c r="M96" s="294">
        <v>4222.8525447851307</v>
      </c>
      <c r="N96" s="294">
        <v>2667.6643509999999</v>
      </c>
      <c r="O96" s="294">
        <v>26144</v>
      </c>
      <c r="P96" s="294">
        <v>3314.8505573311509</v>
      </c>
      <c r="Q96" s="294">
        <v>2094.0604880000001</v>
      </c>
      <c r="R96" s="294">
        <v>58292</v>
      </c>
      <c r="S96" s="294">
        <v>7537.703102116282</v>
      </c>
      <c r="T96" s="294">
        <v>4761.7248390000004</v>
      </c>
      <c r="U96" s="294">
        <v>379357</v>
      </c>
      <c r="V96" s="294">
        <v>31150.194535395702</v>
      </c>
      <c r="W96" s="294">
        <v>19678.229965999999</v>
      </c>
      <c r="X96" s="294">
        <v>277875</v>
      </c>
      <c r="Y96" s="294">
        <v>23088.574439989719</v>
      </c>
      <c r="Z96" s="294">
        <v>14585.535795</v>
      </c>
      <c r="AA96" s="294">
        <v>657232</v>
      </c>
      <c r="AB96" s="294">
        <v>54238.768975385421</v>
      </c>
      <c r="AC96" s="275">
        <v>34263.765761000002</v>
      </c>
    </row>
    <row r="97" spans="2:29" hidden="1" outlineLevel="1" x14ac:dyDescent="0.25">
      <c r="B97" s="291">
        <v>41730</v>
      </c>
      <c r="C97" s="294">
        <v>348949</v>
      </c>
      <c r="D97" s="294">
        <v>26821.801271709792</v>
      </c>
      <c r="E97" s="294">
        <v>17049.109342</v>
      </c>
      <c r="F97" s="294">
        <v>253310</v>
      </c>
      <c r="G97" s="294">
        <v>19760.95048181701</v>
      </c>
      <c r="H97" s="294">
        <v>12560.923930999999</v>
      </c>
      <c r="I97" s="294">
        <v>602259</v>
      </c>
      <c r="J97" s="294">
        <v>46582.751753526798</v>
      </c>
      <c r="K97" s="294">
        <v>29610.033273000001</v>
      </c>
      <c r="L97" s="294">
        <v>32204</v>
      </c>
      <c r="M97" s="294">
        <v>4110.3667538038817</v>
      </c>
      <c r="N97" s="294">
        <v>2612.7287839999999</v>
      </c>
      <c r="O97" s="294">
        <v>26100</v>
      </c>
      <c r="P97" s="294">
        <v>3245.4642903570002</v>
      </c>
      <c r="Q97" s="294">
        <v>2062.958971</v>
      </c>
      <c r="R97" s="294">
        <v>58304</v>
      </c>
      <c r="S97" s="294">
        <v>7355.8310441608819</v>
      </c>
      <c r="T97" s="294">
        <v>4675.6877549999999</v>
      </c>
      <c r="U97" s="294">
        <v>381153</v>
      </c>
      <c r="V97" s="294">
        <v>30932.168025513671</v>
      </c>
      <c r="W97" s="294">
        <v>19661.838125999999</v>
      </c>
      <c r="X97" s="294">
        <v>279410</v>
      </c>
      <c r="Y97" s="294">
        <v>23006.414772174001</v>
      </c>
      <c r="Z97" s="294">
        <v>14623.882901999999</v>
      </c>
      <c r="AA97" s="294">
        <v>660563</v>
      </c>
      <c r="AB97" s="294">
        <v>53938.582797687683</v>
      </c>
      <c r="AC97" s="275">
        <v>34285.721028</v>
      </c>
    </row>
    <row r="98" spans="2:29" hidden="1" outlineLevel="1" x14ac:dyDescent="0.25">
      <c r="B98" s="291">
        <v>41760</v>
      </c>
      <c r="C98" s="294">
        <v>350968</v>
      </c>
      <c r="D98" s="294">
        <v>26966.177142681019</v>
      </c>
      <c r="E98" s="294">
        <v>17198.754387000001</v>
      </c>
      <c r="F98" s="294">
        <v>254716</v>
      </c>
      <c r="G98" s="294">
        <v>19814.71055971217</v>
      </c>
      <c r="H98" s="294">
        <v>12637.621504999999</v>
      </c>
      <c r="I98" s="294">
        <v>605684</v>
      </c>
      <c r="J98" s="294">
        <v>46780.887702393193</v>
      </c>
      <c r="K98" s="294">
        <v>29836.375892</v>
      </c>
      <c r="L98" s="294">
        <v>32394</v>
      </c>
      <c r="M98" s="294">
        <v>4126.5841816713128</v>
      </c>
      <c r="N98" s="294">
        <v>2631.8935540000002</v>
      </c>
      <c r="O98" s="294">
        <v>26240</v>
      </c>
      <c r="P98" s="294">
        <v>3251.8752209118111</v>
      </c>
      <c r="Q98" s="294">
        <v>2074.0130469999999</v>
      </c>
      <c r="R98" s="294">
        <v>58634</v>
      </c>
      <c r="S98" s="294">
        <v>7378.4594025831229</v>
      </c>
      <c r="T98" s="294">
        <v>4705.9066009999997</v>
      </c>
      <c r="U98" s="294">
        <v>383362</v>
      </c>
      <c r="V98" s="294">
        <v>31092.76132435233</v>
      </c>
      <c r="W98" s="294">
        <v>19830.647940999999</v>
      </c>
      <c r="X98" s="294">
        <v>280956</v>
      </c>
      <c r="Y98" s="294">
        <v>23066.58578062398</v>
      </c>
      <c r="Z98" s="294">
        <v>14711.634552</v>
      </c>
      <c r="AA98" s="294">
        <v>664318</v>
      </c>
      <c r="AB98" s="294">
        <v>54159.347104976317</v>
      </c>
      <c r="AC98" s="275">
        <v>34542.282492999999</v>
      </c>
    </row>
    <row r="99" spans="2:29" hidden="1" outlineLevel="1" x14ac:dyDescent="0.25">
      <c r="B99" s="291">
        <v>41791</v>
      </c>
      <c r="C99" s="294">
        <v>353222</v>
      </c>
      <c r="D99" s="294">
        <v>27516.714488119851</v>
      </c>
      <c r="E99" s="294">
        <v>17558.967080999999</v>
      </c>
      <c r="F99" s="294">
        <v>256647</v>
      </c>
      <c r="G99" s="294">
        <v>20278.242567548059</v>
      </c>
      <c r="H99" s="294">
        <v>12939.953055</v>
      </c>
      <c r="I99" s="294">
        <v>609869</v>
      </c>
      <c r="J99" s="294">
        <v>47794.957055667917</v>
      </c>
      <c r="K99" s="294">
        <v>30498.920136000001</v>
      </c>
      <c r="L99" s="294">
        <v>32788</v>
      </c>
      <c r="M99" s="294">
        <v>4215.2873649065996</v>
      </c>
      <c r="N99" s="294">
        <v>2689.8593620000001</v>
      </c>
      <c r="O99" s="294">
        <v>26540</v>
      </c>
      <c r="P99" s="294">
        <v>3288.9647868157858</v>
      </c>
      <c r="Q99" s="294">
        <v>2098.7543569999998</v>
      </c>
      <c r="R99" s="294">
        <v>59328</v>
      </c>
      <c r="S99" s="294">
        <v>7504.2521517223868</v>
      </c>
      <c r="T99" s="294">
        <v>4788.6137189999999</v>
      </c>
      <c r="U99" s="294">
        <v>386010</v>
      </c>
      <c r="V99" s="294">
        <v>31732.001853026461</v>
      </c>
      <c r="W99" s="294">
        <v>20248.826443000002</v>
      </c>
      <c r="X99" s="294">
        <v>283187</v>
      </c>
      <c r="Y99" s="294">
        <v>23567.20735436384</v>
      </c>
      <c r="Z99" s="294">
        <v>15038.707412</v>
      </c>
      <c r="AA99" s="294">
        <v>669197</v>
      </c>
      <c r="AB99" s="294">
        <v>55299.209207390297</v>
      </c>
      <c r="AC99" s="275">
        <v>35287.533855000001</v>
      </c>
    </row>
    <row r="100" spans="2:29" hidden="1" outlineLevel="1" x14ac:dyDescent="0.25">
      <c r="B100" s="291">
        <v>41821</v>
      </c>
      <c r="C100" s="294">
        <v>355536</v>
      </c>
      <c r="D100" s="294">
        <v>28191.811399994469</v>
      </c>
      <c r="E100" s="294">
        <v>18031.541399000002</v>
      </c>
      <c r="F100" s="294">
        <v>259553</v>
      </c>
      <c r="G100" s="294">
        <v>21176.612545309439</v>
      </c>
      <c r="H100" s="294">
        <v>13544.605573000001</v>
      </c>
      <c r="I100" s="294">
        <v>615089</v>
      </c>
      <c r="J100" s="294">
        <v>49368.423945303897</v>
      </c>
      <c r="K100" s="294">
        <v>31576.146971999999</v>
      </c>
      <c r="L100" s="294">
        <v>33848</v>
      </c>
      <c r="M100" s="294">
        <v>4505.4028715166714</v>
      </c>
      <c r="N100" s="294">
        <v>2881.665078</v>
      </c>
      <c r="O100" s="294">
        <v>27793</v>
      </c>
      <c r="P100" s="294">
        <v>3586.8204353011351</v>
      </c>
      <c r="Q100" s="294">
        <v>2294.137835</v>
      </c>
      <c r="R100" s="294">
        <v>61641</v>
      </c>
      <c r="S100" s="294">
        <v>8092.2233068178066</v>
      </c>
      <c r="T100" s="294">
        <v>5175.8029130000004</v>
      </c>
      <c r="U100" s="294">
        <v>389384</v>
      </c>
      <c r="V100" s="294">
        <v>32697.21427151114</v>
      </c>
      <c r="W100" s="294">
        <v>20913.206477</v>
      </c>
      <c r="X100" s="294">
        <v>287346</v>
      </c>
      <c r="Y100" s="294">
        <v>24763.432980610582</v>
      </c>
      <c r="Z100" s="294">
        <v>15838.743408</v>
      </c>
      <c r="AA100" s="294">
        <v>676730</v>
      </c>
      <c r="AB100" s="294">
        <v>57460.647252121707</v>
      </c>
      <c r="AC100" s="275">
        <v>36751.949885000002</v>
      </c>
    </row>
    <row r="101" spans="2:29" hidden="1" outlineLevel="1" x14ac:dyDescent="0.25">
      <c r="B101" s="291">
        <v>41852</v>
      </c>
      <c r="C101" s="294">
        <v>357619</v>
      </c>
      <c r="D101" s="294">
        <v>29633.06499315182</v>
      </c>
      <c r="E101" s="294">
        <v>19014.906999999999</v>
      </c>
      <c r="F101" s="294">
        <v>261086</v>
      </c>
      <c r="G101" s="294">
        <v>21729.576384078089</v>
      </c>
      <c r="H101" s="294">
        <v>13943.406602999999</v>
      </c>
      <c r="I101" s="294">
        <v>618705</v>
      </c>
      <c r="J101" s="294">
        <v>51362.64137722992</v>
      </c>
      <c r="K101" s="294">
        <v>32958.313603000002</v>
      </c>
      <c r="L101" s="294">
        <v>34057</v>
      </c>
      <c r="M101" s="294">
        <v>4473.311250492422</v>
      </c>
      <c r="N101" s="294">
        <v>2870.4286050000001</v>
      </c>
      <c r="O101" s="294">
        <v>28023</v>
      </c>
      <c r="P101" s="294">
        <v>3586.5290405128239</v>
      </c>
      <c r="Q101" s="294">
        <v>2301.3993380000002</v>
      </c>
      <c r="R101" s="294">
        <v>62080</v>
      </c>
      <c r="S101" s="294">
        <v>8059.8402910052464</v>
      </c>
      <c r="T101" s="294">
        <v>5171.8279430000002</v>
      </c>
      <c r="U101" s="294">
        <v>391676</v>
      </c>
      <c r="V101" s="294">
        <v>34106.376243644241</v>
      </c>
      <c r="W101" s="294">
        <v>21885.335605</v>
      </c>
      <c r="X101" s="294">
        <v>289109</v>
      </c>
      <c r="Y101" s="294">
        <v>25316.105424590922</v>
      </c>
      <c r="Z101" s="294">
        <v>16244.805941000001</v>
      </c>
      <c r="AA101" s="294">
        <v>680785</v>
      </c>
      <c r="AB101" s="294">
        <v>59422.481668235167</v>
      </c>
      <c r="AC101" s="275">
        <v>38130.141545999999</v>
      </c>
    </row>
    <row r="102" spans="2:29" hidden="1" outlineLevel="1" x14ac:dyDescent="0.25">
      <c r="B102" s="291">
        <v>41883</v>
      </c>
      <c r="C102" s="294">
        <v>360197</v>
      </c>
      <c r="D102" s="294">
        <v>29797.306104998261</v>
      </c>
      <c r="E102" s="294">
        <v>19280.307315999999</v>
      </c>
      <c r="F102" s="294">
        <v>262411</v>
      </c>
      <c r="G102" s="294">
        <v>21771.7579208059</v>
      </c>
      <c r="H102" s="294">
        <v>14087.387029</v>
      </c>
      <c r="I102" s="294">
        <v>622608</v>
      </c>
      <c r="J102" s="294">
        <v>51569.064025804168</v>
      </c>
      <c r="K102" s="294">
        <v>33367.694345000004</v>
      </c>
      <c r="L102" s="294">
        <v>34152</v>
      </c>
      <c r="M102" s="294">
        <v>4403.3828095073313</v>
      </c>
      <c r="N102" s="294">
        <v>2849.2029950000001</v>
      </c>
      <c r="O102" s="294">
        <v>28113</v>
      </c>
      <c r="P102" s="294">
        <v>3520.1540701980521</v>
      </c>
      <c r="Q102" s="294">
        <v>2277.7110130000001</v>
      </c>
      <c r="R102" s="294">
        <v>62265</v>
      </c>
      <c r="S102" s="294">
        <v>7923.5368797053816</v>
      </c>
      <c r="T102" s="294">
        <v>5126.9140079999997</v>
      </c>
      <c r="U102" s="294">
        <v>394349</v>
      </c>
      <c r="V102" s="294">
        <v>34200.68891450559</v>
      </c>
      <c r="W102" s="294">
        <v>22129.510310999998</v>
      </c>
      <c r="X102" s="294">
        <v>290524</v>
      </c>
      <c r="Y102" s="294">
        <v>25291.911991003959</v>
      </c>
      <c r="Z102" s="294">
        <v>16365.098042</v>
      </c>
      <c r="AA102" s="294">
        <v>684873</v>
      </c>
      <c r="AB102" s="294">
        <v>59492.600905509556</v>
      </c>
      <c r="AC102" s="275">
        <v>38494.608353000003</v>
      </c>
    </row>
    <row r="103" spans="2:29" hidden="1" outlineLevel="1" x14ac:dyDescent="0.25">
      <c r="B103" s="291">
        <v>41913</v>
      </c>
      <c r="C103" s="294">
        <v>362823</v>
      </c>
      <c r="D103" s="294">
        <v>29720.930805566059</v>
      </c>
      <c r="E103" s="294">
        <v>19431.06914</v>
      </c>
      <c r="F103" s="294">
        <v>264197</v>
      </c>
      <c r="G103" s="294">
        <v>21644.568178209702</v>
      </c>
      <c r="H103" s="294">
        <v>14150.872445000001</v>
      </c>
      <c r="I103" s="294">
        <v>627020</v>
      </c>
      <c r="J103" s="294">
        <v>51365.49898377576</v>
      </c>
      <c r="K103" s="294">
        <v>33581.941585</v>
      </c>
      <c r="L103" s="294">
        <v>34073</v>
      </c>
      <c r="M103" s="294">
        <v>4378.914546964108</v>
      </c>
      <c r="N103" s="294">
        <v>2862.8642850000001</v>
      </c>
      <c r="O103" s="294">
        <v>27992</v>
      </c>
      <c r="P103" s="294">
        <v>3508.463754875334</v>
      </c>
      <c r="Q103" s="294">
        <v>2293.7774810000001</v>
      </c>
      <c r="R103" s="294">
        <v>62065</v>
      </c>
      <c r="S103" s="294">
        <v>7887.3783018394424</v>
      </c>
      <c r="T103" s="294">
        <v>5156.6417659999997</v>
      </c>
      <c r="U103" s="294">
        <v>396896</v>
      </c>
      <c r="V103" s="294">
        <v>34099.845352530167</v>
      </c>
      <c r="W103" s="294">
        <v>22293.933424999999</v>
      </c>
      <c r="X103" s="294">
        <v>292189</v>
      </c>
      <c r="Y103" s="294">
        <v>25153.031933085029</v>
      </c>
      <c r="Z103" s="294">
        <v>16444.649925999998</v>
      </c>
      <c r="AA103" s="294">
        <v>689085</v>
      </c>
      <c r="AB103" s="294">
        <v>59252.877285615199</v>
      </c>
      <c r="AC103" s="275">
        <v>38738.583351000001</v>
      </c>
    </row>
    <row r="104" spans="2:29" hidden="1" outlineLevel="1" x14ac:dyDescent="0.25">
      <c r="B104" s="291">
        <v>41944</v>
      </c>
      <c r="C104" s="294">
        <v>364650</v>
      </c>
      <c r="D104" s="294">
        <v>29795.749195870179</v>
      </c>
      <c r="E104" s="294">
        <v>19484.811820999999</v>
      </c>
      <c r="F104" s="294">
        <v>265553</v>
      </c>
      <c r="G104" s="294">
        <v>21733.77547962479</v>
      </c>
      <c r="H104" s="294">
        <v>14212.716135999999</v>
      </c>
      <c r="I104" s="294">
        <v>630203</v>
      </c>
      <c r="J104" s="294">
        <v>51529.524675494962</v>
      </c>
      <c r="K104" s="294">
        <v>33697.527956999998</v>
      </c>
      <c r="L104" s="294">
        <v>34283</v>
      </c>
      <c r="M104" s="294">
        <v>4398.3127801766677</v>
      </c>
      <c r="N104" s="294">
        <v>2876.2591699999998</v>
      </c>
      <c r="O104" s="294">
        <v>28146</v>
      </c>
      <c r="P104" s="294">
        <v>3545.994832488022</v>
      </c>
      <c r="Q104" s="294">
        <v>2318.8892340000002</v>
      </c>
      <c r="R104" s="294">
        <v>62429</v>
      </c>
      <c r="S104" s="294">
        <v>7944.3076126646883</v>
      </c>
      <c r="T104" s="294">
        <v>5195.1484039999996</v>
      </c>
      <c r="U104" s="294">
        <v>398933</v>
      </c>
      <c r="V104" s="294">
        <v>34194.06197604684</v>
      </c>
      <c r="W104" s="294">
        <v>22361.070991000001</v>
      </c>
      <c r="X104" s="294">
        <v>293699</v>
      </c>
      <c r="Y104" s="294">
        <v>25279.770312112811</v>
      </c>
      <c r="Z104" s="294">
        <v>16531.605370000001</v>
      </c>
      <c r="AA104" s="294">
        <v>692632</v>
      </c>
      <c r="AB104" s="294">
        <v>59473.832288159647</v>
      </c>
      <c r="AC104" s="275">
        <v>38892.676360999998</v>
      </c>
    </row>
    <row r="105" spans="2:29" collapsed="1" x14ac:dyDescent="0.25">
      <c r="B105" s="291">
        <v>41974</v>
      </c>
      <c r="C105" s="294">
        <v>367802</v>
      </c>
      <c r="D105" s="294">
        <v>30466.29262807504</v>
      </c>
      <c r="E105" s="294">
        <v>19840.959570999999</v>
      </c>
      <c r="F105" s="294">
        <v>267943</v>
      </c>
      <c r="G105" s="294">
        <v>22177.392844092301</v>
      </c>
      <c r="H105" s="294">
        <v>14442.871674</v>
      </c>
      <c r="I105" s="294">
        <v>635745</v>
      </c>
      <c r="J105" s="294">
        <v>52643.685472167337</v>
      </c>
      <c r="K105" s="294">
        <v>34283.831245000001</v>
      </c>
      <c r="L105" s="294">
        <v>34413</v>
      </c>
      <c r="M105" s="294">
        <v>4420.0459239822658</v>
      </c>
      <c r="N105" s="294">
        <v>2878.5239329999999</v>
      </c>
      <c r="O105" s="294">
        <v>28268</v>
      </c>
      <c r="P105" s="294">
        <v>3524.4873014327832</v>
      </c>
      <c r="Q105" s="294">
        <v>2295.2976560000002</v>
      </c>
      <c r="R105" s="294">
        <v>62681</v>
      </c>
      <c r="S105" s="294">
        <v>7944.533225415048</v>
      </c>
      <c r="T105" s="294">
        <v>5173.8215890000001</v>
      </c>
      <c r="U105" s="294">
        <v>402215</v>
      </c>
      <c r="V105" s="294">
        <v>34886.338552057307</v>
      </c>
      <c r="W105" s="294">
        <v>22719.483504</v>
      </c>
      <c r="X105" s="294">
        <v>296211</v>
      </c>
      <c r="Y105" s="294">
        <v>25701.88014552508</v>
      </c>
      <c r="Z105" s="294">
        <v>16738.169330000001</v>
      </c>
      <c r="AA105" s="294">
        <v>698426</v>
      </c>
      <c r="AB105" s="294">
        <v>60588.218697582393</v>
      </c>
      <c r="AC105" s="275">
        <v>39457.652834</v>
      </c>
    </row>
    <row r="106" spans="2:29" hidden="1" outlineLevel="1" x14ac:dyDescent="0.25">
      <c r="B106" s="291">
        <v>42005</v>
      </c>
      <c r="C106" s="294">
        <v>373408</v>
      </c>
      <c r="D106" s="294">
        <v>30517.639593136912</v>
      </c>
      <c r="E106" s="294">
        <v>19889.787520999998</v>
      </c>
      <c r="F106" s="294">
        <v>270420</v>
      </c>
      <c r="G106" s="294">
        <v>22680.00572176517</v>
      </c>
      <c r="H106" s="294">
        <v>14781.631240000001</v>
      </c>
      <c r="I106" s="294">
        <v>643828</v>
      </c>
      <c r="J106" s="294">
        <v>53197.645314902082</v>
      </c>
      <c r="K106" s="294">
        <v>34671.418761000001</v>
      </c>
      <c r="L106" s="294">
        <v>34985</v>
      </c>
      <c r="M106" s="294">
        <v>4508.740972341252</v>
      </c>
      <c r="N106" s="294">
        <v>2938.5595060000001</v>
      </c>
      <c r="O106" s="294">
        <v>28687</v>
      </c>
      <c r="P106" s="294">
        <v>3586.0903821823308</v>
      </c>
      <c r="Q106" s="294">
        <v>2337.224526</v>
      </c>
      <c r="R106" s="294">
        <v>63672</v>
      </c>
      <c r="S106" s="294">
        <v>8094.8313545235824</v>
      </c>
      <c r="T106" s="294">
        <v>5275.7840319999996</v>
      </c>
      <c r="U106" s="294">
        <v>408393</v>
      </c>
      <c r="V106" s="294">
        <v>35026.380565478161</v>
      </c>
      <c r="W106" s="294">
        <v>22828.347027</v>
      </c>
      <c r="X106" s="294">
        <v>299107</v>
      </c>
      <c r="Y106" s="294">
        <v>26266.096103947501</v>
      </c>
      <c r="Z106" s="294">
        <v>17118.855766000001</v>
      </c>
      <c r="AA106" s="294">
        <v>707500</v>
      </c>
      <c r="AB106" s="294">
        <v>61292.476669425661</v>
      </c>
      <c r="AC106" s="275">
        <v>39947.202792999997</v>
      </c>
    </row>
    <row r="107" spans="2:29" hidden="1" outlineLevel="1" x14ac:dyDescent="0.25">
      <c r="B107" s="291">
        <v>42036</v>
      </c>
      <c r="C107" s="294">
        <v>375153</v>
      </c>
      <c r="D107" s="294">
        <v>30034.15143903936</v>
      </c>
      <c r="E107" s="294">
        <v>19643.531189000001</v>
      </c>
      <c r="F107" s="294">
        <v>271647</v>
      </c>
      <c r="G107" s="294">
        <v>21872.15653493538</v>
      </c>
      <c r="H107" s="294">
        <v>14305.26146</v>
      </c>
      <c r="I107" s="294">
        <v>646800</v>
      </c>
      <c r="J107" s="294">
        <v>51906.307973974741</v>
      </c>
      <c r="K107" s="294">
        <v>33948.792649000003</v>
      </c>
      <c r="L107" s="294">
        <v>35009</v>
      </c>
      <c r="M107" s="294">
        <v>4478.9249666331561</v>
      </c>
      <c r="N107" s="294">
        <v>2929.3953069999998</v>
      </c>
      <c r="O107" s="294">
        <v>28687</v>
      </c>
      <c r="P107" s="294">
        <v>3558.0190128689951</v>
      </c>
      <c r="Q107" s="294">
        <v>2327.0861369999998</v>
      </c>
      <c r="R107" s="294">
        <v>63696</v>
      </c>
      <c r="S107" s="294">
        <v>8036.9439795021517</v>
      </c>
      <c r="T107" s="294">
        <v>5256.481444</v>
      </c>
      <c r="U107" s="294">
        <v>410162</v>
      </c>
      <c r="V107" s="294">
        <v>34513.076405672517</v>
      </c>
      <c r="W107" s="294">
        <v>22572.926496</v>
      </c>
      <c r="X107" s="294">
        <v>300334</v>
      </c>
      <c r="Y107" s="294">
        <v>25430.175547804371</v>
      </c>
      <c r="Z107" s="294">
        <v>16632.347597</v>
      </c>
      <c r="AA107" s="294">
        <v>710496</v>
      </c>
      <c r="AB107" s="294">
        <v>59943.251953476887</v>
      </c>
      <c r="AC107" s="275">
        <v>39205.274093</v>
      </c>
    </row>
    <row r="108" spans="2:29" hidden="1" outlineLevel="1" x14ac:dyDescent="0.25">
      <c r="B108" s="291">
        <v>42064</v>
      </c>
      <c r="C108" s="294">
        <v>377612</v>
      </c>
      <c r="D108" s="294">
        <v>30133.17238309731</v>
      </c>
      <c r="E108" s="294">
        <v>19832.220368999999</v>
      </c>
      <c r="F108" s="294">
        <v>273086</v>
      </c>
      <c r="G108" s="294">
        <v>21897.64906115003</v>
      </c>
      <c r="H108" s="294">
        <v>14411.990753</v>
      </c>
      <c r="I108" s="294">
        <v>650698</v>
      </c>
      <c r="J108" s="294">
        <v>52030.82144424734</v>
      </c>
      <c r="K108" s="294">
        <v>34244.211122000001</v>
      </c>
      <c r="L108" s="294">
        <v>35086</v>
      </c>
      <c r="M108" s="294">
        <v>4463.1379334024259</v>
      </c>
      <c r="N108" s="294">
        <v>2937.4250379999999</v>
      </c>
      <c r="O108" s="294">
        <v>28777</v>
      </c>
      <c r="P108" s="294">
        <v>3572.819996509023</v>
      </c>
      <c r="Q108" s="294">
        <v>2351.4601320000002</v>
      </c>
      <c r="R108" s="294">
        <v>63863</v>
      </c>
      <c r="S108" s="294">
        <v>8035.9579299114484</v>
      </c>
      <c r="T108" s="294">
        <v>5288.8851699999996</v>
      </c>
      <c r="U108" s="294">
        <v>412698</v>
      </c>
      <c r="V108" s="294">
        <v>34596.31031649973</v>
      </c>
      <c r="W108" s="294">
        <v>22769.645407</v>
      </c>
      <c r="X108" s="294">
        <v>301863</v>
      </c>
      <c r="Y108" s="294">
        <v>25470.469057659051</v>
      </c>
      <c r="Z108" s="294">
        <v>16763.450884999998</v>
      </c>
      <c r="AA108" s="294">
        <v>714561</v>
      </c>
      <c r="AB108" s="294">
        <v>60066.779374158788</v>
      </c>
      <c r="AC108" s="275">
        <v>39533.096292000002</v>
      </c>
    </row>
    <row r="109" spans="2:29" hidden="1" outlineLevel="1" x14ac:dyDescent="0.25">
      <c r="B109" s="291">
        <v>42095</v>
      </c>
      <c r="C109" s="294">
        <v>379874</v>
      </c>
      <c r="D109" s="294">
        <v>30138.67790286017</v>
      </c>
      <c r="E109" s="294">
        <v>19949.869049000001</v>
      </c>
      <c r="F109" s="294">
        <v>274911</v>
      </c>
      <c r="G109" s="294">
        <v>21986.421571223051</v>
      </c>
      <c r="H109" s="294">
        <v>14553.598953999999</v>
      </c>
      <c r="I109" s="294">
        <v>654785</v>
      </c>
      <c r="J109" s="294">
        <v>52125.099474083218</v>
      </c>
      <c r="K109" s="294">
        <v>34503.468003000002</v>
      </c>
      <c r="L109" s="294">
        <v>35272</v>
      </c>
      <c r="M109" s="294">
        <v>4418.9604266250653</v>
      </c>
      <c r="N109" s="294">
        <v>2925.0679850000001</v>
      </c>
      <c r="O109" s="294">
        <v>29023</v>
      </c>
      <c r="P109" s="294">
        <v>3545.624002233219</v>
      </c>
      <c r="Q109" s="294">
        <v>2346.9753639999999</v>
      </c>
      <c r="R109" s="294">
        <v>64295</v>
      </c>
      <c r="S109" s="294">
        <v>7964.5844288582839</v>
      </c>
      <c r="T109" s="294">
        <v>5272.0433489999996</v>
      </c>
      <c r="U109" s="294">
        <v>415146</v>
      </c>
      <c r="V109" s="294">
        <v>34557.638329485242</v>
      </c>
      <c r="W109" s="294">
        <v>22874.937033999999</v>
      </c>
      <c r="X109" s="294">
        <v>303934</v>
      </c>
      <c r="Y109" s="294">
        <v>25532.045573456271</v>
      </c>
      <c r="Z109" s="294">
        <v>16900.574317999999</v>
      </c>
      <c r="AA109" s="294">
        <v>719080</v>
      </c>
      <c r="AB109" s="294">
        <v>60089.683902941513</v>
      </c>
      <c r="AC109" s="275">
        <v>39775.511352000001</v>
      </c>
    </row>
    <row r="110" spans="2:29" hidden="1" outlineLevel="1" x14ac:dyDescent="0.25">
      <c r="B110" s="291">
        <v>42125</v>
      </c>
      <c r="C110" s="294">
        <v>381450</v>
      </c>
      <c r="D110" s="294">
        <v>30200.098041838071</v>
      </c>
      <c r="E110" s="294">
        <v>20025.843294999999</v>
      </c>
      <c r="F110" s="294">
        <v>275948</v>
      </c>
      <c r="G110" s="294">
        <v>21976.274777397401</v>
      </c>
      <c r="H110" s="294">
        <v>14572.582985999999</v>
      </c>
      <c r="I110" s="294">
        <v>657398</v>
      </c>
      <c r="J110" s="294">
        <v>52176.372819235468</v>
      </c>
      <c r="K110" s="294">
        <v>34598.426281</v>
      </c>
      <c r="L110" s="294">
        <v>35349</v>
      </c>
      <c r="M110" s="294">
        <v>4414.4026865060732</v>
      </c>
      <c r="N110" s="294">
        <v>2927.2135579999999</v>
      </c>
      <c r="O110" s="294">
        <v>29091</v>
      </c>
      <c r="P110" s="294">
        <v>3545.5507468129372</v>
      </c>
      <c r="Q110" s="294">
        <v>2351.0732830000002</v>
      </c>
      <c r="R110" s="294">
        <v>64440</v>
      </c>
      <c r="S110" s="294">
        <v>7959.9534333190113</v>
      </c>
      <c r="T110" s="294">
        <v>5278.2868410000001</v>
      </c>
      <c r="U110" s="294">
        <v>416799</v>
      </c>
      <c r="V110" s="294">
        <v>34614.500728344137</v>
      </c>
      <c r="W110" s="294">
        <v>22953.056852999998</v>
      </c>
      <c r="X110" s="294">
        <v>305039</v>
      </c>
      <c r="Y110" s="294">
        <v>25521.825524210341</v>
      </c>
      <c r="Z110" s="294">
        <v>16923.656268999999</v>
      </c>
      <c r="AA110" s="294">
        <v>721838</v>
      </c>
      <c r="AB110" s="294">
        <v>60136.326252554478</v>
      </c>
      <c r="AC110" s="275">
        <v>39876.713122000001</v>
      </c>
    </row>
    <row r="111" spans="2:29" hidden="1" outlineLevel="1" x14ac:dyDescent="0.25">
      <c r="B111" s="291">
        <v>42156</v>
      </c>
      <c r="C111" s="294">
        <v>383881</v>
      </c>
      <c r="D111" s="294">
        <v>30352.889486900851</v>
      </c>
      <c r="E111" s="294">
        <v>20224.673155</v>
      </c>
      <c r="F111" s="294">
        <v>277655</v>
      </c>
      <c r="G111" s="294">
        <v>22070.628766498441</v>
      </c>
      <c r="H111" s="294">
        <v>14706.054700999999</v>
      </c>
      <c r="I111" s="294">
        <v>661536</v>
      </c>
      <c r="J111" s="294">
        <v>52423.518253399277</v>
      </c>
      <c r="K111" s="294">
        <v>34930.727855999998</v>
      </c>
      <c r="L111" s="294">
        <v>35662</v>
      </c>
      <c r="M111" s="294">
        <v>4441.4025504314859</v>
      </c>
      <c r="N111" s="294">
        <v>2959.3859579999998</v>
      </c>
      <c r="O111" s="294">
        <v>29464</v>
      </c>
      <c r="P111" s="294">
        <v>3572.714629521503</v>
      </c>
      <c r="Q111" s="294">
        <v>2380.5636589999999</v>
      </c>
      <c r="R111" s="294">
        <v>65126</v>
      </c>
      <c r="S111" s="294">
        <v>8014.1171799529893</v>
      </c>
      <c r="T111" s="294">
        <v>5339.9496170000002</v>
      </c>
      <c r="U111" s="294">
        <v>419543</v>
      </c>
      <c r="V111" s="294">
        <v>34794.292037332343</v>
      </c>
      <c r="W111" s="294">
        <v>23184.059112999999</v>
      </c>
      <c r="X111" s="294">
        <v>307119</v>
      </c>
      <c r="Y111" s="294">
        <v>25643.34339601994</v>
      </c>
      <c r="Z111" s="294">
        <v>17086.61836</v>
      </c>
      <c r="AA111" s="294">
        <v>726662</v>
      </c>
      <c r="AB111" s="294">
        <v>60437.635433352283</v>
      </c>
      <c r="AC111" s="275">
        <v>40270.677473000003</v>
      </c>
    </row>
    <row r="112" spans="2:29" hidden="1" outlineLevel="1" x14ac:dyDescent="0.25">
      <c r="B112" s="291">
        <v>42186</v>
      </c>
      <c r="C112" s="294">
        <v>387145</v>
      </c>
      <c r="D112" s="294">
        <v>32738.144349075141</v>
      </c>
      <c r="E112" s="294">
        <v>21906.233716999999</v>
      </c>
      <c r="F112" s="294">
        <v>281099</v>
      </c>
      <c r="G112" s="294">
        <v>23973.082984274159</v>
      </c>
      <c r="H112" s="294">
        <v>16041.225586</v>
      </c>
      <c r="I112" s="294">
        <v>668244</v>
      </c>
      <c r="J112" s="294">
        <v>56711.227333349299</v>
      </c>
      <c r="K112" s="294">
        <v>37947.459303000003</v>
      </c>
      <c r="L112" s="294">
        <v>35854</v>
      </c>
      <c r="M112" s="294">
        <v>4661.8679595020394</v>
      </c>
      <c r="N112" s="294">
        <v>3119.4183760000001</v>
      </c>
      <c r="O112" s="294">
        <v>29626</v>
      </c>
      <c r="P112" s="294">
        <v>3774.5978316297378</v>
      </c>
      <c r="Q112" s="294">
        <v>2525.715001</v>
      </c>
      <c r="R112" s="294">
        <v>65480</v>
      </c>
      <c r="S112" s="294">
        <v>8436.4657911317772</v>
      </c>
      <c r="T112" s="294">
        <v>5645.1333770000001</v>
      </c>
      <c r="U112" s="294">
        <v>422999</v>
      </c>
      <c r="V112" s="294">
        <v>37400.012308577177</v>
      </c>
      <c r="W112" s="294">
        <v>25025.652093000001</v>
      </c>
      <c r="X112" s="294">
        <v>310725</v>
      </c>
      <c r="Y112" s="294">
        <v>27747.680815903888</v>
      </c>
      <c r="Z112" s="294">
        <v>18566.940587000001</v>
      </c>
      <c r="AA112" s="294">
        <v>733724</v>
      </c>
      <c r="AB112" s="294">
        <v>65147.693124481077</v>
      </c>
      <c r="AC112" s="275">
        <v>43592.592680000002</v>
      </c>
    </row>
    <row r="113" spans="2:29" hidden="1" outlineLevel="1" x14ac:dyDescent="0.25">
      <c r="B113" s="291">
        <v>42217</v>
      </c>
      <c r="C113" s="294">
        <v>388790</v>
      </c>
      <c r="D113" s="294">
        <v>32548.818443414941</v>
      </c>
      <c r="E113" s="294">
        <v>21926.701459</v>
      </c>
      <c r="F113" s="294">
        <v>282181</v>
      </c>
      <c r="G113" s="294">
        <v>23592.137199592649</v>
      </c>
      <c r="H113" s="294">
        <v>15892.980879000001</v>
      </c>
      <c r="I113" s="294">
        <v>670971</v>
      </c>
      <c r="J113" s="294">
        <v>56140.955643007583</v>
      </c>
      <c r="K113" s="294">
        <v>37819.682337999999</v>
      </c>
      <c r="L113" s="294">
        <v>35902</v>
      </c>
      <c r="M113" s="294">
        <v>4590.2413538727224</v>
      </c>
      <c r="N113" s="294">
        <v>3092.2428709999999</v>
      </c>
      <c r="O113" s="294">
        <v>29711</v>
      </c>
      <c r="P113" s="294">
        <v>3697.8969281574718</v>
      </c>
      <c r="Q113" s="294">
        <v>2491.1098419999998</v>
      </c>
      <c r="R113" s="294">
        <v>65613</v>
      </c>
      <c r="S113" s="294">
        <v>8288.1382820301951</v>
      </c>
      <c r="T113" s="294">
        <v>5583.3527130000002</v>
      </c>
      <c r="U113" s="294">
        <v>424692</v>
      </c>
      <c r="V113" s="294">
        <v>37139.059797287657</v>
      </c>
      <c r="W113" s="294">
        <v>25018.944329999998</v>
      </c>
      <c r="X113" s="294">
        <v>311892</v>
      </c>
      <c r="Y113" s="294">
        <v>27290.034127750121</v>
      </c>
      <c r="Z113" s="294">
        <v>18384.090721</v>
      </c>
      <c r="AA113" s="294">
        <v>736584</v>
      </c>
      <c r="AB113" s="294">
        <v>64429.093925037778</v>
      </c>
      <c r="AC113" s="275">
        <v>43403.035050999999</v>
      </c>
    </row>
    <row r="114" spans="2:29" hidden="1" outlineLevel="1" x14ac:dyDescent="0.25">
      <c r="B114" s="291">
        <v>42248</v>
      </c>
      <c r="C114" s="294">
        <v>391060</v>
      </c>
      <c r="D114" s="294">
        <v>32857.682005388713</v>
      </c>
      <c r="E114" s="294">
        <v>22248.031107999999</v>
      </c>
      <c r="F114" s="294">
        <v>283655</v>
      </c>
      <c r="G114" s="294">
        <v>23784.874648253401</v>
      </c>
      <c r="H114" s="294">
        <v>16104.807118999999</v>
      </c>
      <c r="I114" s="294">
        <v>674715</v>
      </c>
      <c r="J114" s="294">
        <v>56642.556653642103</v>
      </c>
      <c r="K114" s="294">
        <v>38352.838227</v>
      </c>
      <c r="L114" s="294">
        <v>35845</v>
      </c>
      <c r="M114" s="294">
        <v>4580.2858852282516</v>
      </c>
      <c r="N114" s="294">
        <v>3101.3247630000001</v>
      </c>
      <c r="O114" s="294">
        <v>29687</v>
      </c>
      <c r="P114" s="294">
        <v>3709.364882482957</v>
      </c>
      <c r="Q114" s="294">
        <v>2511.6216439999998</v>
      </c>
      <c r="R114" s="294">
        <v>65532</v>
      </c>
      <c r="S114" s="294">
        <v>8289.6507677112095</v>
      </c>
      <c r="T114" s="294">
        <v>5612.9464070000004</v>
      </c>
      <c r="U114" s="294">
        <v>426905</v>
      </c>
      <c r="V114" s="294">
        <v>37437.967890616957</v>
      </c>
      <c r="W114" s="294">
        <v>25349.355871</v>
      </c>
      <c r="X114" s="294">
        <v>313342</v>
      </c>
      <c r="Y114" s="294">
        <v>27494.239530736351</v>
      </c>
      <c r="Z114" s="294">
        <v>18616.428763</v>
      </c>
      <c r="AA114" s="294">
        <v>740247</v>
      </c>
      <c r="AB114" s="294">
        <v>64932.207421353312</v>
      </c>
      <c r="AC114" s="275">
        <v>43965.784634000003</v>
      </c>
    </row>
    <row r="115" spans="2:29" hidden="1" outlineLevel="1" x14ac:dyDescent="0.25">
      <c r="B115" s="291">
        <v>42278</v>
      </c>
      <c r="C115" s="294">
        <v>393767</v>
      </c>
      <c r="D115" s="294">
        <v>33033.957954912519</v>
      </c>
      <c r="E115" s="294">
        <v>22458.624022</v>
      </c>
      <c r="F115" s="294">
        <v>285404</v>
      </c>
      <c r="G115" s="294">
        <v>23883.9856731609</v>
      </c>
      <c r="H115" s="294">
        <v>16237.880278000001</v>
      </c>
      <c r="I115" s="294">
        <v>679171</v>
      </c>
      <c r="J115" s="294">
        <v>56917.943628073423</v>
      </c>
      <c r="K115" s="294">
        <v>38696.504300000001</v>
      </c>
      <c r="L115" s="294">
        <v>35726</v>
      </c>
      <c r="M115" s="294">
        <v>4540.3045405695593</v>
      </c>
      <c r="N115" s="294">
        <v>3086.7930740000002</v>
      </c>
      <c r="O115" s="294">
        <v>29631</v>
      </c>
      <c r="P115" s="294">
        <v>3678.3669256018961</v>
      </c>
      <c r="Q115" s="294">
        <v>2500.7920610000001</v>
      </c>
      <c r="R115" s="294">
        <v>65357</v>
      </c>
      <c r="S115" s="294">
        <v>8218.6714661714541</v>
      </c>
      <c r="T115" s="294">
        <v>5587.5851350000003</v>
      </c>
      <c r="U115" s="294">
        <v>429493</v>
      </c>
      <c r="V115" s="294">
        <v>37574.262495482079</v>
      </c>
      <c r="W115" s="294">
        <v>25545.417096000001</v>
      </c>
      <c r="X115" s="294">
        <v>315035</v>
      </c>
      <c r="Y115" s="294">
        <v>27562.352598762791</v>
      </c>
      <c r="Z115" s="294">
        <v>18738.672339000001</v>
      </c>
      <c r="AA115" s="294">
        <v>744528</v>
      </c>
      <c r="AB115" s="294">
        <v>65136.615094244873</v>
      </c>
      <c r="AC115" s="275">
        <v>44284.089435000002</v>
      </c>
    </row>
    <row r="116" spans="2:29" hidden="1" outlineLevel="1" x14ac:dyDescent="0.25">
      <c r="B116" s="291">
        <v>42309</v>
      </c>
      <c r="C116" s="294">
        <v>394851</v>
      </c>
      <c r="D116" s="294">
        <v>33082.795204011643</v>
      </c>
      <c r="E116" s="294">
        <v>22486.036004000001</v>
      </c>
      <c r="F116" s="294">
        <v>286695</v>
      </c>
      <c r="G116" s="294">
        <v>23975.080137605761</v>
      </c>
      <c r="H116" s="294">
        <v>16295.615647000001</v>
      </c>
      <c r="I116" s="294">
        <v>681546</v>
      </c>
      <c r="J116" s="294">
        <v>57057.875341617393</v>
      </c>
      <c r="K116" s="294">
        <v>38781.651651</v>
      </c>
      <c r="L116" s="294">
        <v>35684</v>
      </c>
      <c r="M116" s="294">
        <v>4540.0215913875118</v>
      </c>
      <c r="N116" s="294">
        <v>3085.8060310000001</v>
      </c>
      <c r="O116" s="294">
        <v>29591</v>
      </c>
      <c r="P116" s="294">
        <v>3675.966345844246</v>
      </c>
      <c r="Q116" s="294">
        <v>2498.5165579999998</v>
      </c>
      <c r="R116" s="294">
        <v>65275</v>
      </c>
      <c r="S116" s="294">
        <v>8215.9879372317591</v>
      </c>
      <c r="T116" s="294">
        <v>5584.3225890000003</v>
      </c>
      <c r="U116" s="294">
        <v>430535</v>
      </c>
      <c r="V116" s="294">
        <v>37622.816795399151</v>
      </c>
      <c r="W116" s="294">
        <v>25571.842035000001</v>
      </c>
      <c r="X116" s="294">
        <v>316286</v>
      </c>
      <c r="Y116" s="294">
        <v>27651.046483450009</v>
      </c>
      <c r="Z116" s="294">
        <v>18794.132205000002</v>
      </c>
      <c r="AA116" s="294">
        <v>746821</v>
      </c>
      <c r="AB116" s="294">
        <v>65273.863278849152</v>
      </c>
      <c r="AC116" s="275">
        <v>44365.974240000003</v>
      </c>
    </row>
    <row r="117" spans="2:29" collapsed="1" x14ac:dyDescent="0.25">
      <c r="B117" s="291">
        <v>42339</v>
      </c>
      <c r="C117" s="294">
        <v>397672</v>
      </c>
      <c r="D117" s="294">
        <v>33414.339574485981</v>
      </c>
      <c r="E117" s="294">
        <v>22713.656138999999</v>
      </c>
      <c r="F117" s="294">
        <v>288817</v>
      </c>
      <c r="G117" s="294">
        <v>24153.986044150501</v>
      </c>
      <c r="H117" s="294">
        <v>16418.859100000001</v>
      </c>
      <c r="I117" s="294">
        <v>686489</v>
      </c>
      <c r="J117" s="294">
        <v>57568.325618636482</v>
      </c>
      <c r="K117" s="294">
        <v>39132.515239</v>
      </c>
      <c r="L117" s="294">
        <v>35597</v>
      </c>
      <c r="M117" s="294">
        <v>4516.6057731449891</v>
      </c>
      <c r="N117" s="294">
        <v>3070.1977579999998</v>
      </c>
      <c r="O117" s="294">
        <v>29530</v>
      </c>
      <c r="P117" s="294">
        <v>3660.3338074487178</v>
      </c>
      <c r="Q117" s="294">
        <v>2488.140257</v>
      </c>
      <c r="R117" s="294">
        <v>65127</v>
      </c>
      <c r="S117" s="294">
        <v>8176.9395805937083</v>
      </c>
      <c r="T117" s="294">
        <v>5558.3380150000003</v>
      </c>
      <c r="U117" s="294">
        <v>433269</v>
      </c>
      <c r="V117" s="294">
        <v>37930.945347630972</v>
      </c>
      <c r="W117" s="294">
        <v>25783.853897000001</v>
      </c>
      <c r="X117" s="294">
        <v>318347</v>
      </c>
      <c r="Y117" s="294">
        <v>27814.319851599219</v>
      </c>
      <c r="Z117" s="294">
        <v>18906.999357000001</v>
      </c>
      <c r="AA117" s="294">
        <v>751616</v>
      </c>
      <c r="AB117" s="294">
        <v>65745.265199230183</v>
      </c>
      <c r="AC117" s="275">
        <v>44690.853254000001</v>
      </c>
    </row>
    <row r="118" spans="2:29" hidden="1" outlineLevel="1" x14ac:dyDescent="0.25">
      <c r="B118" s="291">
        <v>42370</v>
      </c>
      <c r="C118" s="294">
        <v>399583</v>
      </c>
      <c r="D118" s="294">
        <v>33368.991056205043</v>
      </c>
      <c r="E118" s="294">
        <v>22789.592183000001</v>
      </c>
      <c r="F118" s="294">
        <v>290198</v>
      </c>
      <c r="G118" s="294">
        <v>24230.362313148711</v>
      </c>
      <c r="H118" s="294">
        <v>16548.300026000001</v>
      </c>
      <c r="I118" s="294">
        <v>689781</v>
      </c>
      <c r="J118" s="294">
        <v>57599.353369353739</v>
      </c>
      <c r="K118" s="294">
        <v>39337.892208999998</v>
      </c>
      <c r="L118" s="294">
        <v>35653</v>
      </c>
      <c r="M118" s="294">
        <v>4525.751301729536</v>
      </c>
      <c r="N118" s="294">
        <v>3090.8943669999999</v>
      </c>
      <c r="O118" s="294">
        <v>29617</v>
      </c>
      <c r="P118" s="294">
        <v>3665.4980643503468</v>
      </c>
      <c r="Q118" s="294">
        <v>2503.3782379999998</v>
      </c>
      <c r="R118" s="294">
        <v>65270</v>
      </c>
      <c r="S118" s="294">
        <v>8191.2493660798846</v>
      </c>
      <c r="T118" s="294">
        <v>5594.2726050000001</v>
      </c>
      <c r="U118" s="294">
        <v>435236</v>
      </c>
      <c r="V118" s="294">
        <v>37894.74235793457</v>
      </c>
      <c r="W118" s="294">
        <v>25880.486550000001</v>
      </c>
      <c r="X118" s="294">
        <v>319815</v>
      </c>
      <c r="Y118" s="294">
        <v>27895.860377499059</v>
      </c>
      <c r="Z118" s="294">
        <v>19051.678263999998</v>
      </c>
      <c r="AA118" s="294">
        <v>755051</v>
      </c>
      <c r="AB118" s="294">
        <v>65790.602735433626</v>
      </c>
      <c r="AC118" s="275">
        <v>44932.164814000003</v>
      </c>
    </row>
    <row r="119" spans="2:29" hidden="1" outlineLevel="1" x14ac:dyDescent="0.25">
      <c r="B119" s="291">
        <v>42401</v>
      </c>
      <c r="C119" s="294">
        <v>401765</v>
      </c>
      <c r="D119" s="294">
        <v>33051.026798185761</v>
      </c>
      <c r="E119" s="294">
        <v>22635.180851000001</v>
      </c>
      <c r="F119" s="294">
        <v>291345</v>
      </c>
      <c r="G119" s="294">
        <v>23958.02270388971</v>
      </c>
      <c r="H119" s="294">
        <v>16407.786058999998</v>
      </c>
      <c r="I119" s="294">
        <v>693110</v>
      </c>
      <c r="J119" s="294">
        <v>57009.049502075482</v>
      </c>
      <c r="K119" s="294">
        <v>39042.966910000003</v>
      </c>
      <c r="L119" s="294">
        <v>35604</v>
      </c>
      <c r="M119" s="294">
        <v>4494.1068139033787</v>
      </c>
      <c r="N119" s="294">
        <v>3077.8142269999998</v>
      </c>
      <c r="O119" s="294">
        <v>29599</v>
      </c>
      <c r="P119" s="294">
        <v>3636.8532463212509</v>
      </c>
      <c r="Q119" s="294">
        <v>2490.7193189999998</v>
      </c>
      <c r="R119" s="294">
        <v>65203</v>
      </c>
      <c r="S119" s="294">
        <v>8130.9600602246301</v>
      </c>
      <c r="T119" s="294">
        <v>5568.5335459999997</v>
      </c>
      <c r="U119" s="294">
        <v>437369</v>
      </c>
      <c r="V119" s="294">
        <v>37545.133612089143</v>
      </c>
      <c r="W119" s="294">
        <v>25712.995078</v>
      </c>
      <c r="X119" s="294">
        <v>320944</v>
      </c>
      <c r="Y119" s="294">
        <v>27594.875950210961</v>
      </c>
      <c r="Z119" s="294">
        <v>18898.505378000002</v>
      </c>
      <c r="AA119" s="294">
        <v>758313</v>
      </c>
      <c r="AB119" s="294">
        <v>65140.009562300103</v>
      </c>
      <c r="AC119" s="275">
        <v>44611.500456000002</v>
      </c>
    </row>
    <row r="120" spans="2:29" hidden="1" outlineLevel="1" x14ac:dyDescent="0.25">
      <c r="B120" s="291">
        <v>42430</v>
      </c>
      <c r="C120" s="294">
        <v>402760</v>
      </c>
      <c r="D120" s="294">
        <v>32905.464854687183</v>
      </c>
      <c r="E120" s="294">
        <v>22620.982057000001</v>
      </c>
      <c r="F120" s="294">
        <v>292122</v>
      </c>
      <c r="G120" s="294">
        <v>23787.316431381059</v>
      </c>
      <c r="H120" s="294">
        <v>16352.677604</v>
      </c>
      <c r="I120" s="294">
        <v>694882</v>
      </c>
      <c r="J120" s="294">
        <v>56692.781286068232</v>
      </c>
      <c r="K120" s="294">
        <v>38973.659660999998</v>
      </c>
      <c r="L120" s="294">
        <v>35532</v>
      </c>
      <c r="M120" s="294">
        <v>4446.5284537986472</v>
      </c>
      <c r="N120" s="294">
        <v>3056.7822339999998</v>
      </c>
      <c r="O120" s="294">
        <v>29505</v>
      </c>
      <c r="P120" s="294">
        <v>3602.4126032716308</v>
      </c>
      <c r="Q120" s="294">
        <v>2476.491708</v>
      </c>
      <c r="R120" s="294">
        <v>65037</v>
      </c>
      <c r="S120" s="294">
        <v>8048.9410570702776</v>
      </c>
      <c r="T120" s="294">
        <v>5533.2739419999998</v>
      </c>
      <c r="U120" s="294">
        <v>438292</v>
      </c>
      <c r="V120" s="294">
        <v>37351.993308485828</v>
      </c>
      <c r="W120" s="294">
        <v>25677.764291</v>
      </c>
      <c r="X120" s="294">
        <v>321627</v>
      </c>
      <c r="Y120" s="294">
        <v>27389.72903465269</v>
      </c>
      <c r="Z120" s="294">
        <v>18829.169312000002</v>
      </c>
      <c r="AA120" s="294">
        <v>759919</v>
      </c>
      <c r="AB120" s="294">
        <v>64741.722343138506</v>
      </c>
      <c r="AC120" s="275">
        <v>44506.933602999998</v>
      </c>
    </row>
    <row r="121" spans="2:29" hidden="1" outlineLevel="1" x14ac:dyDescent="0.25">
      <c r="B121" s="291">
        <v>42461</v>
      </c>
      <c r="C121" s="294">
        <v>405007</v>
      </c>
      <c r="D121" s="294">
        <v>32978.194462253829</v>
      </c>
      <c r="E121" s="294">
        <v>22744.876348999998</v>
      </c>
      <c r="F121" s="294">
        <v>293491</v>
      </c>
      <c r="G121" s="294">
        <v>23916.510638457319</v>
      </c>
      <c r="H121" s="294">
        <v>16495.083676999999</v>
      </c>
      <c r="I121" s="294">
        <v>698498</v>
      </c>
      <c r="J121" s="294">
        <v>56894.705100711151</v>
      </c>
      <c r="K121" s="294">
        <v>39239.960026000001</v>
      </c>
      <c r="L121" s="294">
        <v>35542</v>
      </c>
      <c r="M121" s="294">
        <v>4469.5284367843833</v>
      </c>
      <c r="N121" s="294">
        <v>3082.6087750000002</v>
      </c>
      <c r="O121" s="294">
        <v>29521</v>
      </c>
      <c r="P121" s="294">
        <v>3620.1445863258782</v>
      </c>
      <c r="Q121" s="294">
        <v>2496.793482</v>
      </c>
      <c r="R121" s="294">
        <v>65063</v>
      </c>
      <c r="S121" s="294">
        <v>8089.6730231102611</v>
      </c>
      <c r="T121" s="294">
        <v>5579.4022569999997</v>
      </c>
      <c r="U121" s="294">
        <v>440549</v>
      </c>
      <c r="V121" s="294">
        <v>37447.722899038206</v>
      </c>
      <c r="W121" s="294">
        <v>25827.485123999999</v>
      </c>
      <c r="X121" s="294">
        <v>323012</v>
      </c>
      <c r="Y121" s="294">
        <v>27536.655224783201</v>
      </c>
      <c r="Z121" s="294">
        <v>18991.877159</v>
      </c>
      <c r="AA121" s="294">
        <v>763561</v>
      </c>
      <c r="AB121" s="294">
        <v>64984.378123821407</v>
      </c>
      <c r="AC121" s="275">
        <v>44819.362283000002</v>
      </c>
    </row>
    <row r="122" spans="2:29" hidden="1" outlineLevel="1" x14ac:dyDescent="0.25">
      <c r="B122" s="291">
        <v>42491</v>
      </c>
      <c r="C122" s="294">
        <v>407494</v>
      </c>
      <c r="D122" s="294">
        <v>33492.809240436472</v>
      </c>
      <c r="E122" s="294">
        <v>23151.650998000001</v>
      </c>
      <c r="F122" s="294">
        <v>295268</v>
      </c>
      <c r="G122" s="294">
        <v>24248.791769905241</v>
      </c>
      <c r="H122" s="294">
        <v>16761.793857000001</v>
      </c>
      <c r="I122" s="294">
        <v>702762</v>
      </c>
      <c r="J122" s="294">
        <v>57741.601010341699</v>
      </c>
      <c r="K122" s="294">
        <v>39913.444855000002</v>
      </c>
      <c r="L122" s="294">
        <v>35521</v>
      </c>
      <c r="M122" s="294">
        <v>4443.4373002130606</v>
      </c>
      <c r="N122" s="294">
        <v>3071.4924169999999</v>
      </c>
      <c r="O122" s="294">
        <v>29498</v>
      </c>
      <c r="P122" s="294">
        <v>3594.4607939972129</v>
      </c>
      <c r="Q122" s="294">
        <v>2484.64383</v>
      </c>
      <c r="R122" s="294">
        <v>65019</v>
      </c>
      <c r="S122" s="294">
        <v>8037.8980942102726</v>
      </c>
      <c r="T122" s="294">
        <v>5556.1362470000004</v>
      </c>
      <c r="U122" s="294">
        <v>443015</v>
      </c>
      <c r="V122" s="294">
        <v>37936.246540649518</v>
      </c>
      <c r="W122" s="294">
        <v>26223.143414999999</v>
      </c>
      <c r="X122" s="294">
        <v>324766</v>
      </c>
      <c r="Y122" s="294">
        <v>27843.25256390245</v>
      </c>
      <c r="Z122" s="294">
        <v>19246.437687000001</v>
      </c>
      <c r="AA122" s="294">
        <v>767781</v>
      </c>
      <c r="AB122" s="294">
        <v>65779.499104551971</v>
      </c>
      <c r="AC122" s="275">
        <v>45469.581101999996</v>
      </c>
    </row>
    <row r="123" spans="2:29" hidden="1" outlineLevel="1" x14ac:dyDescent="0.25">
      <c r="B123" s="291">
        <v>42522</v>
      </c>
      <c r="C123" s="294">
        <v>409023</v>
      </c>
      <c r="D123" s="294">
        <v>32967.597548318328</v>
      </c>
      <c r="E123" s="294">
        <v>22891.099246000002</v>
      </c>
      <c r="F123" s="294">
        <v>296574</v>
      </c>
      <c r="G123" s="294">
        <v>23944.887560959109</v>
      </c>
      <c r="H123" s="294">
        <v>16626.167460000001</v>
      </c>
      <c r="I123" s="294">
        <v>705597</v>
      </c>
      <c r="J123" s="294">
        <v>56912.485109277441</v>
      </c>
      <c r="K123" s="294">
        <v>39517.266706000002</v>
      </c>
      <c r="L123" s="294">
        <v>35515</v>
      </c>
      <c r="M123" s="294">
        <v>4413.0733457537881</v>
      </c>
      <c r="N123" s="294">
        <v>3064.223888</v>
      </c>
      <c r="O123" s="294">
        <v>29478</v>
      </c>
      <c r="P123" s="294">
        <v>3570.556689642739</v>
      </c>
      <c r="Q123" s="294">
        <v>2479.2212239999999</v>
      </c>
      <c r="R123" s="294">
        <v>64993</v>
      </c>
      <c r="S123" s="294">
        <v>7983.630035396528</v>
      </c>
      <c r="T123" s="294">
        <v>5543.4451120000003</v>
      </c>
      <c r="U123" s="294">
        <v>444538</v>
      </c>
      <c r="V123" s="294">
        <v>37380.670894072107</v>
      </c>
      <c r="W123" s="294">
        <v>25955.323133999998</v>
      </c>
      <c r="X123" s="294">
        <v>326052</v>
      </c>
      <c r="Y123" s="294">
        <v>27515.444250601849</v>
      </c>
      <c r="Z123" s="294">
        <v>19105.388684000001</v>
      </c>
      <c r="AA123" s="294">
        <v>770590</v>
      </c>
      <c r="AB123" s="294">
        <v>64896.115144673968</v>
      </c>
      <c r="AC123" s="275">
        <v>45060.711818000003</v>
      </c>
    </row>
    <row r="124" spans="2:29" hidden="1" outlineLevel="1" x14ac:dyDescent="0.25">
      <c r="B124" s="291">
        <v>42552</v>
      </c>
      <c r="C124" s="294">
        <v>409755</v>
      </c>
      <c r="D124" s="294">
        <v>35326.754220123337</v>
      </c>
      <c r="E124" s="294">
        <v>24588.525248000002</v>
      </c>
      <c r="F124" s="294">
        <v>298366</v>
      </c>
      <c r="G124" s="294">
        <v>25637.61425538715</v>
      </c>
      <c r="H124" s="294">
        <v>17844.580951</v>
      </c>
      <c r="I124" s="294">
        <v>708121</v>
      </c>
      <c r="J124" s="294">
        <v>60964.368475510491</v>
      </c>
      <c r="K124" s="294">
        <v>42433.106199000002</v>
      </c>
      <c r="L124" s="294">
        <v>35484</v>
      </c>
      <c r="M124" s="294">
        <v>4591.1004937629114</v>
      </c>
      <c r="N124" s="294">
        <v>3195.5494610000001</v>
      </c>
      <c r="O124" s="294">
        <v>29434</v>
      </c>
      <c r="P124" s="294">
        <v>3728.7272217830241</v>
      </c>
      <c r="Q124" s="294">
        <v>2595.3107060000002</v>
      </c>
      <c r="R124" s="294">
        <v>64918</v>
      </c>
      <c r="S124" s="294">
        <v>8319.8277155459346</v>
      </c>
      <c r="T124" s="294">
        <v>5790.8601669999998</v>
      </c>
      <c r="U124" s="294">
        <v>445239</v>
      </c>
      <c r="V124" s="294">
        <v>39917.854713886249</v>
      </c>
      <c r="W124" s="294">
        <v>27784.074709</v>
      </c>
      <c r="X124" s="294">
        <v>327800</v>
      </c>
      <c r="Y124" s="294">
        <v>29366.341477170179</v>
      </c>
      <c r="Z124" s="294">
        <v>20439.891657</v>
      </c>
      <c r="AA124" s="294">
        <v>773039</v>
      </c>
      <c r="AB124" s="294">
        <v>69284.196191056428</v>
      </c>
      <c r="AC124" s="275">
        <v>48223.966366000001</v>
      </c>
    </row>
    <row r="125" spans="2:29" hidden="1" outlineLevel="1" x14ac:dyDescent="0.25">
      <c r="B125" s="291">
        <v>42583</v>
      </c>
      <c r="C125" s="294">
        <v>411971</v>
      </c>
      <c r="D125" s="294">
        <v>35710.730824041348</v>
      </c>
      <c r="E125" s="294">
        <v>24867.925234999999</v>
      </c>
      <c r="F125" s="294">
        <v>299699</v>
      </c>
      <c r="G125" s="294">
        <v>25812.69461597905</v>
      </c>
      <c r="H125" s="294">
        <v>17975.217672999999</v>
      </c>
      <c r="I125" s="294">
        <v>711670</v>
      </c>
      <c r="J125" s="294">
        <v>61523.425440020423</v>
      </c>
      <c r="K125" s="294">
        <v>42843.142908000002</v>
      </c>
      <c r="L125" s="294">
        <v>35469</v>
      </c>
      <c r="M125" s="294">
        <v>4584.7211970575427</v>
      </c>
      <c r="N125" s="294">
        <v>3192.667899</v>
      </c>
      <c r="O125" s="294">
        <v>29404</v>
      </c>
      <c r="P125" s="294">
        <v>3713.914435503305</v>
      </c>
      <c r="Q125" s="294">
        <v>2586.2631310000002</v>
      </c>
      <c r="R125" s="294">
        <v>64873</v>
      </c>
      <c r="S125" s="294">
        <v>8298.6356325608467</v>
      </c>
      <c r="T125" s="294">
        <v>5778.9310299999997</v>
      </c>
      <c r="U125" s="294">
        <v>447440</v>
      </c>
      <c r="V125" s="294">
        <v>40295.452021098899</v>
      </c>
      <c r="W125" s="294">
        <v>28060.593133999999</v>
      </c>
      <c r="X125" s="294">
        <v>329103</v>
      </c>
      <c r="Y125" s="294">
        <v>29526.609051482359</v>
      </c>
      <c r="Z125" s="294">
        <v>20561.480803999999</v>
      </c>
      <c r="AA125" s="294">
        <v>776543</v>
      </c>
      <c r="AB125" s="294">
        <v>69822.061072581258</v>
      </c>
      <c r="AC125" s="275">
        <v>48622.073938000001</v>
      </c>
    </row>
    <row r="126" spans="2:29" hidden="1" outlineLevel="1" x14ac:dyDescent="0.25">
      <c r="B126" s="291">
        <v>42614</v>
      </c>
      <c r="C126" s="294">
        <v>413826</v>
      </c>
      <c r="D126" s="294">
        <v>35861.918739652443</v>
      </c>
      <c r="E126" s="294">
        <v>25033.986455999999</v>
      </c>
      <c r="F126" s="294">
        <v>300890</v>
      </c>
      <c r="G126" s="294">
        <v>25827.347227631351</v>
      </c>
      <c r="H126" s="294">
        <v>18029.193178000001</v>
      </c>
      <c r="I126" s="294">
        <v>714716</v>
      </c>
      <c r="J126" s="294">
        <v>61689.265967283791</v>
      </c>
      <c r="K126" s="294">
        <v>43063.179634</v>
      </c>
      <c r="L126" s="294">
        <v>35378</v>
      </c>
      <c r="M126" s="294">
        <v>4548.3241532112979</v>
      </c>
      <c r="N126" s="294">
        <v>3175.0304850000002</v>
      </c>
      <c r="O126" s="294">
        <v>29305</v>
      </c>
      <c r="P126" s="294">
        <v>3686.5194742082749</v>
      </c>
      <c r="Q126" s="294">
        <v>2573.4339329999998</v>
      </c>
      <c r="R126" s="294">
        <v>64683</v>
      </c>
      <c r="S126" s="294">
        <v>8234.8436274195719</v>
      </c>
      <c r="T126" s="294">
        <v>5748.4644179999996</v>
      </c>
      <c r="U126" s="294">
        <v>449204</v>
      </c>
      <c r="V126" s="294">
        <v>40410.242892863738</v>
      </c>
      <c r="W126" s="294">
        <v>28209.016941000002</v>
      </c>
      <c r="X126" s="294">
        <v>330195</v>
      </c>
      <c r="Y126" s="294">
        <v>29513.866701839619</v>
      </c>
      <c r="Z126" s="294">
        <v>20602.627111000002</v>
      </c>
      <c r="AA126" s="294">
        <v>779399</v>
      </c>
      <c r="AB126" s="294">
        <v>69924.109594703361</v>
      </c>
      <c r="AC126" s="275">
        <v>48811.644052000003</v>
      </c>
    </row>
    <row r="127" spans="2:29" hidden="1" outlineLevel="1" x14ac:dyDescent="0.25">
      <c r="B127" s="291">
        <v>42644</v>
      </c>
      <c r="C127" s="294">
        <v>415563</v>
      </c>
      <c r="D127" s="294">
        <v>35891.800726759087</v>
      </c>
      <c r="E127" s="294">
        <v>25096.386040000001</v>
      </c>
      <c r="F127" s="294">
        <v>302315</v>
      </c>
      <c r="G127" s="294">
        <v>25841.20579246114</v>
      </c>
      <c r="H127" s="294">
        <v>18068.775129000001</v>
      </c>
      <c r="I127" s="294">
        <v>717878</v>
      </c>
      <c r="J127" s="294">
        <v>61733.006519220216</v>
      </c>
      <c r="K127" s="294">
        <v>43165.161168999999</v>
      </c>
      <c r="L127" s="294">
        <v>35331</v>
      </c>
      <c r="M127" s="294">
        <v>4539.6885421236066</v>
      </c>
      <c r="N127" s="294">
        <v>3174.2563439999999</v>
      </c>
      <c r="O127" s="294">
        <v>29264</v>
      </c>
      <c r="P127" s="294">
        <v>3672.1258780813282</v>
      </c>
      <c r="Q127" s="294">
        <v>2567.63625</v>
      </c>
      <c r="R127" s="294">
        <v>64595</v>
      </c>
      <c r="S127" s="294">
        <v>8211.8144202049352</v>
      </c>
      <c r="T127" s="294">
        <v>5741.8925939999999</v>
      </c>
      <c r="U127" s="294">
        <v>450894</v>
      </c>
      <c r="V127" s="294">
        <v>40431.489268882702</v>
      </c>
      <c r="W127" s="294">
        <v>28270.642383999999</v>
      </c>
      <c r="X127" s="294">
        <v>331579</v>
      </c>
      <c r="Y127" s="294">
        <v>29513.33167054247</v>
      </c>
      <c r="Z127" s="294">
        <v>20636.411379000001</v>
      </c>
      <c r="AA127" s="294">
        <v>782473</v>
      </c>
      <c r="AB127" s="294">
        <v>69944.820939425161</v>
      </c>
      <c r="AC127" s="275">
        <v>48907.053763000004</v>
      </c>
    </row>
    <row r="128" spans="2:29" hidden="1" outlineLevel="1" x14ac:dyDescent="0.25">
      <c r="B128" s="291">
        <v>42675</v>
      </c>
      <c r="C128" s="294">
        <v>418973</v>
      </c>
      <c r="D128" s="294">
        <v>36562.592380729067</v>
      </c>
      <c r="E128" s="294">
        <v>25579.163465000001</v>
      </c>
      <c r="F128" s="294">
        <v>304146</v>
      </c>
      <c r="G128" s="294">
        <v>26167.396348844271</v>
      </c>
      <c r="H128" s="294">
        <v>18306.691760000002</v>
      </c>
      <c r="I128" s="294">
        <v>723119</v>
      </c>
      <c r="J128" s="294">
        <v>62729.988729573342</v>
      </c>
      <c r="K128" s="294">
        <v>43885.855224999999</v>
      </c>
      <c r="L128" s="294">
        <v>35297</v>
      </c>
      <c r="M128" s="294">
        <v>4537.0903670488879</v>
      </c>
      <c r="N128" s="294">
        <v>3174.1451740000002</v>
      </c>
      <c r="O128" s="294">
        <v>29235</v>
      </c>
      <c r="P128" s="294">
        <v>3666.0250721045381</v>
      </c>
      <c r="Q128" s="294">
        <v>2564.748517</v>
      </c>
      <c r="R128" s="294">
        <v>64532</v>
      </c>
      <c r="S128" s="294">
        <v>8203.1154391534255</v>
      </c>
      <c r="T128" s="294">
        <v>5738.8936910000002</v>
      </c>
      <c r="U128" s="294">
        <v>454270</v>
      </c>
      <c r="V128" s="294">
        <v>41099.682747777959</v>
      </c>
      <c r="W128" s="294">
        <v>28753.308638999999</v>
      </c>
      <c r="X128" s="294">
        <v>333381</v>
      </c>
      <c r="Y128" s="294">
        <v>29833.421420948809</v>
      </c>
      <c r="Z128" s="294">
        <v>20871.440277000002</v>
      </c>
      <c r="AA128" s="294">
        <v>787651</v>
      </c>
      <c r="AB128" s="294">
        <v>70933.104168726757</v>
      </c>
      <c r="AC128" s="275">
        <v>49624.748915999997</v>
      </c>
    </row>
    <row r="129" spans="2:29" collapsed="1" x14ac:dyDescent="0.25">
      <c r="B129" s="291">
        <v>42705</v>
      </c>
      <c r="C129" s="294">
        <v>420635</v>
      </c>
      <c r="D129" s="294">
        <v>36471.640586233683</v>
      </c>
      <c r="E129" s="294">
        <v>25463.423946999999</v>
      </c>
      <c r="F129" s="294">
        <v>305119</v>
      </c>
      <c r="G129" s="294">
        <v>26082.14085346926</v>
      </c>
      <c r="H129" s="294">
        <v>18209.781609000001</v>
      </c>
      <c r="I129" s="294">
        <v>725754</v>
      </c>
      <c r="J129" s="294">
        <v>62553.781439702943</v>
      </c>
      <c r="K129" s="294">
        <v>43673.205556000001</v>
      </c>
      <c r="L129" s="294">
        <v>35407</v>
      </c>
      <c r="M129" s="294">
        <v>4548.9897263261928</v>
      </c>
      <c r="N129" s="294">
        <v>3175.9704820000002</v>
      </c>
      <c r="O129" s="294">
        <v>29476</v>
      </c>
      <c r="P129" s="294">
        <v>3701.3622017717762</v>
      </c>
      <c r="Q129" s="294">
        <v>2584.1819399999999</v>
      </c>
      <c r="R129" s="294">
        <v>64883</v>
      </c>
      <c r="S129" s="294">
        <v>8250.351928097969</v>
      </c>
      <c r="T129" s="294">
        <v>5760.1524220000001</v>
      </c>
      <c r="U129" s="294">
        <v>456042</v>
      </c>
      <c r="V129" s="294">
        <v>41020.630312559872</v>
      </c>
      <c r="W129" s="294">
        <v>28639.394429</v>
      </c>
      <c r="X129" s="294">
        <v>334595</v>
      </c>
      <c r="Y129" s="294">
        <v>29783.503055241032</v>
      </c>
      <c r="Z129" s="294">
        <v>20793.963549</v>
      </c>
      <c r="AA129" s="294">
        <v>790637</v>
      </c>
      <c r="AB129" s="294">
        <v>70804.13336780091</v>
      </c>
      <c r="AC129" s="275">
        <v>49433.357978</v>
      </c>
    </row>
    <row r="130" spans="2:29" hidden="1" outlineLevel="1" x14ac:dyDescent="0.25">
      <c r="B130" s="291">
        <v>42736</v>
      </c>
      <c r="C130" s="294">
        <v>422492</v>
      </c>
      <c r="D130" s="294">
        <v>40021.650615444683</v>
      </c>
      <c r="E130" s="294">
        <v>28092.849912999998</v>
      </c>
      <c r="F130" s="294">
        <v>306164</v>
      </c>
      <c r="G130" s="294">
        <v>28581.653389407209</v>
      </c>
      <c r="H130" s="294">
        <v>20062.643259</v>
      </c>
      <c r="I130" s="294">
        <v>728656</v>
      </c>
      <c r="J130" s="294">
        <v>68603.304004851889</v>
      </c>
      <c r="K130" s="294">
        <v>48155.493172000002</v>
      </c>
      <c r="L130" s="294">
        <v>35386</v>
      </c>
      <c r="M130" s="294">
        <v>5000.588816390753</v>
      </c>
      <c r="N130" s="294">
        <v>3510.1198709999999</v>
      </c>
      <c r="O130" s="294">
        <v>29465</v>
      </c>
      <c r="P130" s="294">
        <v>4080.0302859170652</v>
      </c>
      <c r="Q130" s="294">
        <v>2863.9418089999999</v>
      </c>
      <c r="R130" s="294">
        <v>64851</v>
      </c>
      <c r="S130" s="294">
        <v>9080.6191023078172</v>
      </c>
      <c r="T130" s="294">
        <v>6374.0616799999998</v>
      </c>
      <c r="U130" s="294">
        <v>457878</v>
      </c>
      <c r="V130" s="294">
        <v>45022.239431835427</v>
      </c>
      <c r="W130" s="294">
        <v>31602.969784000001</v>
      </c>
      <c r="X130" s="294">
        <v>335629</v>
      </c>
      <c r="Y130" s="294">
        <v>32661.683675324271</v>
      </c>
      <c r="Z130" s="294">
        <v>22926.585068</v>
      </c>
      <c r="AA130" s="294">
        <v>793507</v>
      </c>
      <c r="AB130" s="294">
        <v>77683.923107159702</v>
      </c>
      <c r="AC130" s="275">
        <v>54529.554852000001</v>
      </c>
    </row>
    <row r="131" spans="2:29" hidden="1" outlineLevel="1" x14ac:dyDescent="0.25">
      <c r="B131" s="291">
        <v>42767</v>
      </c>
      <c r="C131" s="294">
        <v>424127</v>
      </c>
      <c r="D131" s="294">
        <v>39764.139074098392</v>
      </c>
      <c r="E131" s="294">
        <v>27978.911712000001</v>
      </c>
      <c r="F131" s="294">
        <v>306699</v>
      </c>
      <c r="G131" s="294">
        <v>28458.170716726461</v>
      </c>
      <c r="H131" s="294">
        <v>20023.786872000001</v>
      </c>
      <c r="I131" s="294">
        <v>730826</v>
      </c>
      <c r="J131" s="294">
        <v>68222.309790824846</v>
      </c>
      <c r="K131" s="294">
        <v>48002.698583999998</v>
      </c>
      <c r="L131" s="294">
        <v>35320</v>
      </c>
      <c r="M131" s="294">
        <v>4981.1542362034488</v>
      </c>
      <c r="N131" s="294">
        <v>3504.8482840000001</v>
      </c>
      <c r="O131" s="294">
        <v>29378</v>
      </c>
      <c r="P131" s="294">
        <v>4053.1241718682031</v>
      </c>
      <c r="Q131" s="294">
        <v>2851.8661790000001</v>
      </c>
      <c r="R131" s="294">
        <v>64698</v>
      </c>
      <c r="S131" s="294">
        <v>9034.2784080716519</v>
      </c>
      <c r="T131" s="294">
        <v>6356.7144630000003</v>
      </c>
      <c r="U131" s="294">
        <v>459447</v>
      </c>
      <c r="V131" s="294">
        <v>44745.293310301837</v>
      </c>
      <c r="W131" s="294">
        <v>31483.759996000001</v>
      </c>
      <c r="X131" s="294">
        <v>336077</v>
      </c>
      <c r="Y131" s="294">
        <v>32511.294888594672</v>
      </c>
      <c r="Z131" s="294">
        <v>22875.653051000001</v>
      </c>
      <c r="AA131" s="294">
        <v>795524</v>
      </c>
      <c r="AB131" s="294">
        <v>77256.588198896497</v>
      </c>
      <c r="AC131" s="275">
        <v>54359.413046999987</v>
      </c>
    </row>
    <row r="132" spans="2:29" hidden="1" outlineLevel="1" x14ac:dyDescent="0.25">
      <c r="B132" s="291">
        <v>42795</v>
      </c>
      <c r="C132" s="294">
        <v>424388</v>
      </c>
      <c r="D132" s="294">
        <v>39472.601457762867</v>
      </c>
      <c r="E132" s="294">
        <v>27879.944389</v>
      </c>
      <c r="F132" s="294">
        <v>308300</v>
      </c>
      <c r="G132" s="294">
        <v>28393.48291169764</v>
      </c>
      <c r="H132" s="294">
        <v>20054.637782999998</v>
      </c>
      <c r="I132" s="294">
        <v>732688</v>
      </c>
      <c r="J132" s="294">
        <v>67866.084369460514</v>
      </c>
      <c r="K132" s="294">
        <v>47934.582172000002</v>
      </c>
      <c r="L132" s="294">
        <v>35219</v>
      </c>
      <c r="M132" s="294">
        <v>4939.8987367691834</v>
      </c>
      <c r="N132" s="294">
        <v>3489.1062910000001</v>
      </c>
      <c r="O132" s="294">
        <v>29336</v>
      </c>
      <c r="P132" s="294">
        <v>4027.8561340106248</v>
      </c>
      <c r="Q132" s="294">
        <v>2844.9202959999998</v>
      </c>
      <c r="R132" s="294">
        <v>64555</v>
      </c>
      <c r="S132" s="294">
        <v>8967.7548707798087</v>
      </c>
      <c r="T132" s="294">
        <v>6334.0265870000003</v>
      </c>
      <c r="U132" s="294">
        <v>459607</v>
      </c>
      <c r="V132" s="294">
        <v>44412.500194532047</v>
      </c>
      <c r="W132" s="294">
        <v>31369.05068</v>
      </c>
      <c r="X132" s="294">
        <v>337636</v>
      </c>
      <c r="Y132" s="294">
        <v>32421.339045708261</v>
      </c>
      <c r="Z132" s="294">
        <v>22899.558078999999</v>
      </c>
      <c r="AA132" s="294">
        <v>797243</v>
      </c>
      <c r="AB132" s="294">
        <v>76833.839240240326</v>
      </c>
      <c r="AC132" s="275">
        <v>54268.608759000002</v>
      </c>
    </row>
    <row r="133" spans="2:29" hidden="1" outlineLevel="1" x14ac:dyDescent="0.25">
      <c r="B133" s="291">
        <v>42826</v>
      </c>
      <c r="C133" s="294">
        <v>427169</v>
      </c>
      <c r="D133" s="294">
        <v>39825.943749040242</v>
      </c>
      <c r="E133" s="294">
        <v>28196.861346000002</v>
      </c>
      <c r="F133" s="294">
        <v>310215</v>
      </c>
      <c r="G133" s="294">
        <v>28607.068055883941</v>
      </c>
      <c r="H133" s="294">
        <v>20253.871109</v>
      </c>
      <c r="I133" s="294">
        <v>737384</v>
      </c>
      <c r="J133" s="294">
        <v>68433.011804924186</v>
      </c>
      <c r="K133" s="294">
        <v>48450.732454999998</v>
      </c>
      <c r="L133" s="294">
        <v>35233</v>
      </c>
      <c r="M133" s="294">
        <v>4934.0153149850539</v>
      </c>
      <c r="N133" s="294">
        <v>3493.294386</v>
      </c>
      <c r="O133" s="294">
        <v>29366</v>
      </c>
      <c r="P133" s="294">
        <v>4016.280142690875</v>
      </c>
      <c r="Q133" s="294">
        <v>2843.5357370000002</v>
      </c>
      <c r="R133" s="294">
        <v>64599</v>
      </c>
      <c r="S133" s="294">
        <v>8950.2954576759275</v>
      </c>
      <c r="T133" s="294">
        <v>6336.8301229999997</v>
      </c>
      <c r="U133" s="294">
        <v>462402</v>
      </c>
      <c r="V133" s="294">
        <v>44759.959064025294</v>
      </c>
      <c r="W133" s="294">
        <v>31690.155731999999</v>
      </c>
      <c r="X133" s="294">
        <v>339581</v>
      </c>
      <c r="Y133" s="294">
        <v>32623.348198574811</v>
      </c>
      <c r="Z133" s="294">
        <v>23097.406846000002</v>
      </c>
      <c r="AA133" s="294">
        <v>801983</v>
      </c>
      <c r="AB133" s="294">
        <v>77383.307262600109</v>
      </c>
      <c r="AC133" s="275">
        <v>54787.562577999997</v>
      </c>
    </row>
    <row r="134" spans="2:29" hidden="1" outlineLevel="1" x14ac:dyDescent="0.25">
      <c r="B134" s="291">
        <v>42856</v>
      </c>
      <c r="C134" s="294">
        <v>429990</v>
      </c>
      <c r="D134" s="294">
        <v>40060.460034046613</v>
      </c>
      <c r="E134" s="294">
        <v>28398.884397000002</v>
      </c>
      <c r="F134" s="294">
        <v>312104</v>
      </c>
      <c r="G134" s="294">
        <v>28807.85315113634</v>
      </c>
      <c r="H134" s="294">
        <v>20421.904557999998</v>
      </c>
      <c r="I134" s="294">
        <v>742094</v>
      </c>
      <c r="J134" s="294">
        <v>68868.313185182953</v>
      </c>
      <c r="K134" s="294">
        <v>48820.788955000004</v>
      </c>
      <c r="L134" s="294">
        <v>35231</v>
      </c>
      <c r="M134" s="294">
        <v>4922.1844743726242</v>
      </c>
      <c r="N134" s="294">
        <v>3489.3395569999998</v>
      </c>
      <c r="O134" s="294">
        <v>29372</v>
      </c>
      <c r="P134" s="294">
        <v>4012.55690812187</v>
      </c>
      <c r="Q134" s="294">
        <v>2844.5040239999998</v>
      </c>
      <c r="R134" s="294">
        <v>64603</v>
      </c>
      <c r="S134" s="294">
        <v>8934.7413824944961</v>
      </c>
      <c r="T134" s="294">
        <v>6333.8435810000001</v>
      </c>
      <c r="U134" s="294">
        <v>465221</v>
      </c>
      <c r="V134" s="294">
        <v>44982.644508419231</v>
      </c>
      <c r="W134" s="294">
        <v>31888.223954000001</v>
      </c>
      <c r="X134" s="294">
        <v>341476</v>
      </c>
      <c r="Y134" s="294">
        <v>32820.410059258211</v>
      </c>
      <c r="Z134" s="294">
        <v>23266.408582</v>
      </c>
      <c r="AA134" s="294">
        <v>806697</v>
      </c>
      <c r="AB134" s="294">
        <v>77803.054567677449</v>
      </c>
      <c r="AC134" s="275">
        <v>55154.632535999997</v>
      </c>
    </row>
    <row r="135" spans="2:29" hidden="1" outlineLevel="1" x14ac:dyDescent="0.25">
      <c r="B135" s="291">
        <v>42887</v>
      </c>
      <c r="C135" s="294">
        <v>432504</v>
      </c>
      <c r="D135" s="294">
        <v>40370.346168980199</v>
      </c>
      <c r="E135" s="294">
        <v>28506.998823000002</v>
      </c>
      <c r="F135" s="294">
        <v>313616</v>
      </c>
      <c r="G135" s="294">
        <v>28904.564775416591</v>
      </c>
      <c r="H135" s="294">
        <v>20410.585298999998</v>
      </c>
      <c r="I135" s="294">
        <v>746120</v>
      </c>
      <c r="J135" s="294">
        <v>69274.91094439679</v>
      </c>
      <c r="K135" s="294">
        <v>48917.584122</v>
      </c>
      <c r="L135" s="294">
        <v>35330</v>
      </c>
      <c r="M135" s="294">
        <v>4948.1376683109665</v>
      </c>
      <c r="N135" s="294">
        <v>3494.063541</v>
      </c>
      <c r="O135" s="294">
        <v>29496</v>
      </c>
      <c r="P135" s="294">
        <v>4036.325385919939</v>
      </c>
      <c r="Q135" s="294">
        <v>2850.1990679999999</v>
      </c>
      <c r="R135" s="294">
        <v>64826</v>
      </c>
      <c r="S135" s="294">
        <v>8984.4630542309078</v>
      </c>
      <c r="T135" s="294">
        <v>6344.2626090000003</v>
      </c>
      <c r="U135" s="294">
        <v>467834</v>
      </c>
      <c r="V135" s="294">
        <v>45318.483837291169</v>
      </c>
      <c r="W135" s="294">
        <v>32001.062364000001</v>
      </c>
      <c r="X135" s="294">
        <v>343112</v>
      </c>
      <c r="Y135" s="294">
        <v>32940.890161336531</v>
      </c>
      <c r="Z135" s="294">
        <v>23260.784367</v>
      </c>
      <c r="AA135" s="294">
        <v>810946</v>
      </c>
      <c r="AB135" s="294">
        <v>78259.373998627692</v>
      </c>
      <c r="AC135" s="275">
        <v>55261.846730999998</v>
      </c>
    </row>
    <row r="136" spans="2:29" hidden="1" outlineLevel="1" x14ac:dyDescent="0.25">
      <c r="B136" s="291">
        <v>42917</v>
      </c>
      <c r="C136" s="294">
        <v>434836</v>
      </c>
      <c r="D136" s="294">
        <v>42129.525774006113</v>
      </c>
      <c r="E136" s="294">
        <v>29820.947832999998</v>
      </c>
      <c r="F136" s="294">
        <v>316011</v>
      </c>
      <c r="G136" s="294">
        <v>30339.29104271438</v>
      </c>
      <c r="H136" s="294">
        <v>21475.352471999999</v>
      </c>
      <c r="I136" s="294">
        <v>750847</v>
      </c>
      <c r="J136" s="294">
        <v>72468.816816720486</v>
      </c>
      <c r="K136" s="294">
        <v>51296.300304999997</v>
      </c>
      <c r="L136" s="294">
        <v>35288</v>
      </c>
      <c r="M136" s="294">
        <v>5043.0855267644629</v>
      </c>
      <c r="N136" s="294">
        <v>3569.6957809999999</v>
      </c>
      <c r="O136" s="294">
        <v>29485</v>
      </c>
      <c r="P136" s="294">
        <v>4119.1177994166565</v>
      </c>
      <c r="Q136" s="294">
        <v>2915.6748090000001</v>
      </c>
      <c r="R136" s="294">
        <v>64773</v>
      </c>
      <c r="S136" s="294">
        <v>9162.2033261811193</v>
      </c>
      <c r="T136" s="294">
        <v>6485.3705900000004</v>
      </c>
      <c r="U136" s="294">
        <v>470124</v>
      </c>
      <c r="V136" s="294">
        <v>47172.611300770572</v>
      </c>
      <c r="W136" s="294">
        <v>33390.643614000001</v>
      </c>
      <c r="X136" s="294">
        <v>345496</v>
      </c>
      <c r="Y136" s="294">
        <v>34458.408842131037</v>
      </c>
      <c r="Z136" s="294">
        <v>24391.027280999999</v>
      </c>
      <c r="AA136" s="294">
        <v>815620</v>
      </c>
      <c r="AB136" s="294">
        <v>81631.020142901602</v>
      </c>
      <c r="AC136" s="275">
        <v>57781.670895000003</v>
      </c>
    </row>
    <row r="137" spans="2:29" hidden="1" outlineLevel="1" x14ac:dyDescent="0.25">
      <c r="B137" s="291">
        <v>42948</v>
      </c>
      <c r="C137" s="294">
        <v>436895</v>
      </c>
      <c r="D137" s="294">
        <v>41936.726561918527</v>
      </c>
      <c r="E137" s="294">
        <v>29744.478147999998</v>
      </c>
      <c r="F137" s="294">
        <v>317865</v>
      </c>
      <c r="G137" s="294">
        <v>30176.366026127671</v>
      </c>
      <c r="H137" s="294">
        <v>21403.202716</v>
      </c>
      <c r="I137" s="294">
        <v>754760</v>
      </c>
      <c r="J137" s="294">
        <v>72113.092588046202</v>
      </c>
      <c r="K137" s="294">
        <v>51147.680864000002</v>
      </c>
      <c r="L137" s="294">
        <v>35290</v>
      </c>
      <c r="M137" s="294">
        <v>5005.4896547185463</v>
      </c>
      <c r="N137" s="294">
        <v>3550.2455690000002</v>
      </c>
      <c r="O137" s="294">
        <v>29535</v>
      </c>
      <c r="P137" s="294">
        <v>4111.7670668442097</v>
      </c>
      <c r="Q137" s="294">
        <v>2916.3546059999999</v>
      </c>
      <c r="R137" s="294">
        <v>64825</v>
      </c>
      <c r="S137" s="294">
        <v>9117.256721562755</v>
      </c>
      <c r="T137" s="294">
        <v>6466.6001749999996</v>
      </c>
      <c r="U137" s="294">
        <v>472185</v>
      </c>
      <c r="V137" s="294">
        <v>46942.216216637084</v>
      </c>
      <c r="W137" s="294">
        <v>33294.723717000001</v>
      </c>
      <c r="X137" s="294">
        <v>347400</v>
      </c>
      <c r="Y137" s="294">
        <v>34288.133092971882</v>
      </c>
      <c r="Z137" s="294">
        <v>24319.557322000001</v>
      </c>
      <c r="AA137" s="294">
        <v>819585</v>
      </c>
      <c r="AB137" s="294">
        <v>81230.349309608951</v>
      </c>
      <c r="AC137" s="275">
        <v>57614.281039000001</v>
      </c>
    </row>
    <row r="138" spans="2:29" hidden="1" outlineLevel="1" x14ac:dyDescent="0.25">
      <c r="B138" s="291">
        <v>42979</v>
      </c>
      <c r="C138" s="294">
        <v>439139</v>
      </c>
      <c r="D138" s="294">
        <v>42327.378260060177</v>
      </c>
      <c r="E138" s="294">
        <v>29976.170539999999</v>
      </c>
      <c r="F138" s="294">
        <v>319533</v>
      </c>
      <c r="G138" s="294">
        <v>30329.036178549271</v>
      </c>
      <c r="H138" s="294">
        <v>21478.966999</v>
      </c>
      <c r="I138" s="294">
        <v>758672</v>
      </c>
      <c r="J138" s="294">
        <v>72656.414438609456</v>
      </c>
      <c r="K138" s="294">
        <v>51455.137539000003</v>
      </c>
      <c r="L138" s="294">
        <v>35214</v>
      </c>
      <c r="M138" s="294">
        <v>4992.3406064743713</v>
      </c>
      <c r="N138" s="294">
        <v>3535.5663300000001</v>
      </c>
      <c r="O138" s="294">
        <v>29509</v>
      </c>
      <c r="P138" s="294">
        <v>4097.7167751919433</v>
      </c>
      <c r="Q138" s="294">
        <v>2901.9953970000001</v>
      </c>
      <c r="R138" s="294">
        <v>64723</v>
      </c>
      <c r="S138" s="294">
        <v>9090.0573816663145</v>
      </c>
      <c r="T138" s="294">
        <v>6437.5617270000002</v>
      </c>
      <c r="U138" s="294">
        <v>474353</v>
      </c>
      <c r="V138" s="294">
        <v>47319.718866534553</v>
      </c>
      <c r="W138" s="294">
        <v>33511.736870000001</v>
      </c>
      <c r="X138" s="294">
        <v>349042</v>
      </c>
      <c r="Y138" s="294">
        <v>34426.752953741212</v>
      </c>
      <c r="Z138" s="294">
        <v>24380.962395999999</v>
      </c>
      <c r="AA138" s="294">
        <v>823395</v>
      </c>
      <c r="AB138" s="294">
        <v>81746.471820275765</v>
      </c>
      <c r="AC138" s="275">
        <v>57892.699266000003</v>
      </c>
    </row>
    <row r="139" spans="2:29" hidden="1" outlineLevel="1" x14ac:dyDescent="0.25">
      <c r="B139" s="291">
        <v>43009</v>
      </c>
      <c r="C139" s="294">
        <v>442652</v>
      </c>
      <c r="D139" s="294">
        <v>42594.17338128476</v>
      </c>
      <c r="E139" s="294">
        <v>30342.106068000001</v>
      </c>
      <c r="F139" s="294">
        <v>321666</v>
      </c>
      <c r="G139" s="294">
        <v>30490.245201495749</v>
      </c>
      <c r="H139" s="294">
        <v>21719.831152999999</v>
      </c>
      <c r="I139" s="294">
        <v>764318</v>
      </c>
      <c r="J139" s="294">
        <v>73084.418582780505</v>
      </c>
      <c r="K139" s="294">
        <v>52061.937221</v>
      </c>
      <c r="L139" s="294">
        <v>35178</v>
      </c>
      <c r="M139" s="294">
        <v>4979.1466089015557</v>
      </c>
      <c r="N139" s="294">
        <v>3546.9122309999998</v>
      </c>
      <c r="O139" s="294">
        <v>29486</v>
      </c>
      <c r="P139" s="294">
        <v>4073.812267971341</v>
      </c>
      <c r="Q139" s="294">
        <v>2901.9941960000001</v>
      </c>
      <c r="R139" s="294">
        <v>64664</v>
      </c>
      <c r="S139" s="294">
        <v>9052.9588768728972</v>
      </c>
      <c r="T139" s="294">
        <v>6448.9064269999999</v>
      </c>
      <c r="U139" s="294">
        <v>477830</v>
      </c>
      <c r="V139" s="294">
        <v>47573.319990186312</v>
      </c>
      <c r="W139" s="294">
        <v>33889.018299000003</v>
      </c>
      <c r="X139" s="294">
        <v>351152</v>
      </c>
      <c r="Y139" s="294">
        <v>34564.057469467087</v>
      </c>
      <c r="Z139" s="294">
        <v>24621.825348999999</v>
      </c>
      <c r="AA139" s="294">
        <v>828982</v>
      </c>
      <c r="AB139" s="294">
        <v>82137.377459653406</v>
      </c>
      <c r="AC139" s="275">
        <v>58510.843648000002</v>
      </c>
    </row>
    <row r="140" spans="2:29" hidden="1" outlineLevel="1" x14ac:dyDescent="0.25">
      <c r="B140" s="291">
        <v>43040</v>
      </c>
      <c r="C140" s="294">
        <v>445509</v>
      </c>
      <c r="D140" s="294">
        <v>42836.184727703119</v>
      </c>
      <c r="E140" s="294">
        <v>30540.62113</v>
      </c>
      <c r="F140" s="294">
        <v>323597</v>
      </c>
      <c r="G140" s="294">
        <v>30565.785372112841</v>
      </c>
      <c r="H140" s="294">
        <v>21792.278573</v>
      </c>
      <c r="I140" s="294">
        <v>769106</v>
      </c>
      <c r="J140" s="294">
        <v>73401.970099815968</v>
      </c>
      <c r="K140" s="294">
        <v>52332.899703000003</v>
      </c>
      <c r="L140" s="294">
        <v>35101</v>
      </c>
      <c r="M140" s="294">
        <v>4959.5254506613956</v>
      </c>
      <c r="N140" s="294">
        <v>3535.9588800000001</v>
      </c>
      <c r="O140" s="294">
        <v>29463</v>
      </c>
      <c r="P140" s="294">
        <v>4070.4234719688352</v>
      </c>
      <c r="Q140" s="294">
        <v>2902.0619339999998</v>
      </c>
      <c r="R140" s="294">
        <v>64564</v>
      </c>
      <c r="S140" s="294">
        <v>9029.9489226302321</v>
      </c>
      <c r="T140" s="294">
        <v>6438.0208140000004</v>
      </c>
      <c r="U140" s="294">
        <v>480610</v>
      </c>
      <c r="V140" s="294">
        <v>47795.710178364519</v>
      </c>
      <c r="W140" s="294">
        <v>34076.580009999998</v>
      </c>
      <c r="X140" s="294">
        <v>353060</v>
      </c>
      <c r="Y140" s="294">
        <v>34636.208844081681</v>
      </c>
      <c r="Z140" s="294">
        <v>24694.340507000001</v>
      </c>
      <c r="AA140" s="294">
        <v>833670</v>
      </c>
      <c r="AB140" s="294">
        <v>82431.919022446207</v>
      </c>
      <c r="AC140" s="275">
        <v>58770.920517000013</v>
      </c>
    </row>
    <row r="141" spans="2:29" collapsed="1" x14ac:dyDescent="0.25">
      <c r="B141" s="291">
        <v>43070</v>
      </c>
      <c r="C141" s="294">
        <v>448472</v>
      </c>
      <c r="D141" s="294">
        <v>43151.580392609612</v>
      </c>
      <c r="E141" s="294">
        <v>30810.925061000002</v>
      </c>
      <c r="F141" s="294">
        <v>325611</v>
      </c>
      <c r="G141" s="294">
        <v>30744.873703635421</v>
      </c>
      <c r="H141" s="294">
        <v>21952.336185</v>
      </c>
      <c r="I141" s="294">
        <v>774083</v>
      </c>
      <c r="J141" s="294">
        <v>73896.454096245026</v>
      </c>
      <c r="K141" s="294">
        <v>52763.261246000002</v>
      </c>
      <c r="L141" s="294">
        <v>35047</v>
      </c>
      <c r="M141" s="294">
        <v>4940.5344279319424</v>
      </c>
      <c r="N141" s="294">
        <v>3527.6213440000001</v>
      </c>
      <c r="O141" s="294">
        <v>29394</v>
      </c>
      <c r="P141" s="294">
        <v>4047.5977668894438</v>
      </c>
      <c r="Q141" s="294">
        <v>2890.0501519999998</v>
      </c>
      <c r="R141" s="294">
        <v>64441</v>
      </c>
      <c r="S141" s="294">
        <v>8988.1321948213845</v>
      </c>
      <c r="T141" s="294">
        <v>6417.6714959999999</v>
      </c>
      <c r="U141" s="294">
        <v>483519</v>
      </c>
      <c r="V141" s="294">
        <v>48092.114820541537</v>
      </c>
      <c r="W141" s="294">
        <v>34338.546405000001</v>
      </c>
      <c r="X141" s="294">
        <v>355005</v>
      </c>
      <c r="Y141" s="294">
        <v>34792.471470524863</v>
      </c>
      <c r="Z141" s="294">
        <v>24842.386337</v>
      </c>
      <c r="AA141" s="294">
        <v>838524</v>
      </c>
      <c r="AB141" s="294">
        <v>82884.586291066415</v>
      </c>
      <c r="AC141" s="275">
        <v>59180.932741999997</v>
      </c>
    </row>
    <row r="142" spans="2:29" hidden="1" outlineLevel="1" x14ac:dyDescent="0.25">
      <c r="B142" s="291">
        <v>43101</v>
      </c>
      <c r="C142" s="294">
        <v>451178</v>
      </c>
      <c r="D142" s="294">
        <v>43239.672653992537</v>
      </c>
      <c r="E142" s="294">
        <v>31016.005504000001</v>
      </c>
      <c r="F142" s="294">
        <v>327550</v>
      </c>
      <c r="G142" s="294">
        <v>30781.503321044442</v>
      </c>
      <c r="H142" s="294">
        <v>22079.706386000002</v>
      </c>
      <c r="I142" s="294">
        <v>778728</v>
      </c>
      <c r="J142" s="294">
        <v>74021.175975036967</v>
      </c>
      <c r="K142" s="294">
        <v>53095.711889999999</v>
      </c>
      <c r="L142" s="294">
        <v>35049</v>
      </c>
      <c r="M142" s="294">
        <v>4917.1889426786429</v>
      </c>
      <c r="N142" s="294">
        <v>3527.1210430000001</v>
      </c>
      <c r="O142" s="294">
        <v>29405</v>
      </c>
      <c r="P142" s="294">
        <v>4038.699752424805</v>
      </c>
      <c r="Q142" s="294">
        <v>2896.9769209999999</v>
      </c>
      <c r="R142" s="294">
        <v>64454</v>
      </c>
      <c r="S142" s="294">
        <v>8955.8886951034474</v>
      </c>
      <c r="T142" s="294">
        <v>6424.0979639999996</v>
      </c>
      <c r="U142" s="294">
        <v>486227</v>
      </c>
      <c r="V142" s="294">
        <v>48156.86159667118</v>
      </c>
      <c r="W142" s="294">
        <v>34543.126547</v>
      </c>
      <c r="X142" s="294">
        <v>356955</v>
      </c>
      <c r="Y142" s="294">
        <v>34820.203073469253</v>
      </c>
      <c r="Z142" s="294">
        <v>24976.683306999999</v>
      </c>
      <c r="AA142" s="294">
        <v>843182</v>
      </c>
      <c r="AB142" s="294">
        <v>82977.064670140418</v>
      </c>
      <c r="AC142" s="275">
        <v>59519.809853999999</v>
      </c>
    </row>
    <row r="143" spans="2:29" hidden="1" outlineLevel="1" x14ac:dyDescent="0.25">
      <c r="B143" s="291">
        <v>43132</v>
      </c>
      <c r="C143" s="294">
        <v>453700</v>
      </c>
      <c r="D143" s="294">
        <v>43137.527930635537</v>
      </c>
      <c r="E143" s="294">
        <v>30974.827267000001</v>
      </c>
      <c r="F143" s="294">
        <v>329547</v>
      </c>
      <c r="G143" s="294">
        <v>30835.16147946009</v>
      </c>
      <c r="H143" s="294">
        <v>22141.134330000001</v>
      </c>
      <c r="I143" s="294">
        <v>783247</v>
      </c>
      <c r="J143" s="294">
        <v>73972.689410095627</v>
      </c>
      <c r="K143" s="294">
        <v>53115.961597000001</v>
      </c>
      <c r="L143" s="294">
        <v>35033</v>
      </c>
      <c r="M143" s="294">
        <v>4903.8978007076475</v>
      </c>
      <c r="N143" s="294">
        <v>3521.2353280000002</v>
      </c>
      <c r="O143" s="294">
        <v>29490</v>
      </c>
      <c r="P143" s="294">
        <v>4047.1679297361429</v>
      </c>
      <c r="Q143" s="294">
        <v>2906.0619270000002</v>
      </c>
      <c r="R143" s="294">
        <v>64523</v>
      </c>
      <c r="S143" s="294">
        <v>8951.0657304437918</v>
      </c>
      <c r="T143" s="294">
        <v>6427.2972550000004</v>
      </c>
      <c r="U143" s="294">
        <v>488733</v>
      </c>
      <c r="V143" s="294">
        <v>48041.425731343188</v>
      </c>
      <c r="W143" s="294">
        <v>34496.062595000003</v>
      </c>
      <c r="X143" s="294">
        <v>359037</v>
      </c>
      <c r="Y143" s="294">
        <v>34882.329409196231</v>
      </c>
      <c r="Z143" s="294">
        <v>25047.196257</v>
      </c>
      <c r="AA143" s="294">
        <v>847770</v>
      </c>
      <c r="AB143" s="294">
        <v>82923.755140539419</v>
      </c>
      <c r="AC143" s="275">
        <v>59543.258851999999</v>
      </c>
    </row>
    <row r="144" spans="2:29" hidden="1" outlineLevel="1" x14ac:dyDescent="0.25">
      <c r="B144" s="291">
        <v>43160</v>
      </c>
      <c r="C144" s="294">
        <v>458631</v>
      </c>
      <c r="D144" s="294">
        <v>44083.371015970377</v>
      </c>
      <c r="E144" s="294">
        <v>31717.601551</v>
      </c>
      <c r="F144" s="294">
        <v>332732</v>
      </c>
      <c r="G144" s="294">
        <v>31367.13439902657</v>
      </c>
      <c r="H144" s="294">
        <v>22568.380043000001</v>
      </c>
      <c r="I144" s="294">
        <v>791363</v>
      </c>
      <c r="J144" s="294">
        <v>75450.505414996936</v>
      </c>
      <c r="K144" s="294">
        <v>54285.981593999997</v>
      </c>
      <c r="L144" s="294">
        <v>35283</v>
      </c>
      <c r="M144" s="294">
        <v>4973.5023560472519</v>
      </c>
      <c r="N144" s="294">
        <v>3578.3916340000001</v>
      </c>
      <c r="O144" s="294">
        <v>29743</v>
      </c>
      <c r="P144" s="294">
        <v>4103.6702923461189</v>
      </c>
      <c r="Q144" s="294">
        <v>2952.5550389999999</v>
      </c>
      <c r="R144" s="294">
        <v>65026</v>
      </c>
      <c r="S144" s="294">
        <v>9077.1726483933708</v>
      </c>
      <c r="T144" s="294">
        <v>6530.9466730000004</v>
      </c>
      <c r="U144" s="294">
        <v>493914</v>
      </c>
      <c r="V144" s="294">
        <v>49056.873372017631</v>
      </c>
      <c r="W144" s="294">
        <v>35295.993184999999</v>
      </c>
      <c r="X144" s="294">
        <v>362475</v>
      </c>
      <c r="Y144" s="294">
        <v>35470.804691372687</v>
      </c>
      <c r="Z144" s="294">
        <v>25520.935082</v>
      </c>
      <c r="AA144" s="294">
        <v>856389</v>
      </c>
      <c r="AB144" s="294">
        <v>84527.678063390311</v>
      </c>
      <c r="AC144" s="275">
        <v>60816.928267000003</v>
      </c>
    </row>
    <row r="145" spans="2:29" hidden="1" outlineLevel="1" x14ac:dyDescent="0.25">
      <c r="B145" s="291">
        <v>43191</v>
      </c>
      <c r="C145" s="294">
        <v>464449</v>
      </c>
      <c r="D145" s="294">
        <v>44611.76528521486</v>
      </c>
      <c r="E145" s="294">
        <v>32183.666956000001</v>
      </c>
      <c r="F145" s="294">
        <v>336427</v>
      </c>
      <c r="G145" s="294">
        <v>31608.18324170103</v>
      </c>
      <c r="H145" s="294">
        <v>22802.667323999998</v>
      </c>
      <c r="I145" s="294">
        <v>800876</v>
      </c>
      <c r="J145" s="294">
        <v>76219.94852691589</v>
      </c>
      <c r="K145" s="294">
        <v>54986.334280000003</v>
      </c>
      <c r="L145" s="294">
        <v>35549</v>
      </c>
      <c r="M145" s="294">
        <v>4972.2372495071631</v>
      </c>
      <c r="N145" s="294">
        <v>3587.0543710000002</v>
      </c>
      <c r="O145" s="294">
        <v>29988</v>
      </c>
      <c r="P145" s="294">
        <v>4096.5596103708094</v>
      </c>
      <c r="Q145" s="294">
        <v>2955.3260070000001</v>
      </c>
      <c r="R145" s="294">
        <v>65537</v>
      </c>
      <c r="S145" s="294">
        <v>9068.7968598779717</v>
      </c>
      <c r="T145" s="294">
        <v>6542.3803779999998</v>
      </c>
      <c r="U145" s="294">
        <v>499998</v>
      </c>
      <c r="V145" s="294">
        <v>49584.002534722022</v>
      </c>
      <c r="W145" s="294">
        <v>35770.721326999999</v>
      </c>
      <c r="X145" s="294">
        <v>366415</v>
      </c>
      <c r="Y145" s="294">
        <v>35704.742852071839</v>
      </c>
      <c r="Z145" s="294">
        <v>25757.993331000001</v>
      </c>
      <c r="AA145" s="294">
        <v>866413</v>
      </c>
      <c r="AB145" s="294">
        <v>85288.74538679386</v>
      </c>
      <c r="AC145" s="275">
        <v>61528.714657999997</v>
      </c>
    </row>
    <row r="146" spans="2:29" hidden="1" outlineLevel="1" x14ac:dyDescent="0.25">
      <c r="B146" s="291">
        <v>43221</v>
      </c>
      <c r="C146" s="294">
        <v>468409</v>
      </c>
      <c r="D146" s="294">
        <v>44657.137385275819</v>
      </c>
      <c r="E146" s="294">
        <v>32299.686548999998</v>
      </c>
      <c r="F146" s="294">
        <v>339383</v>
      </c>
      <c r="G146" s="294">
        <v>31759.562813018689</v>
      </c>
      <c r="H146" s="294">
        <v>22971.107953999999</v>
      </c>
      <c r="I146" s="294">
        <v>807792</v>
      </c>
      <c r="J146" s="294">
        <v>76416.700198294508</v>
      </c>
      <c r="K146" s="294">
        <v>55270.794502999997</v>
      </c>
      <c r="L146" s="294">
        <v>35884</v>
      </c>
      <c r="M146" s="294">
        <v>5016.6491537323363</v>
      </c>
      <c r="N146" s="294">
        <v>3628.4501129999999</v>
      </c>
      <c r="O146" s="294">
        <v>30386</v>
      </c>
      <c r="P146" s="294">
        <v>4146.1809488179806</v>
      </c>
      <c r="Q146" s="294">
        <v>2998.8564620000002</v>
      </c>
      <c r="R146" s="294">
        <v>66270</v>
      </c>
      <c r="S146" s="294">
        <v>9162.830102550317</v>
      </c>
      <c r="T146" s="294">
        <v>6627.3065749999996</v>
      </c>
      <c r="U146" s="294">
        <v>504293</v>
      </c>
      <c r="V146" s="294">
        <v>49673.786539008157</v>
      </c>
      <c r="W146" s="294">
        <v>35928.136661999997</v>
      </c>
      <c r="X146" s="294">
        <v>369769</v>
      </c>
      <c r="Y146" s="294">
        <v>35905.743761836668</v>
      </c>
      <c r="Z146" s="294">
        <v>25969.964415999999</v>
      </c>
      <c r="AA146" s="294">
        <v>874062</v>
      </c>
      <c r="AB146" s="294">
        <v>85579.530300844825</v>
      </c>
      <c r="AC146" s="275">
        <v>61898.101078</v>
      </c>
    </row>
    <row r="147" spans="2:29" hidden="1" outlineLevel="1" x14ac:dyDescent="0.25">
      <c r="B147" s="291">
        <v>43252</v>
      </c>
      <c r="C147" s="294">
        <v>471975</v>
      </c>
      <c r="D147" s="294">
        <v>44947.351893591673</v>
      </c>
      <c r="E147" s="294">
        <v>32539.504044000001</v>
      </c>
      <c r="F147" s="294">
        <v>342712</v>
      </c>
      <c r="G147" s="294">
        <v>32044.885099381161</v>
      </c>
      <c r="H147" s="294">
        <v>23198.800916</v>
      </c>
      <c r="I147" s="294">
        <v>814687</v>
      </c>
      <c r="J147" s="294">
        <v>76992.23699297283</v>
      </c>
      <c r="K147" s="294">
        <v>55738.304960000001</v>
      </c>
      <c r="L147" s="294">
        <v>36044</v>
      </c>
      <c r="M147" s="294">
        <v>5006.622850938008</v>
      </c>
      <c r="N147" s="294">
        <v>3624.5299810000001</v>
      </c>
      <c r="O147" s="294">
        <v>30563</v>
      </c>
      <c r="P147" s="294">
        <v>4131.1741576401</v>
      </c>
      <c r="Q147" s="294">
        <v>2990.7514580000002</v>
      </c>
      <c r="R147" s="294">
        <v>66607</v>
      </c>
      <c r="S147" s="294">
        <v>9137.7970085781089</v>
      </c>
      <c r="T147" s="294">
        <v>6615.2814390000003</v>
      </c>
      <c r="U147" s="294">
        <v>508019</v>
      </c>
      <c r="V147" s="294">
        <v>49953.974744529667</v>
      </c>
      <c r="W147" s="294">
        <v>36164.034025000001</v>
      </c>
      <c r="X147" s="294">
        <v>373275</v>
      </c>
      <c r="Y147" s="294">
        <v>36176.059257021261</v>
      </c>
      <c r="Z147" s="294">
        <v>26189.552373999999</v>
      </c>
      <c r="AA147" s="294">
        <v>881294</v>
      </c>
      <c r="AB147" s="294">
        <v>86130.034001550943</v>
      </c>
      <c r="AC147" s="275">
        <v>62353.586399</v>
      </c>
    </row>
    <row r="148" spans="2:29" hidden="1" outlineLevel="1" x14ac:dyDescent="0.25">
      <c r="B148" s="291">
        <v>43282</v>
      </c>
      <c r="C148" s="294">
        <v>475671</v>
      </c>
      <c r="D148" s="294">
        <v>46941.8359358421</v>
      </c>
      <c r="E148" s="294">
        <v>34093.858626000001</v>
      </c>
      <c r="F148" s="294">
        <v>346201</v>
      </c>
      <c r="G148" s="294">
        <v>33468.446986919378</v>
      </c>
      <c r="H148" s="294">
        <v>24308.135318000001</v>
      </c>
      <c r="I148" s="294">
        <v>821872</v>
      </c>
      <c r="J148" s="294">
        <v>80410.282922761471</v>
      </c>
      <c r="K148" s="294">
        <v>58401.993944000002</v>
      </c>
      <c r="L148" s="294">
        <v>36149</v>
      </c>
      <c r="M148" s="294">
        <v>5114.8047526833934</v>
      </c>
      <c r="N148" s="294">
        <v>3714.8830389999998</v>
      </c>
      <c r="O148" s="294">
        <v>30697</v>
      </c>
      <c r="P148" s="294">
        <v>4240.7486578458556</v>
      </c>
      <c r="Q148" s="294">
        <v>3080.0560380000002</v>
      </c>
      <c r="R148" s="294">
        <v>66846</v>
      </c>
      <c r="S148" s="294">
        <v>9355.5534105292481</v>
      </c>
      <c r="T148" s="294">
        <v>6794.939077</v>
      </c>
      <c r="U148" s="294">
        <v>511820</v>
      </c>
      <c r="V148" s="294">
        <v>52056.640688525491</v>
      </c>
      <c r="W148" s="294">
        <v>37808.741665000001</v>
      </c>
      <c r="X148" s="294">
        <v>376898</v>
      </c>
      <c r="Y148" s="294">
        <v>37709.195644765226</v>
      </c>
      <c r="Z148" s="294">
        <v>27388.191355999999</v>
      </c>
      <c r="AA148" s="294">
        <v>888718</v>
      </c>
      <c r="AB148" s="294">
        <v>89765.836333290717</v>
      </c>
      <c r="AC148" s="275">
        <v>65196.933020999997</v>
      </c>
    </row>
    <row r="149" spans="2:29" hidden="1" outlineLevel="1" x14ac:dyDescent="0.25">
      <c r="B149" s="291">
        <v>43313</v>
      </c>
      <c r="C149" s="294">
        <v>478874</v>
      </c>
      <c r="D149" s="294">
        <v>47236.437936897288</v>
      </c>
      <c r="E149" s="294">
        <v>34336.824353000004</v>
      </c>
      <c r="F149" s="294">
        <v>349112</v>
      </c>
      <c r="G149" s="294">
        <v>33672.242908878507</v>
      </c>
      <c r="H149" s="294">
        <v>24476.822149</v>
      </c>
      <c r="I149" s="294">
        <v>827986</v>
      </c>
      <c r="J149" s="294">
        <v>80908.680845775802</v>
      </c>
      <c r="K149" s="294">
        <v>58813.646502000003</v>
      </c>
      <c r="L149" s="294">
        <v>36176</v>
      </c>
      <c r="M149" s="294">
        <v>5093.0829702454121</v>
      </c>
      <c r="N149" s="294">
        <v>3702.2329159999999</v>
      </c>
      <c r="O149" s="294">
        <v>30737</v>
      </c>
      <c r="P149" s="294">
        <v>4226.0870411654514</v>
      </c>
      <c r="Q149" s="294">
        <v>3072.0015050000002</v>
      </c>
      <c r="R149" s="294">
        <v>66913</v>
      </c>
      <c r="S149" s="294">
        <v>9319.1700114108626</v>
      </c>
      <c r="T149" s="294">
        <v>6774.2344210000001</v>
      </c>
      <c r="U149" s="294">
        <v>515050</v>
      </c>
      <c r="V149" s="294">
        <v>52329.520907142702</v>
      </c>
      <c r="W149" s="294">
        <v>38039.057268999997</v>
      </c>
      <c r="X149" s="294">
        <v>379849</v>
      </c>
      <c r="Y149" s="294">
        <v>37898.329950043961</v>
      </c>
      <c r="Z149" s="294">
        <v>27548.823654</v>
      </c>
      <c r="AA149" s="294">
        <v>894899</v>
      </c>
      <c r="AB149" s="294">
        <v>90227.85085718667</v>
      </c>
      <c r="AC149" s="275">
        <v>65587.880923000004</v>
      </c>
    </row>
    <row r="150" spans="2:29" hidden="1" outlineLevel="1" x14ac:dyDescent="0.25">
      <c r="B150" s="291">
        <v>43344</v>
      </c>
      <c r="C150" s="294">
        <v>481641</v>
      </c>
      <c r="D150" s="294">
        <v>47496.174864543384</v>
      </c>
      <c r="E150" s="294">
        <v>34595.251150999997</v>
      </c>
      <c r="F150" s="294">
        <v>351534</v>
      </c>
      <c r="G150" s="294">
        <v>33775.047137288799</v>
      </c>
      <c r="H150" s="294">
        <v>24601.059805000001</v>
      </c>
      <c r="I150" s="294">
        <v>833175</v>
      </c>
      <c r="J150" s="294">
        <v>81271.222001832182</v>
      </c>
      <c r="K150" s="294">
        <v>59196.310956000001</v>
      </c>
      <c r="L150" s="294">
        <v>36125</v>
      </c>
      <c r="M150" s="294">
        <v>5059.3865846016106</v>
      </c>
      <c r="N150" s="294">
        <v>3685.1546480000002</v>
      </c>
      <c r="O150" s="294">
        <v>30718</v>
      </c>
      <c r="P150" s="294">
        <v>4205.271219922497</v>
      </c>
      <c r="Q150" s="294">
        <v>3063.0343269999998</v>
      </c>
      <c r="R150" s="294">
        <v>66843</v>
      </c>
      <c r="S150" s="294">
        <v>9264.6578045241076</v>
      </c>
      <c r="T150" s="294">
        <v>6748.188975</v>
      </c>
      <c r="U150" s="294">
        <v>517766</v>
      </c>
      <c r="V150" s="294">
        <v>52555.561449144989</v>
      </c>
      <c r="W150" s="294">
        <v>38280.405799</v>
      </c>
      <c r="X150" s="294">
        <v>382252</v>
      </c>
      <c r="Y150" s="294">
        <v>37980.318357211298</v>
      </c>
      <c r="Z150" s="294">
        <v>27664.094131999998</v>
      </c>
      <c r="AA150" s="294">
        <v>900018</v>
      </c>
      <c r="AB150" s="294">
        <v>90535.879806356286</v>
      </c>
      <c r="AC150" s="275">
        <v>65944.499930999998</v>
      </c>
    </row>
    <row r="151" spans="2:29" hidden="1" outlineLevel="1" x14ac:dyDescent="0.25">
      <c r="B151" s="291">
        <v>43374</v>
      </c>
      <c r="C151" s="294">
        <v>485731</v>
      </c>
      <c r="D151" s="294">
        <v>47889.961657850043</v>
      </c>
      <c r="E151" s="294">
        <v>35020.226123</v>
      </c>
      <c r="F151" s="294">
        <v>354434</v>
      </c>
      <c r="G151" s="294">
        <v>33992.734687020551</v>
      </c>
      <c r="H151" s="294">
        <v>24857.678187000001</v>
      </c>
      <c r="I151" s="294">
        <v>840165</v>
      </c>
      <c r="J151" s="294">
        <v>81882.696344870579</v>
      </c>
      <c r="K151" s="294">
        <v>59877.904309999998</v>
      </c>
      <c r="L151" s="294">
        <v>36113</v>
      </c>
      <c r="M151" s="294">
        <v>5052.1732306885151</v>
      </c>
      <c r="N151" s="294">
        <v>3694.4746420000001</v>
      </c>
      <c r="O151" s="294">
        <v>30790</v>
      </c>
      <c r="P151" s="294">
        <v>4209.2985221656791</v>
      </c>
      <c r="Q151" s="294">
        <v>3078.110338</v>
      </c>
      <c r="R151" s="294">
        <v>66903</v>
      </c>
      <c r="S151" s="294">
        <v>9261.4717528541933</v>
      </c>
      <c r="T151" s="294">
        <v>6772.5849799999996</v>
      </c>
      <c r="U151" s="294">
        <v>521844</v>
      </c>
      <c r="V151" s="294">
        <v>52942.134888538552</v>
      </c>
      <c r="W151" s="294">
        <v>38714.700765000001</v>
      </c>
      <c r="X151" s="294">
        <v>385224</v>
      </c>
      <c r="Y151" s="294">
        <v>38202.033209186229</v>
      </c>
      <c r="Z151" s="294">
        <v>27935.788525</v>
      </c>
      <c r="AA151" s="294">
        <v>907068</v>
      </c>
      <c r="AB151" s="294">
        <v>91144.168097724774</v>
      </c>
      <c r="AC151" s="275">
        <v>66650.489289999998</v>
      </c>
    </row>
    <row r="152" spans="2:29" hidden="1" outlineLevel="1" x14ac:dyDescent="0.25">
      <c r="B152" s="291">
        <v>43405</v>
      </c>
      <c r="C152" s="294">
        <v>489744</v>
      </c>
      <c r="D152" s="294">
        <v>48403.12048380448</v>
      </c>
      <c r="E152" s="294">
        <v>35365.985253999999</v>
      </c>
      <c r="F152" s="294">
        <v>357070</v>
      </c>
      <c r="G152" s="294">
        <v>34168.192142558772</v>
      </c>
      <c r="H152" s="294">
        <v>24965.162729</v>
      </c>
      <c r="I152" s="294">
        <v>846814</v>
      </c>
      <c r="J152" s="294">
        <v>82571.312626363258</v>
      </c>
      <c r="K152" s="294">
        <v>60331.147983000003</v>
      </c>
      <c r="L152" s="294">
        <v>36146</v>
      </c>
      <c r="M152" s="294">
        <v>5067.2695089174867</v>
      </c>
      <c r="N152" s="294">
        <v>3702.426144</v>
      </c>
      <c r="O152" s="294">
        <v>30850</v>
      </c>
      <c r="P152" s="294">
        <v>4213.6431975092883</v>
      </c>
      <c r="Q152" s="294">
        <v>3078.7197540000002</v>
      </c>
      <c r="R152" s="294">
        <v>66996</v>
      </c>
      <c r="S152" s="294">
        <v>9280.9127064267741</v>
      </c>
      <c r="T152" s="294">
        <v>6781.1458979999998</v>
      </c>
      <c r="U152" s="294">
        <v>525890</v>
      </c>
      <c r="V152" s="294">
        <v>53470.389992721968</v>
      </c>
      <c r="W152" s="294">
        <v>39068.411397999997</v>
      </c>
      <c r="X152" s="294">
        <v>387920</v>
      </c>
      <c r="Y152" s="294">
        <v>38381.835340068057</v>
      </c>
      <c r="Z152" s="294">
        <v>28043.882483000001</v>
      </c>
      <c r="AA152" s="294">
        <v>913810</v>
      </c>
      <c r="AB152" s="294">
        <v>91852.225332790025</v>
      </c>
      <c r="AC152" s="275">
        <v>67112.293881000005</v>
      </c>
    </row>
    <row r="153" spans="2:29" collapsed="1" x14ac:dyDescent="0.25">
      <c r="B153" s="291">
        <v>43435</v>
      </c>
      <c r="C153" s="294">
        <v>493400</v>
      </c>
      <c r="D153" s="294">
        <v>48914.303748281927</v>
      </c>
      <c r="E153" s="294">
        <v>35673.355039000002</v>
      </c>
      <c r="F153" s="294">
        <v>360031</v>
      </c>
      <c r="G153" s="294">
        <v>34689.511096040369</v>
      </c>
      <c r="H153" s="294">
        <v>25299.169172000002</v>
      </c>
      <c r="I153" s="294">
        <v>853431</v>
      </c>
      <c r="J153" s="294">
        <v>83603.814844322304</v>
      </c>
      <c r="K153" s="294">
        <v>60972.524211000004</v>
      </c>
      <c r="L153" s="294">
        <v>36075</v>
      </c>
      <c r="M153" s="294">
        <v>5062.3413516584123</v>
      </c>
      <c r="N153" s="294">
        <v>3691.9814150000002</v>
      </c>
      <c r="O153" s="294">
        <v>30827</v>
      </c>
      <c r="P153" s="294">
        <v>4226.3331717001311</v>
      </c>
      <c r="Q153" s="294">
        <v>3082.2780290000001</v>
      </c>
      <c r="R153" s="294">
        <v>66902</v>
      </c>
      <c r="S153" s="294">
        <v>9288.6745233585443</v>
      </c>
      <c r="T153" s="294">
        <v>6774.2594440000003</v>
      </c>
      <c r="U153" s="294">
        <v>529475</v>
      </c>
      <c r="V153" s="294">
        <v>53976.645099940339</v>
      </c>
      <c r="W153" s="294">
        <v>39365.336453999997</v>
      </c>
      <c r="X153" s="294">
        <v>390858</v>
      </c>
      <c r="Y153" s="294">
        <v>38915.844267740496</v>
      </c>
      <c r="Z153" s="294">
        <v>28381.447200999999</v>
      </c>
      <c r="AA153" s="294">
        <v>920333</v>
      </c>
      <c r="AB153" s="294">
        <v>92892.489367680842</v>
      </c>
      <c r="AC153" s="275">
        <v>67746.783655000007</v>
      </c>
    </row>
    <row r="154" spans="2:29" hidden="1" outlineLevel="1" x14ac:dyDescent="0.25">
      <c r="B154" s="291">
        <v>43466</v>
      </c>
      <c r="C154" s="294">
        <v>496897</v>
      </c>
      <c r="D154" s="294">
        <v>49387.584623576353</v>
      </c>
      <c r="E154" s="294">
        <v>36058.491905000003</v>
      </c>
      <c r="F154" s="294">
        <v>362514</v>
      </c>
      <c r="G154" s="294">
        <v>34831.963714597943</v>
      </c>
      <c r="H154" s="294">
        <v>25431.251421000001</v>
      </c>
      <c r="I154" s="294">
        <v>859411</v>
      </c>
      <c r="J154" s="294">
        <v>84219.548338174282</v>
      </c>
      <c r="K154" s="294">
        <v>61489.743326000003</v>
      </c>
      <c r="L154" s="294">
        <v>36096</v>
      </c>
      <c r="M154" s="294">
        <v>5076.7382438566847</v>
      </c>
      <c r="N154" s="294">
        <v>3706.5899509999999</v>
      </c>
      <c r="O154" s="294">
        <v>30910</v>
      </c>
      <c r="P154" s="294">
        <v>4248.0234864256954</v>
      </c>
      <c r="Q154" s="294">
        <v>3101.5349639999999</v>
      </c>
      <c r="R154" s="294">
        <v>67006</v>
      </c>
      <c r="S154" s="294">
        <v>9324.7617302823801</v>
      </c>
      <c r="T154" s="294">
        <v>6808.1249150000003</v>
      </c>
      <c r="U154" s="294">
        <v>532993</v>
      </c>
      <c r="V154" s="294">
        <v>54464.322867433031</v>
      </c>
      <c r="W154" s="294">
        <v>39765.081855999997</v>
      </c>
      <c r="X154" s="294">
        <v>393424</v>
      </c>
      <c r="Y154" s="294">
        <v>39079.987201023643</v>
      </c>
      <c r="Z154" s="294">
        <v>28532.786384999999</v>
      </c>
      <c r="AA154" s="294">
        <v>926417</v>
      </c>
      <c r="AB154" s="294">
        <v>93544.31006845666</v>
      </c>
      <c r="AC154" s="275">
        <v>68297.868241000004</v>
      </c>
    </row>
    <row r="155" spans="2:29" hidden="1" outlineLevel="1" x14ac:dyDescent="0.25">
      <c r="B155" s="291">
        <v>43497</v>
      </c>
      <c r="C155" s="294">
        <v>499418</v>
      </c>
      <c r="D155" s="294">
        <v>49009.031764186817</v>
      </c>
      <c r="E155" s="294">
        <v>35798.638282</v>
      </c>
      <c r="F155" s="294">
        <v>365127</v>
      </c>
      <c r="G155" s="294">
        <v>34935.919489822329</v>
      </c>
      <c r="H155" s="294">
        <v>25518.935997</v>
      </c>
      <c r="I155" s="294">
        <v>864545</v>
      </c>
      <c r="J155" s="294">
        <v>83944.951254009153</v>
      </c>
      <c r="K155" s="294">
        <v>61317.574279</v>
      </c>
      <c r="L155" s="294">
        <v>36240</v>
      </c>
      <c r="M155" s="294">
        <v>5094.1666279528281</v>
      </c>
      <c r="N155" s="294">
        <v>3721.033081</v>
      </c>
      <c r="O155" s="294">
        <v>30991</v>
      </c>
      <c r="P155" s="294">
        <v>4249.7852527079904</v>
      </c>
      <c r="Q155" s="294">
        <v>3104.25486</v>
      </c>
      <c r="R155" s="294">
        <v>67231</v>
      </c>
      <c r="S155" s="294">
        <v>9343.9518806608176</v>
      </c>
      <c r="T155" s="294">
        <v>6825.2879409999996</v>
      </c>
      <c r="U155" s="294">
        <v>535658</v>
      </c>
      <c r="V155" s="294">
        <v>54103.198392139653</v>
      </c>
      <c r="W155" s="294">
        <v>39519.671363000001</v>
      </c>
      <c r="X155" s="294">
        <v>396118</v>
      </c>
      <c r="Y155" s="294">
        <v>39185.704742530317</v>
      </c>
      <c r="Z155" s="294">
        <v>28623.190857000001</v>
      </c>
      <c r="AA155" s="294">
        <v>931776</v>
      </c>
      <c r="AB155" s="294">
        <v>93288.903134669963</v>
      </c>
      <c r="AC155" s="275">
        <v>68142.862219999995</v>
      </c>
    </row>
    <row r="156" spans="2:29" hidden="1" outlineLevel="1" x14ac:dyDescent="0.25">
      <c r="B156" s="291">
        <v>43525</v>
      </c>
      <c r="C156" s="294">
        <v>503074</v>
      </c>
      <c r="D156" s="294">
        <v>49384.798503755614</v>
      </c>
      <c r="E156" s="294">
        <v>36244.202856000004</v>
      </c>
      <c r="F156" s="294">
        <v>368185</v>
      </c>
      <c r="G156" s="294">
        <v>35122.779616174179</v>
      </c>
      <c r="H156" s="294">
        <v>25777.10526</v>
      </c>
      <c r="I156" s="294">
        <v>871259</v>
      </c>
      <c r="J156" s="294">
        <v>84507.578119929793</v>
      </c>
      <c r="K156" s="294">
        <v>62021.308116</v>
      </c>
      <c r="L156" s="294">
        <v>36473</v>
      </c>
      <c r="M156" s="294">
        <v>5100.3131614798149</v>
      </c>
      <c r="N156" s="294">
        <v>3743.1920439999999</v>
      </c>
      <c r="O156" s="294">
        <v>31236</v>
      </c>
      <c r="P156" s="294">
        <v>4266.3169310174326</v>
      </c>
      <c r="Q156" s="294">
        <v>3131.1104019999998</v>
      </c>
      <c r="R156" s="294">
        <v>67709</v>
      </c>
      <c r="S156" s="294">
        <v>9366.6300924972475</v>
      </c>
      <c r="T156" s="294">
        <v>6874.3024459999997</v>
      </c>
      <c r="U156" s="294">
        <v>539547</v>
      </c>
      <c r="V156" s="294">
        <v>54485.111665235418</v>
      </c>
      <c r="W156" s="294">
        <v>39987.394900000007</v>
      </c>
      <c r="X156" s="294">
        <v>399421</v>
      </c>
      <c r="Y156" s="294">
        <v>39389.096547191613</v>
      </c>
      <c r="Z156" s="294">
        <v>28908.215661999999</v>
      </c>
      <c r="AA156" s="294">
        <v>938968</v>
      </c>
      <c r="AB156" s="294">
        <v>93874.208212427038</v>
      </c>
      <c r="AC156" s="275">
        <v>68895.610562000002</v>
      </c>
    </row>
    <row r="157" spans="2:29" hidden="1" outlineLevel="1" x14ac:dyDescent="0.25">
      <c r="B157" s="291">
        <v>43556</v>
      </c>
      <c r="C157" s="294">
        <v>506604</v>
      </c>
      <c r="D157" s="294">
        <v>49598.107437599952</v>
      </c>
      <c r="E157" s="294">
        <v>36495.616800000003</v>
      </c>
      <c r="F157" s="294">
        <v>370802</v>
      </c>
      <c r="G157" s="294">
        <v>35241.105905712328</v>
      </c>
      <c r="H157" s="294">
        <v>25931.350270999999</v>
      </c>
      <c r="I157" s="294">
        <v>877406</v>
      </c>
      <c r="J157" s="294">
        <v>84839.21334331228</v>
      </c>
      <c r="K157" s="294">
        <v>62426.967070999999</v>
      </c>
      <c r="L157" s="294">
        <v>36631</v>
      </c>
      <c r="M157" s="294">
        <v>5088.6118334909161</v>
      </c>
      <c r="N157" s="294">
        <v>3744.3369739999998</v>
      </c>
      <c r="O157" s="294">
        <v>31411</v>
      </c>
      <c r="P157" s="294">
        <v>4265.1826120508631</v>
      </c>
      <c r="Q157" s="294">
        <v>3138.4356830000002</v>
      </c>
      <c r="R157" s="294">
        <v>68042</v>
      </c>
      <c r="S157" s="294">
        <v>9353.7944455417801</v>
      </c>
      <c r="T157" s="294">
        <v>6882.7726570000004</v>
      </c>
      <c r="U157" s="294">
        <v>543235</v>
      </c>
      <c r="V157" s="294">
        <v>54686.719271090871</v>
      </c>
      <c r="W157" s="294">
        <v>40239.953774000001</v>
      </c>
      <c r="X157" s="294">
        <v>402213</v>
      </c>
      <c r="Y157" s="294">
        <v>39506.288517763198</v>
      </c>
      <c r="Z157" s="294">
        <v>29069.785953999999</v>
      </c>
      <c r="AA157" s="294">
        <v>945448</v>
      </c>
      <c r="AB157" s="294">
        <v>94193.007788854055</v>
      </c>
      <c r="AC157" s="275">
        <v>69309.739728</v>
      </c>
    </row>
    <row r="158" spans="2:29" hidden="1" outlineLevel="1" x14ac:dyDescent="0.25">
      <c r="B158" s="291">
        <v>43586</v>
      </c>
      <c r="C158" s="294">
        <v>510020</v>
      </c>
      <c r="D158" s="294">
        <v>49635.532102951809</v>
      </c>
      <c r="E158" s="294">
        <v>36743.915140999998</v>
      </c>
      <c r="F158" s="294">
        <v>373627</v>
      </c>
      <c r="G158" s="294">
        <v>35267.113163659182</v>
      </c>
      <c r="H158" s="294">
        <v>26107.342027999999</v>
      </c>
      <c r="I158" s="294">
        <v>883647</v>
      </c>
      <c r="J158" s="294">
        <v>84902.645266610984</v>
      </c>
      <c r="K158" s="294">
        <v>62851.257168999997</v>
      </c>
      <c r="L158" s="294">
        <v>36814</v>
      </c>
      <c r="M158" s="294">
        <v>5083.8356522112417</v>
      </c>
      <c r="N158" s="294">
        <v>3763.4335299999998</v>
      </c>
      <c r="O158" s="294">
        <v>31638</v>
      </c>
      <c r="P158" s="294">
        <v>4267.3312208065718</v>
      </c>
      <c r="Q158" s="294">
        <v>3158.9961790000002</v>
      </c>
      <c r="R158" s="294">
        <v>68452</v>
      </c>
      <c r="S158" s="294">
        <v>9351.1668730178135</v>
      </c>
      <c r="T158" s="294">
        <v>6922.429709</v>
      </c>
      <c r="U158" s="294">
        <v>546834</v>
      </c>
      <c r="V158" s="294">
        <v>54719.367755163054</v>
      </c>
      <c r="W158" s="294">
        <v>40507.348671</v>
      </c>
      <c r="X158" s="294">
        <v>405265</v>
      </c>
      <c r="Y158" s="294">
        <v>39534.444384465751</v>
      </c>
      <c r="Z158" s="294">
        <v>29266.338207000001</v>
      </c>
      <c r="AA158" s="294">
        <v>952099</v>
      </c>
      <c r="AB158" s="294">
        <v>94253.812139628804</v>
      </c>
      <c r="AC158" s="275">
        <v>69773.686877999993</v>
      </c>
    </row>
    <row r="159" spans="2:29" hidden="1" outlineLevel="1" x14ac:dyDescent="0.25">
      <c r="B159" s="291">
        <v>43617</v>
      </c>
      <c r="C159" s="294">
        <v>512725</v>
      </c>
      <c r="D159" s="294">
        <v>49953.579433297113</v>
      </c>
      <c r="E159" s="294">
        <v>36997.395981000001</v>
      </c>
      <c r="F159" s="294">
        <v>375576</v>
      </c>
      <c r="G159" s="294">
        <v>35470.614778026233</v>
      </c>
      <c r="H159" s="294">
        <v>26270.797718999998</v>
      </c>
      <c r="I159" s="294">
        <v>888301</v>
      </c>
      <c r="J159" s="294">
        <v>85424.194211323353</v>
      </c>
      <c r="K159" s="294">
        <v>63268.193700000003</v>
      </c>
      <c r="L159" s="294">
        <v>36850</v>
      </c>
      <c r="M159" s="294">
        <v>5070.1465449480247</v>
      </c>
      <c r="N159" s="294">
        <v>3755.1306939999999</v>
      </c>
      <c r="O159" s="294">
        <v>31723</v>
      </c>
      <c r="P159" s="294">
        <v>4264.4751565639253</v>
      </c>
      <c r="Q159" s="294">
        <v>3158.4218350000001</v>
      </c>
      <c r="R159" s="294">
        <v>68573</v>
      </c>
      <c r="S159" s="294">
        <v>9334.6217015119491</v>
      </c>
      <c r="T159" s="294">
        <v>6913.5525289999996</v>
      </c>
      <c r="U159" s="294">
        <v>549575</v>
      </c>
      <c r="V159" s="294">
        <v>55023.725978245137</v>
      </c>
      <c r="W159" s="294">
        <v>40752.526675000001</v>
      </c>
      <c r="X159" s="294">
        <v>407299</v>
      </c>
      <c r="Y159" s="294">
        <v>39735.089934590163</v>
      </c>
      <c r="Z159" s="294">
        <v>29429.219553999999</v>
      </c>
      <c r="AA159" s="294">
        <v>956874</v>
      </c>
      <c r="AB159" s="294">
        <v>94758.8159128353</v>
      </c>
      <c r="AC159" s="275">
        <v>70181.746228999997</v>
      </c>
    </row>
    <row r="160" spans="2:29" hidden="1" outlineLevel="1" x14ac:dyDescent="0.25">
      <c r="B160" s="291">
        <v>43647</v>
      </c>
      <c r="C160" s="294">
        <v>517325</v>
      </c>
      <c r="D160" s="294">
        <v>52255.157702008073</v>
      </c>
      <c r="E160" s="294">
        <v>38788.561955999998</v>
      </c>
      <c r="F160" s="294">
        <v>379973</v>
      </c>
      <c r="G160" s="294">
        <v>36929.791354110697</v>
      </c>
      <c r="H160" s="294">
        <v>27412.672030000002</v>
      </c>
      <c r="I160" s="294">
        <v>897298</v>
      </c>
      <c r="J160" s="294">
        <v>89184.94905611877</v>
      </c>
      <c r="K160" s="294">
        <v>66201.233986000007</v>
      </c>
      <c r="L160" s="294">
        <v>37208</v>
      </c>
      <c r="M160" s="294">
        <v>5211.1263236096383</v>
      </c>
      <c r="N160" s="294">
        <v>3868.1750310000002</v>
      </c>
      <c r="O160" s="294">
        <v>32159</v>
      </c>
      <c r="P160" s="294">
        <v>4392.0761878704498</v>
      </c>
      <c r="Q160" s="294">
        <v>3260.2010369999998</v>
      </c>
      <c r="R160" s="294">
        <v>69367</v>
      </c>
      <c r="S160" s="294">
        <v>9603.2025114800872</v>
      </c>
      <c r="T160" s="294">
        <v>7128.3760679999996</v>
      </c>
      <c r="U160" s="294">
        <v>554533</v>
      </c>
      <c r="V160" s="294">
        <v>57466.284025617701</v>
      </c>
      <c r="W160" s="294">
        <v>42656.736986999997</v>
      </c>
      <c r="X160" s="294">
        <v>412132</v>
      </c>
      <c r="Y160" s="294">
        <v>41321.867541981148</v>
      </c>
      <c r="Z160" s="294">
        <v>30672.873067</v>
      </c>
      <c r="AA160" s="294">
        <v>966665</v>
      </c>
      <c r="AB160" s="294">
        <v>98788.151567598863</v>
      </c>
      <c r="AC160" s="275">
        <v>73329.610054000004</v>
      </c>
    </row>
    <row r="161" spans="2:29" hidden="1" outlineLevel="1" x14ac:dyDescent="0.25">
      <c r="B161" s="291">
        <v>43678</v>
      </c>
      <c r="C161" s="294">
        <v>518553</v>
      </c>
      <c r="D161" s="294">
        <v>52367.757284359323</v>
      </c>
      <c r="E161" s="294">
        <v>38944.915399999998</v>
      </c>
      <c r="F161" s="294">
        <v>380060</v>
      </c>
      <c r="G161" s="294">
        <v>36941.604568428149</v>
      </c>
      <c r="H161" s="294">
        <v>27472.775984</v>
      </c>
      <c r="I161" s="294">
        <v>898613</v>
      </c>
      <c r="J161" s="294">
        <v>89309.361852787479</v>
      </c>
      <c r="K161" s="294">
        <v>66417.691384000005</v>
      </c>
      <c r="L161" s="294">
        <v>36864</v>
      </c>
      <c r="M161" s="294">
        <v>5167.8488972195391</v>
      </c>
      <c r="N161" s="294">
        <v>3843.231953</v>
      </c>
      <c r="O161" s="294">
        <v>31821</v>
      </c>
      <c r="P161" s="294">
        <v>4354.8465054733288</v>
      </c>
      <c r="Q161" s="294">
        <v>3238.617377</v>
      </c>
      <c r="R161" s="294">
        <v>68685</v>
      </c>
      <c r="S161" s="294">
        <v>9522.6954026928688</v>
      </c>
      <c r="T161" s="294">
        <v>7081.84933</v>
      </c>
      <c r="U161" s="294">
        <v>555417</v>
      </c>
      <c r="V161" s="294">
        <v>57535.606181578863</v>
      </c>
      <c r="W161" s="294">
        <v>42788.147353</v>
      </c>
      <c r="X161" s="294">
        <v>411881</v>
      </c>
      <c r="Y161" s="294">
        <v>41296.45107390148</v>
      </c>
      <c r="Z161" s="294">
        <v>30711.393360999999</v>
      </c>
      <c r="AA161" s="294">
        <v>967298</v>
      </c>
      <c r="AB161" s="294">
        <v>98832.057255480351</v>
      </c>
      <c r="AC161" s="275">
        <v>73499.540714000002</v>
      </c>
    </row>
    <row r="162" spans="2:29" hidden="1" outlineLevel="1" x14ac:dyDescent="0.25">
      <c r="B162" s="291">
        <v>43709</v>
      </c>
      <c r="C162" s="294">
        <v>522483</v>
      </c>
      <c r="D162" s="294">
        <v>53063.14575457805</v>
      </c>
      <c r="E162" s="294">
        <v>39466.839699999997</v>
      </c>
      <c r="F162" s="294">
        <v>383041</v>
      </c>
      <c r="G162" s="294">
        <v>37325.997840728247</v>
      </c>
      <c r="H162" s="294">
        <v>27762.002280000001</v>
      </c>
      <c r="I162" s="294">
        <v>905524</v>
      </c>
      <c r="J162" s="294">
        <v>90389.143595306305</v>
      </c>
      <c r="K162" s="294">
        <v>67228.841979999997</v>
      </c>
      <c r="L162" s="294">
        <v>37036</v>
      </c>
      <c r="M162" s="294">
        <v>5237.4558540364842</v>
      </c>
      <c r="N162" s="294">
        <v>3895.468836</v>
      </c>
      <c r="O162" s="294">
        <v>32069</v>
      </c>
      <c r="P162" s="294">
        <v>4442.5083387160939</v>
      </c>
      <c r="Q162" s="294">
        <v>3304.2097669999998</v>
      </c>
      <c r="R162" s="294">
        <v>69105</v>
      </c>
      <c r="S162" s="294">
        <v>9679.964192752579</v>
      </c>
      <c r="T162" s="294">
        <v>7199.6786030000003</v>
      </c>
      <c r="U162" s="294">
        <v>559519</v>
      </c>
      <c r="V162" s="294">
        <v>58300.601608614532</v>
      </c>
      <c r="W162" s="294">
        <v>43362.308535999997</v>
      </c>
      <c r="X162" s="294">
        <v>415110</v>
      </c>
      <c r="Y162" s="294">
        <v>41768.506179444354</v>
      </c>
      <c r="Z162" s="294">
        <v>31066.212047000001</v>
      </c>
      <c r="AA162" s="294">
        <v>974629</v>
      </c>
      <c r="AB162" s="294">
        <v>100069.1077880589</v>
      </c>
      <c r="AC162" s="275">
        <v>74428.520583000005</v>
      </c>
    </row>
    <row r="163" spans="2:29" hidden="1" outlineLevel="1" x14ac:dyDescent="0.25">
      <c r="B163" s="291">
        <v>43739</v>
      </c>
      <c r="C163" s="294">
        <v>525564</v>
      </c>
      <c r="D163" s="294">
        <v>52926.279567637088</v>
      </c>
      <c r="E163" s="294">
        <v>39684.366445</v>
      </c>
      <c r="F163" s="294">
        <v>385533</v>
      </c>
      <c r="G163" s="294">
        <v>37211.179047722493</v>
      </c>
      <c r="H163" s="294">
        <v>27901.112212</v>
      </c>
      <c r="I163" s="294">
        <v>911097</v>
      </c>
      <c r="J163" s="294">
        <v>90137.458615359574</v>
      </c>
      <c r="K163" s="294">
        <v>67585.478657</v>
      </c>
      <c r="L163" s="294">
        <v>37173</v>
      </c>
      <c r="M163" s="294">
        <v>5171.9160195810318</v>
      </c>
      <c r="N163" s="294">
        <v>3877.9262819999999</v>
      </c>
      <c r="O163" s="294">
        <v>32232</v>
      </c>
      <c r="P163" s="294">
        <v>4359.2709904039002</v>
      </c>
      <c r="Q163" s="294">
        <v>3268.6013229999999</v>
      </c>
      <c r="R163" s="294">
        <v>69405</v>
      </c>
      <c r="S163" s="294">
        <v>9531.187009984933</v>
      </c>
      <c r="T163" s="294">
        <v>7146.5276050000002</v>
      </c>
      <c r="U163" s="294">
        <v>562737</v>
      </c>
      <c r="V163" s="294">
        <v>58098.195587218121</v>
      </c>
      <c r="W163" s="294">
        <v>43562.292727</v>
      </c>
      <c r="X163" s="294">
        <v>417765</v>
      </c>
      <c r="Y163" s="294">
        <v>41570.450038126393</v>
      </c>
      <c r="Z163" s="294">
        <v>31169.713534999999</v>
      </c>
      <c r="AA163" s="294">
        <v>980502</v>
      </c>
      <c r="AB163" s="294">
        <v>99668.645625344507</v>
      </c>
      <c r="AC163" s="275">
        <v>74732.006261999995</v>
      </c>
    </row>
    <row r="164" spans="2:29" hidden="1" outlineLevel="1" x14ac:dyDescent="0.25">
      <c r="B164" s="291">
        <v>43770</v>
      </c>
      <c r="C164" s="294">
        <v>528588</v>
      </c>
      <c r="D164" s="294">
        <v>53313.583717984176</v>
      </c>
      <c r="E164" s="294">
        <v>40008.684035999999</v>
      </c>
      <c r="F164" s="294">
        <v>386948</v>
      </c>
      <c r="G164" s="294">
        <v>37250.845850188918</v>
      </c>
      <c r="H164" s="294">
        <v>27954.551500000001</v>
      </c>
      <c r="I164" s="294">
        <v>915536</v>
      </c>
      <c r="J164" s="294">
        <v>90564.429568173087</v>
      </c>
      <c r="K164" s="294">
        <v>67963.235535999993</v>
      </c>
      <c r="L164" s="294">
        <v>36934</v>
      </c>
      <c r="M164" s="294">
        <v>5130.7084976375327</v>
      </c>
      <c r="N164" s="294">
        <v>3850.2925679999998</v>
      </c>
      <c r="O164" s="294">
        <v>31887</v>
      </c>
      <c r="P164" s="294">
        <v>4323.5072416305929</v>
      </c>
      <c r="Q164" s="294">
        <v>3244.5358780000001</v>
      </c>
      <c r="R164" s="294">
        <v>68821</v>
      </c>
      <c r="S164" s="294">
        <v>9454.2157392681256</v>
      </c>
      <c r="T164" s="294">
        <v>7094.8284460000004</v>
      </c>
      <c r="U164" s="294">
        <v>565522</v>
      </c>
      <c r="V164" s="294">
        <v>58444.29221562171</v>
      </c>
      <c r="W164" s="294">
        <v>43858.976604000003</v>
      </c>
      <c r="X164" s="294">
        <v>418835</v>
      </c>
      <c r="Y164" s="294">
        <v>41574.35309181951</v>
      </c>
      <c r="Z164" s="294">
        <v>31199.087378</v>
      </c>
      <c r="AA164" s="294">
        <v>984357</v>
      </c>
      <c r="AB164" s="294">
        <v>100018.6453074412</v>
      </c>
      <c r="AC164" s="275">
        <v>75058.063981999992</v>
      </c>
    </row>
    <row r="165" spans="2:29" collapsed="1" x14ac:dyDescent="0.25">
      <c r="B165" s="291">
        <v>43800</v>
      </c>
      <c r="C165" s="294">
        <v>525915</v>
      </c>
      <c r="D165" s="294">
        <v>78029.723957959737</v>
      </c>
      <c r="E165" s="294">
        <v>58614.815198999997</v>
      </c>
      <c r="F165" s="294">
        <v>388114</v>
      </c>
      <c r="G165" s="294">
        <v>54773.495249638239</v>
      </c>
      <c r="H165" s="294">
        <v>41145.068046</v>
      </c>
      <c r="I165" s="294">
        <v>914029</v>
      </c>
      <c r="J165" s="294">
        <v>132803.21920759801</v>
      </c>
      <c r="K165" s="294">
        <v>99759.883245000005</v>
      </c>
      <c r="L165" s="294">
        <v>36702</v>
      </c>
      <c r="M165" s="294">
        <v>6408.217600495469</v>
      </c>
      <c r="N165" s="294">
        <v>4813.7616200000002</v>
      </c>
      <c r="O165" s="294">
        <v>31630</v>
      </c>
      <c r="P165" s="294">
        <v>5411.6100419184068</v>
      </c>
      <c r="Q165" s="294">
        <v>4065.1242430000002</v>
      </c>
      <c r="R165" s="294">
        <v>68332</v>
      </c>
      <c r="S165" s="294">
        <v>11819.827642413869</v>
      </c>
      <c r="T165" s="294">
        <v>8878.8858629999995</v>
      </c>
      <c r="U165" s="294">
        <v>562617</v>
      </c>
      <c r="V165" s="294">
        <v>84437.941558455204</v>
      </c>
      <c r="W165" s="294">
        <v>63428.576818999987</v>
      </c>
      <c r="X165" s="294">
        <v>419744</v>
      </c>
      <c r="Y165" s="294">
        <v>60185.105291556647</v>
      </c>
      <c r="Z165" s="294">
        <v>45210.192288999999</v>
      </c>
      <c r="AA165" s="294">
        <v>982361</v>
      </c>
      <c r="AB165" s="294">
        <v>144623.04685001189</v>
      </c>
      <c r="AC165" s="275">
        <v>108638.76910799999</v>
      </c>
    </row>
    <row r="166" spans="2:29" hidden="1" outlineLevel="1" x14ac:dyDescent="0.25">
      <c r="B166" s="291">
        <v>43831</v>
      </c>
      <c r="C166" s="294">
        <v>540610</v>
      </c>
      <c r="D166" s="294">
        <v>80485.625701567784</v>
      </c>
      <c r="E166" s="294">
        <v>60801.972766999999</v>
      </c>
      <c r="F166" s="294">
        <v>392610</v>
      </c>
      <c r="G166" s="294">
        <v>55404.893328544</v>
      </c>
      <c r="H166" s="294">
        <v>41855.011823000001</v>
      </c>
      <c r="I166" s="294">
        <v>933220</v>
      </c>
      <c r="J166" s="294">
        <v>135890.51903011181</v>
      </c>
      <c r="K166" s="294">
        <v>102656.98458999999</v>
      </c>
      <c r="L166" s="294">
        <v>37278</v>
      </c>
      <c r="M166" s="294">
        <v>6519.9240720613079</v>
      </c>
      <c r="N166" s="294">
        <v>4925.4042870000003</v>
      </c>
      <c r="O166" s="294">
        <v>32309</v>
      </c>
      <c r="P166" s="294">
        <v>5523.5710443554844</v>
      </c>
      <c r="Q166" s="294">
        <v>4172.7204490000004</v>
      </c>
      <c r="R166" s="294">
        <v>69587</v>
      </c>
      <c r="S166" s="294">
        <v>12043.495116416791</v>
      </c>
      <c r="T166" s="294">
        <v>9098.1247359999998</v>
      </c>
      <c r="U166" s="294">
        <v>577888</v>
      </c>
      <c r="V166" s="294">
        <v>87005.549773629085</v>
      </c>
      <c r="W166" s="294">
        <v>65727.377053999997</v>
      </c>
      <c r="X166" s="294">
        <v>424919</v>
      </c>
      <c r="Y166" s="294">
        <v>60928.464372899492</v>
      </c>
      <c r="Z166" s="294">
        <v>46027.732272000001</v>
      </c>
      <c r="AA166" s="294">
        <v>1002807</v>
      </c>
      <c r="AB166" s="294">
        <v>147934.01414652861</v>
      </c>
      <c r="AC166" s="275">
        <v>111755.10932600001</v>
      </c>
    </row>
    <row r="167" spans="2:29" hidden="1" outlineLevel="1" x14ac:dyDescent="0.25">
      <c r="B167" s="291">
        <v>43862</v>
      </c>
      <c r="C167" s="294">
        <v>546952</v>
      </c>
      <c r="D167" s="294">
        <v>79357.86498266425</v>
      </c>
      <c r="E167" s="294">
        <v>60218.816059999997</v>
      </c>
      <c r="F167" s="294">
        <v>398903</v>
      </c>
      <c r="G167" s="294">
        <v>54942.580025139301</v>
      </c>
      <c r="H167" s="294">
        <v>41691.861557999997</v>
      </c>
      <c r="I167" s="294">
        <v>945855</v>
      </c>
      <c r="J167" s="294">
        <v>134300.44500780359</v>
      </c>
      <c r="K167" s="294">
        <v>101910.677618</v>
      </c>
      <c r="L167" s="294">
        <v>37310</v>
      </c>
      <c r="M167" s="294">
        <v>6411.2558579615752</v>
      </c>
      <c r="N167" s="294">
        <v>4865.028026</v>
      </c>
      <c r="O167" s="294">
        <v>32349</v>
      </c>
      <c r="P167" s="294">
        <v>5439.6567164578009</v>
      </c>
      <c r="Q167" s="294">
        <v>4127.7532769999998</v>
      </c>
      <c r="R167" s="294">
        <v>69659</v>
      </c>
      <c r="S167" s="294">
        <v>11850.912574419381</v>
      </c>
      <c r="T167" s="294">
        <v>8992.7813029999998</v>
      </c>
      <c r="U167" s="294">
        <v>584262</v>
      </c>
      <c r="V167" s="294">
        <v>85769.120840625823</v>
      </c>
      <c r="W167" s="294">
        <v>65083.844085999997</v>
      </c>
      <c r="X167" s="294">
        <v>431252</v>
      </c>
      <c r="Y167" s="294">
        <v>60382.236741597102</v>
      </c>
      <c r="Z167" s="294">
        <v>45819.614835</v>
      </c>
      <c r="AA167" s="294">
        <v>1015514</v>
      </c>
      <c r="AB167" s="294">
        <v>146151.3575822229</v>
      </c>
      <c r="AC167" s="275">
        <v>110903.458921</v>
      </c>
    </row>
    <row r="168" spans="2:29" hidden="1" outlineLevel="1" x14ac:dyDescent="0.25">
      <c r="B168" s="291">
        <v>43891</v>
      </c>
      <c r="C168" s="294">
        <v>555640</v>
      </c>
      <c r="D168" s="294">
        <v>80220.622200988335</v>
      </c>
      <c r="E168" s="294">
        <v>61074.740947999999</v>
      </c>
      <c r="F168" s="294">
        <v>408322</v>
      </c>
      <c r="G168" s="294">
        <v>55706.621864345303</v>
      </c>
      <c r="H168" s="294">
        <v>42411.382586</v>
      </c>
      <c r="I168" s="294">
        <v>963962</v>
      </c>
      <c r="J168" s="294">
        <v>135927.24406533359</v>
      </c>
      <c r="K168" s="294">
        <v>103486.123534</v>
      </c>
      <c r="L168" s="294">
        <v>37607</v>
      </c>
      <c r="M168" s="294">
        <v>6420.5309625609261</v>
      </c>
      <c r="N168" s="294">
        <v>4888.1728229999999</v>
      </c>
      <c r="O168" s="294">
        <v>32685</v>
      </c>
      <c r="P168" s="294">
        <v>5446.4825959095897</v>
      </c>
      <c r="Q168" s="294">
        <v>4146.596031</v>
      </c>
      <c r="R168" s="294">
        <v>70292</v>
      </c>
      <c r="S168" s="294">
        <v>11867.013558470509</v>
      </c>
      <c r="T168" s="294">
        <v>9034.7688539999999</v>
      </c>
      <c r="U168" s="294">
        <v>593247</v>
      </c>
      <c r="V168" s="294">
        <v>86641.153163549257</v>
      </c>
      <c r="W168" s="294">
        <v>65962.913770999992</v>
      </c>
      <c r="X168" s="294">
        <v>441007</v>
      </c>
      <c r="Y168" s="294">
        <v>61153.104460254886</v>
      </c>
      <c r="Z168" s="294">
        <v>46557.978617000001</v>
      </c>
      <c r="AA168" s="294">
        <v>1034254</v>
      </c>
      <c r="AB168" s="294">
        <v>147794.25762380421</v>
      </c>
      <c r="AC168" s="275">
        <v>112520.89238799999</v>
      </c>
    </row>
    <row r="169" spans="2:29" hidden="1" outlineLevel="1" x14ac:dyDescent="0.25">
      <c r="B169" s="291">
        <v>43922</v>
      </c>
      <c r="C169" s="294">
        <v>565082</v>
      </c>
      <c r="D169" s="294">
        <v>81258.230992534838</v>
      </c>
      <c r="E169" s="294">
        <v>61839.544070000004</v>
      </c>
      <c r="F169" s="294">
        <v>415744</v>
      </c>
      <c r="G169" s="294">
        <v>56418.722034239021</v>
      </c>
      <c r="H169" s="294">
        <v>42936.057122999999</v>
      </c>
      <c r="I169" s="294">
        <v>980826</v>
      </c>
      <c r="J169" s="294">
        <v>137676.95302677379</v>
      </c>
      <c r="K169" s="294">
        <v>104775.60119299999</v>
      </c>
      <c r="L169" s="294">
        <v>37780</v>
      </c>
      <c r="M169" s="294">
        <v>6431.281891774448</v>
      </c>
      <c r="N169" s="294">
        <v>4894.3662089999998</v>
      </c>
      <c r="O169" s="294">
        <v>32913</v>
      </c>
      <c r="P169" s="294">
        <v>5457.581683459387</v>
      </c>
      <c r="Q169" s="294">
        <v>4153.3560219999999</v>
      </c>
      <c r="R169" s="294">
        <v>70693</v>
      </c>
      <c r="S169" s="294">
        <v>11888.86357523384</v>
      </c>
      <c r="T169" s="294">
        <v>9047.7222309999997</v>
      </c>
      <c r="U169" s="294">
        <v>602862</v>
      </c>
      <c r="V169" s="294">
        <v>87689.512884309283</v>
      </c>
      <c r="W169" s="294">
        <v>66733.910279000003</v>
      </c>
      <c r="X169" s="294">
        <v>448657</v>
      </c>
      <c r="Y169" s="294">
        <v>61876.303717698407</v>
      </c>
      <c r="Z169" s="294">
        <v>47089.413144999999</v>
      </c>
      <c r="AA169" s="294">
        <v>1051519</v>
      </c>
      <c r="AB169" s="294">
        <v>149565.81660200769</v>
      </c>
      <c r="AC169" s="275">
        <v>113823.323424</v>
      </c>
    </row>
    <row r="170" spans="2:29" hidden="1" outlineLevel="1" x14ac:dyDescent="0.25">
      <c r="B170" s="291">
        <v>43952</v>
      </c>
      <c r="C170" s="294">
        <v>566670</v>
      </c>
      <c r="D170" s="294">
        <v>81607.811784775215</v>
      </c>
      <c r="E170" s="294">
        <v>62074.697442999997</v>
      </c>
      <c r="F170" s="294">
        <v>417174</v>
      </c>
      <c r="G170" s="294">
        <v>56620.354445905577</v>
      </c>
      <c r="H170" s="294">
        <v>43068.075156999999</v>
      </c>
      <c r="I170" s="294">
        <v>983844</v>
      </c>
      <c r="J170" s="294">
        <v>138228.1662306808</v>
      </c>
      <c r="K170" s="294">
        <v>105142.7726</v>
      </c>
      <c r="L170" s="294">
        <v>37953</v>
      </c>
      <c r="M170" s="294">
        <v>6455.9366644332586</v>
      </c>
      <c r="N170" s="294">
        <v>4910.6857099999997</v>
      </c>
      <c r="O170" s="294">
        <v>33101</v>
      </c>
      <c r="P170" s="294">
        <v>5485.2203991590586</v>
      </c>
      <c r="Q170" s="294">
        <v>4172.313768</v>
      </c>
      <c r="R170" s="294">
        <v>71054</v>
      </c>
      <c r="S170" s="294">
        <v>11941.15706359232</v>
      </c>
      <c r="T170" s="294">
        <v>9082.9994779999997</v>
      </c>
      <c r="U170" s="294">
        <v>604623</v>
      </c>
      <c r="V170" s="294">
        <v>88063.748449208477</v>
      </c>
      <c r="W170" s="294">
        <v>66985.383153000002</v>
      </c>
      <c r="X170" s="294">
        <v>450275</v>
      </c>
      <c r="Y170" s="294">
        <v>62105.574845064642</v>
      </c>
      <c r="Z170" s="294">
        <v>47240.388924999999</v>
      </c>
      <c r="AA170" s="294">
        <v>1054898</v>
      </c>
      <c r="AB170" s="294">
        <v>150169.32329427311</v>
      </c>
      <c r="AC170" s="275">
        <v>114225.77207799999</v>
      </c>
    </row>
    <row r="171" spans="2:29" hidden="1" outlineLevel="1" x14ac:dyDescent="0.25">
      <c r="B171" s="291">
        <v>43983</v>
      </c>
      <c r="C171" s="294">
        <v>570289</v>
      </c>
      <c r="D171" s="294">
        <v>82284.961221492384</v>
      </c>
      <c r="E171" s="294">
        <v>62544.771733000001</v>
      </c>
      <c r="F171" s="294">
        <v>421409</v>
      </c>
      <c r="G171" s="294">
        <v>57226.740654381458</v>
      </c>
      <c r="H171" s="294">
        <v>43498.026591000002</v>
      </c>
      <c r="I171" s="294">
        <v>991698</v>
      </c>
      <c r="J171" s="294">
        <v>139511.70187587381</v>
      </c>
      <c r="K171" s="294">
        <v>106042.798324</v>
      </c>
      <c r="L171" s="294">
        <v>38176</v>
      </c>
      <c r="M171" s="294">
        <v>6489.7523752880261</v>
      </c>
      <c r="N171" s="294">
        <v>4932.858628</v>
      </c>
      <c r="O171" s="294">
        <v>33326</v>
      </c>
      <c r="P171" s="294">
        <v>5511.3876792029614</v>
      </c>
      <c r="Q171" s="294">
        <v>4189.203947</v>
      </c>
      <c r="R171" s="294">
        <v>71502</v>
      </c>
      <c r="S171" s="294">
        <v>12001.14005449099</v>
      </c>
      <c r="T171" s="294">
        <v>9122.0625749999999</v>
      </c>
      <c r="U171" s="294">
        <v>608465</v>
      </c>
      <c r="V171" s="294">
        <v>88774.713596780406</v>
      </c>
      <c r="W171" s="294">
        <v>67477.630361000003</v>
      </c>
      <c r="X171" s="294">
        <v>454735</v>
      </c>
      <c r="Y171" s="294">
        <v>62738.128333584427</v>
      </c>
      <c r="Z171" s="294">
        <v>47687.230538000003</v>
      </c>
      <c r="AA171" s="294">
        <v>1063200</v>
      </c>
      <c r="AB171" s="294">
        <v>151512.84193036481</v>
      </c>
      <c r="AC171" s="275">
        <v>115164.86089900001</v>
      </c>
    </row>
    <row r="172" spans="2:29" hidden="1" outlineLevel="1" x14ac:dyDescent="0.25">
      <c r="B172" s="291">
        <v>44013</v>
      </c>
      <c r="C172" s="294">
        <v>572080</v>
      </c>
      <c r="D172" s="294">
        <v>85348.905757725457</v>
      </c>
      <c r="E172" s="294">
        <v>64938.763322999999</v>
      </c>
      <c r="F172" s="294">
        <v>422356</v>
      </c>
      <c r="G172" s="294">
        <v>59223.343622601293</v>
      </c>
      <c r="H172" s="294">
        <v>45060.808461000001</v>
      </c>
      <c r="I172" s="294">
        <v>994436</v>
      </c>
      <c r="J172" s="294">
        <v>144572.24938032671</v>
      </c>
      <c r="K172" s="294">
        <v>109999.571784</v>
      </c>
      <c r="L172" s="294">
        <v>38270</v>
      </c>
      <c r="M172" s="294">
        <v>6667.1213654297881</v>
      </c>
      <c r="N172" s="294">
        <v>5072.7611859999997</v>
      </c>
      <c r="O172" s="294">
        <v>33396</v>
      </c>
      <c r="P172" s="294">
        <v>5664.1311100045586</v>
      </c>
      <c r="Q172" s="294">
        <v>4309.6237300000003</v>
      </c>
      <c r="R172" s="294">
        <v>71666</v>
      </c>
      <c r="S172" s="294">
        <v>12331.25247543435</v>
      </c>
      <c r="T172" s="294">
        <v>9382.3849160000009</v>
      </c>
      <c r="U172" s="294">
        <v>610350</v>
      </c>
      <c r="V172" s="294">
        <v>92016.027123155247</v>
      </c>
      <c r="W172" s="294">
        <v>70011.524508999995</v>
      </c>
      <c r="X172" s="294">
        <v>455752</v>
      </c>
      <c r="Y172" s="294">
        <v>64887.47473260585</v>
      </c>
      <c r="Z172" s="294">
        <v>49370.432191</v>
      </c>
      <c r="AA172" s="294">
        <v>1066102</v>
      </c>
      <c r="AB172" s="294">
        <v>156903.5018557611</v>
      </c>
      <c r="AC172" s="275">
        <v>119381.9567</v>
      </c>
    </row>
    <row r="173" spans="2:29" hidden="1" outlineLevel="1" x14ac:dyDescent="0.25">
      <c r="B173" s="291">
        <v>44044</v>
      </c>
      <c r="C173" s="294">
        <v>574464</v>
      </c>
      <c r="D173" s="294">
        <v>85726.69211245999</v>
      </c>
      <c r="E173" s="294">
        <v>65312.368181999998</v>
      </c>
      <c r="F173" s="294">
        <v>424814</v>
      </c>
      <c r="G173" s="294">
        <v>59461.154479434808</v>
      </c>
      <c r="H173" s="294">
        <v>45301.512495000003</v>
      </c>
      <c r="I173" s="294">
        <v>999278</v>
      </c>
      <c r="J173" s="294">
        <v>145187.84659189481</v>
      </c>
      <c r="K173" s="294">
        <v>110613.88067699999</v>
      </c>
      <c r="L173" s="294">
        <v>38301</v>
      </c>
      <c r="M173" s="294">
        <v>6657.0759922789211</v>
      </c>
      <c r="N173" s="294">
        <v>5071.8088790000002</v>
      </c>
      <c r="O173" s="294">
        <v>33472</v>
      </c>
      <c r="P173" s="294">
        <v>5662.4409985126358</v>
      </c>
      <c r="Q173" s="294">
        <v>4314.0289469999998</v>
      </c>
      <c r="R173" s="294">
        <v>71773</v>
      </c>
      <c r="S173" s="294">
        <v>12319.516990791561</v>
      </c>
      <c r="T173" s="294">
        <v>9385.8378260000009</v>
      </c>
      <c r="U173" s="294">
        <v>612765</v>
      </c>
      <c r="V173" s="294">
        <v>92383.768104738905</v>
      </c>
      <c r="W173" s="294">
        <v>70384.177060999995</v>
      </c>
      <c r="X173" s="294">
        <v>458286</v>
      </c>
      <c r="Y173" s="294">
        <v>65123.595477947441</v>
      </c>
      <c r="Z173" s="294">
        <v>49615.541442000002</v>
      </c>
      <c r="AA173" s="294">
        <v>1071051</v>
      </c>
      <c r="AB173" s="294">
        <v>157507.36358268629</v>
      </c>
      <c r="AC173" s="275">
        <v>119999.718503</v>
      </c>
    </row>
    <row r="174" spans="2:29" hidden="1" outlineLevel="1" x14ac:dyDescent="0.25">
      <c r="B174" s="291">
        <v>44075</v>
      </c>
      <c r="C174" s="294">
        <v>578357</v>
      </c>
      <c r="D174" s="294">
        <v>85780.905400787058</v>
      </c>
      <c r="E174" s="294">
        <v>65768.817580999996</v>
      </c>
      <c r="F174" s="294">
        <v>428184</v>
      </c>
      <c r="G174" s="294">
        <v>59408.960912795192</v>
      </c>
      <c r="H174" s="294">
        <v>45549.264078</v>
      </c>
      <c r="I174" s="294">
        <v>1006541</v>
      </c>
      <c r="J174" s="294">
        <v>145189.86631358229</v>
      </c>
      <c r="K174" s="294">
        <v>111318.081659</v>
      </c>
      <c r="L174" s="294">
        <v>38339</v>
      </c>
      <c r="M174" s="294">
        <v>6612.3260144719143</v>
      </c>
      <c r="N174" s="294">
        <v>5069.7164059999996</v>
      </c>
      <c r="O174" s="294">
        <v>33532</v>
      </c>
      <c r="P174" s="294">
        <v>5627.273124522384</v>
      </c>
      <c r="Q174" s="294">
        <v>4314.4694950000003</v>
      </c>
      <c r="R174" s="294">
        <v>71871</v>
      </c>
      <c r="S174" s="294">
        <v>12239.599138994299</v>
      </c>
      <c r="T174" s="294">
        <v>9384.1859010000007</v>
      </c>
      <c r="U174" s="294">
        <v>616696</v>
      </c>
      <c r="V174" s="294">
        <v>92393.231415258968</v>
      </c>
      <c r="W174" s="294">
        <v>70838.533987000003</v>
      </c>
      <c r="X174" s="294">
        <v>461716</v>
      </c>
      <c r="Y174" s="294">
        <v>65036.234037317583</v>
      </c>
      <c r="Z174" s="294">
        <v>49863.733572999998</v>
      </c>
      <c r="AA174" s="294">
        <v>1078412</v>
      </c>
      <c r="AB174" s="294">
        <v>157429.46545257661</v>
      </c>
      <c r="AC174" s="275">
        <v>120702.26755999999</v>
      </c>
    </row>
    <row r="175" spans="2:29" hidden="1" outlineLevel="1" x14ac:dyDescent="0.25">
      <c r="B175" s="291">
        <v>44105</v>
      </c>
      <c r="C175" s="294">
        <v>583043</v>
      </c>
      <c r="D175" s="294">
        <v>85852.16366933877</v>
      </c>
      <c r="E175" s="294">
        <v>66275.487599999993</v>
      </c>
      <c r="F175" s="294">
        <v>432062</v>
      </c>
      <c r="G175" s="294">
        <v>59315.373102335812</v>
      </c>
      <c r="H175" s="294">
        <v>45789.821788000001</v>
      </c>
      <c r="I175" s="294">
        <v>1015105</v>
      </c>
      <c r="J175" s="294">
        <v>145167.53677167461</v>
      </c>
      <c r="K175" s="294">
        <v>112065.30938799999</v>
      </c>
      <c r="L175" s="294">
        <v>38500</v>
      </c>
      <c r="M175" s="294">
        <v>6574.6667178784237</v>
      </c>
      <c r="N175" s="294">
        <v>5075.4602320000004</v>
      </c>
      <c r="O175" s="294">
        <v>33724</v>
      </c>
      <c r="P175" s="294">
        <v>5594.7495808905132</v>
      </c>
      <c r="Q175" s="294">
        <v>4318.9913989999995</v>
      </c>
      <c r="R175" s="294">
        <v>72224</v>
      </c>
      <c r="S175" s="294">
        <v>12169.41629876894</v>
      </c>
      <c r="T175" s="294">
        <v>9394.4516309999999</v>
      </c>
      <c r="U175" s="294">
        <v>621543</v>
      </c>
      <c r="V175" s="294">
        <v>92426.830387217196</v>
      </c>
      <c r="W175" s="294">
        <v>71350.947831999991</v>
      </c>
      <c r="X175" s="294">
        <v>465786</v>
      </c>
      <c r="Y175" s="294">
        <v>64910.122683226327</v>
      </c>
      <c r="Z175" s="294">
        <v>50108.813187</v>
      </c>
      <c r="AA175" s="294">
        <v>1087329</v>
      </c>
      <c r="AB175" s="294">
        <v>157336.9530704435</v>
      </c>
      <c r="AC175" s="275">
        <v>121459.761019</v>
      </c>
    </row>
    <row r="176" spans="2:29" hidden="1" outlineLevel="1" x14ac:dyDescent="0.25">
      <c r="B176" s="291">
        <v>44136</v>
      </c>
      <c r="C176" s="294">
        <v>589403</v>
      </c>
      <c r="D176" s="294">
        <v>86984.690054249179</v>
      </c>
      <c r="E176" s="294">
        <v>67057.614180999997</v>
      </c>
      <c r="F176" s="294">
        <v>436187</v>
      </c>
      <c r="G176" s="294">
        <v>59839.183596250179</v>
      </c>
      <c r="H176" s="294">
        <v>46130.794786999999</v>
      </c>
      <c r="I176" s="294">
        <v>1025590</v>
      </c>
      <c r="J176" s="294">
        <v>146823.87365049939</v>
      </c>
      <c r="K176" s="294">
        <v>113188.408968</v>
      </c>
      <c r="L176" s="294">
        <v>38626</v>
      </c>
      <c r="M176" s="294">
        <v>6582.6723486307928</v>
      </c>
      <c r="N176" s="294">
        <v>5074.6666150000001</v>
      </c>
      <c r="O176" s="294">
        <v>34000</v>
      </c>
      <c r="P176" s="294">
        <v>5618.4799271631518</v>
      </c>
      <c r="Q176" s="294">
        <v>4331.3582999999999</v>
      </c>
      <c r="R176" s="294">
        <v>72626</v>
      </c>
      <c r="S176" s="294">
        <v>12201.15227579394</v>
      </c>
      <c r="T176" s="294">
        <v>9406.024915</v>
      </c>
      <c r="U176" s="294">
        <v>628029</v>
      </c>
      <c r="V176" s="294">
        <v>93567.362402879968</v>
      </c>
      <c r="W176" s="294">
        <v>72132.280795999992</v>
      </c>
      <c r="X176" s="294">
        <v>470187</v>
      </c>
      <c r="Y176" s="294">
        <v>65457.663523413328</v>
      </c>
      <c r="Z176" s="294">
        <v>50462.153086999999</v>
      </c>
      <c r="AA176" s="294">
        <v>1098216</v>
      </c>
      <c r="AB176" s="294">
        <v>159025.02592629331</v>
      </c>
      <c r="AC176" s="275">
        <v>122594.43388300001</v>
      </c>
    </row>
    <row r="177" spans="2:29" collapsed="1" x14ac:dyDescent="0.25">
      <c r="B177" s="291">
        <v>44166</v>
      </c>
      <c r="C177" s="294">
        <v>595180</v>
      </c>
      <c r="D177" s="294">
        <v>87609.166514895522</v>
      </c>
      <c r="E177" s="294">
        <v>67767.224564999997</v>
      </c>
      <c r="F177" s="294">
        <v>439776</v>
      </c>
      <c r="G177" s="294">
        <v>60009.393837755582</v>
      </c>
      <c r="H177" s="294">
        <v>46418.317055</v>
      </c>
      <c r="I177" s="294">
        <v>1034956</v>
      </c>
      <c r="J177" s="294">
        <v>147618.56035265111</v>
      </c>
      <c r="K177" s="294">
        <v>114185.54162</v>
      </c>
      <c r="L177" s="294">
        <v>38619</v>
      </c>
      <c r="M177" s="294">
        <v>6546.6542856556453</v>
      </c>
      <c r="N177" s="294">
        <v>5063.9517390000001</v>
      </c>
      <c r="O177" s="294">
        <v>34075</v>
      </c>
      <c r="P177" s="294">
        <v>5593.8224984256594</v>
      </c>
      <c r="Q177" s="294">
        <v>4326.9196650000004</v>
      </c>
      <c r="R177" s="294">
        <v>72694</v>
      </c>
      <c r="S177" s="294">
        <v>12140.4767840813</v>
      </c>
      <c r="T177" s="294">
        <v>9390.8714039999995</v>
      </c>
      <c r="U177" s="294">
        <v>633799</v>
      </c>
      <c r="V177" s="294">
        <v>94155.82080055117</v>
      </c>
      <c r="W177" s="294">
        <v>72831.176303999993</v>
      </c>
      <c r="X177" s="294">
        <v>473851</v>
      </c>
      <c r="Y177" s="294">
        <v>65603.216336181242</v>
      </c>
      <c r="Z177" s="294">
        <v>50745.236720000001</v>
      </c>
      <c r="AA177" s="294">
        <v>1107650</v>
      </c>
      <c r="AB177" s="294">
        <v>159759.0371367324</v>
      </c>
      <c r="AC177" s="275">
        <v>123576.41302399999</v>
      </c>
    </row>
    <row r="178" spans="2:29" hidden="1" outlineLevel="1" x14ac:dyDescent="0.25">
      <c r="B178" s="291">
        <v>44197</v>
      </c>
      <c r="C178" s="294">
        <v>600842</v>
      </c>
      <c r="D178" s="294">
        <v>98149.736385656011</v>
      </c>
      <c r="E178" s="294">
        <v>76453.709690999996</v>
      </c>
      <c r="F178" s="294">
        <v>443662</v>
      </c>
      <c r="G178" s="294">
        <v>68275.779226601895</v>
      </c>
      <c r="H178" s="294">
        <v>53183.399122000003</v>
      </c>
      <c r="I178" s="294">
        <v>1044504</v>
      </c>
      <c r="J178" s="294">
        <v>166425.51561225791</v>
      </c>
      <c r="K178" s="294">
        <v>129637.108813</v>
      </c>
      <c r="L178" s="294">
        <v>38683</v>
      </c>
      <c r="M178" s="294">
        <v>7339.2729377378409</v>
      </c>
      <c r="N178" s="294">
        <v>5716.9246009999997</v>
      </c>
      <c r="O178" s="294">
        <v>34228</v>
      </c>
      <c r="P178" s="294">
        <v>6304.3799913247258</v>
      </c>
      <c r="Q178" s="294">
        <v>4910.7950300000002</v>
      </c>
      <c r="R178" s="294">
        <v>72911</v>
      </c>
      <c r="S178" s="294">
        <v>13643.652929062569</v>
      </c>
      <c r="T178" s="294">
        <v>10627.719631</v>
      </c>
      <c r="U178" s="294">
        <v>639525</v>
      </c>
      <c r="V178" s="294">
        <v>105489.0093233939</v>
      </c>
      <c r="W178" s="294">
        <v>82170.634292000002</v>
      </c>
      <c r="X178" s="294">
        <v>477890</v>
      </c>
      <c r="Y178" s="294">
        <v>74580.159217926615</v>
      </c>
      <c r="Z178" s="294">
        <v>58094.194151999996</v>
      </c>
      <c r="AA178" s="294">
        <v>1117415</v>
      </c>
      <c r="AB178" s="294">
        <v>180069.16854132051</v>
      </c>
      <c r="AC178" s="275">
        <v>140264.82844400001</v>
      </c>
    </row>
    <row r="179" spans="2:29" hidden="1" outlineLevel="1" x14ac:dyDescent="0.25">
      <c r="B179" s="291">
        <v>44228</v>
      </c>
      <c r="C179" s="294">
        <v>605436</v>
      </c>
      <c r="D179" s="294">
        <v>98245.326189485684</v>
      </c>
      <c r="E179" s="294">
        <v>76669.977293000004</v>
      </c>
      <c r="F179" s="294">
        <v>447257</v>
      </c>
      <c r="G179" s="294">
        <v>68348.133844462951</v>
      </c>
      <c r="H179" s="294">
        <v>53338.413877999999</v>
      </c>
      <c r="I179" s="294">
        <v>1052693</v>
      </c>
      <c r="J179" s="294">
        <v>166593.46003394859</v>
      </c>
      <c r="K179" s="294">
        <v>130008.391171</v>
      </c>
      <c r="L179" s="294">
        <v>38750</v>
      </c>
      <c r="M179" s="294">
        <v>7323.4206006462764</v>
      </c>
      <c r="N179" s="294">
        <v>5715.1471009999996</v>
      </c>
      <c r="O179" s="294">
        <v>34279</v>
      </c>
      <c r="P179" s="294">
        <v>6293.0470819110924</v>
      </c>
      <c r="Q179" s="294">
        <v>4911.0506889999997</v>
      </c>
      <c r="R179" s="294">
        <v>73029</v>
      </c>
      <c r="S179" s="294">
        <v>13616.46768255737</v>
      </c>
      <c r="T179" s="294">
        <v>10626.19779</v>
      </c>
      <c r="U179" s="294">
        <v>644186</v>
      </c>
      <c r="V179" s="294">
        <v>105568.74679013201</v>
      </c>
      <c r="W179" s="294">
        <v>82385.124393999999</v>
      </c>
      <c r="X179" s="294">
        <v>481536</v>
      </c>
      <c r="Y179" s="294">
        <v>74641.180926374043</v>
      </c>
      <c r="Z179" s="294">
        <v>58249.464567000003</v>
      </c>
      <c r="AA179" s="294">
        <v>1125722</v>
      </c>
      <c r="AB179" s="294">
        <v>180209.927716506</v>
      </c>
      <c r="AC179" s="275">
        <v>140634.588961</v>
      </c>
    </row>
    <row r="180" spans="2:29" hidden="1" outlineLevel="1" x14ac:dyDescent="0.25">
      <c r="B180" s="291">
        <v>44256</v>
      </c>
      <c r="C180" s="294">
        <v>610095</v>
      </c>
      <c r="D180" s="294">
        <v>98830.189267660811</v>
      </c>
      <c r="E180" s="294">
        <v>77415.895508000001</v>
      </c>
      <c r="F180" s="294">
        <v>450099</v>
      </c>
      <c r="G180" s="294">
        <v>68523.665211480431</v>
      </c>
      <c r="H180" s="294">
        <v>53676.118047999997</v>
      </c>
      <c r="I180" s="294">
        <v>1060194</v>
      </c>
      <c r="J180" s="294">
        <v>167353.85447914121</v>
      </c>
      <c r="K180" s="294">
        <v>131092.01355599999</v>
      </c>
      <c r="L180" s="294">
        <v>38777</v>
      </c>
      <c r="M180" s="294">
        <v>7299.4043031216806</v>
      </c>
      <c r="N180" s="294">
        <v>5717.7864879999997</v>
      </c>
      <c r="O180" s="294">
        <v>34317</v>
      </c>
      <c r="P180" s="294">
        <v>6279.2235586370452</v>
      </c>
      <c r="Q180" s="294">
        <v>4918.6561160000001</v>
      </c>
      <c r="R180" s="294">
        <v>73094</v>
      </c>
      <c r="S180" s="294">
        <v>13578.62786175873</v>
      </c>
      <c r="T180" s="294">
        <v>10636.442604</v>
      </c>
      <c r="U180" s="294">
        <v>648872</v>
      </c>
      <c r="V180" s="294">
        <v>106129.5935707825</v>
      </c>
      <c r="W180" s="294">
        <v>83133.681995999999</v>
      </c>
      <c r="X180" s="294">
        <v>484416</v>
      </c>
      <c r="Y180" s="294">
        <v>74802.888770117483</v>
      </c>
      <c r="Z180" s="294">
        <v>58594.774163999988</v>
      </c>
      <c r="AA180" s="294">
        <v>1133288</v>
      </c>
      <c r="AB180" s="294">
        <v>180932.48234089999</v>
      </c>
      <c r="AC180" s="275">
        <v>141728.45616</v>
      </c>
    </row>
    <row r="181" spans="2:29" hidden="1" outlineLevel="1" x14ac:dyDescent="0.25">
      <c r="B181" s="291">
        <v>44287</v>
      </c>
      <c r="C181" s="294">
        <v>615165</v>
      </c>
      <c r="D181" s="294">
        <v>99402.380884560262</v>
      </c>
      <c r="E181" s="294">
        <v>78157.630571000002</v>
      </c>
      <c r="F181" s="294">
        <v>453554</v>
      </c>
      <c r="G181" s="294">
        <v>68714.084498134456</v>
      </c>
      <c r="H181" s="294">
        <v>54028.183061999996</v>
      </c>
      <c r="I181" s="294">
        <v>1068719</v>
      </c>
      <c r="J181" s="294">
        <v>168116.4653826947</v>
      </c>
      <c r="K181" s="294">
        <v>132185.81363300001</v>
      </c>
      <c r="L181" s="294">
        <v>39434</v>
      </c>
      <c r="M181" s="294">
        <v>7340.6267419850992</v>
      </c>
      <c r="N181" s="294">
        <v>5771.7530299999999</v>
      </c>
      <c r="O181" s="294">
        <v>35231</v>
      </c>
      <c r="P181" s="294">
        <v>6360.1548933322474</v>
      </c>
      <c r="Q181" s="294">
        <v>5000.8322950000002</v>
      </c>
      <c r="R181" s="294">
        <v>74665</v>
      </c>
      <c r="S181" s="294">
        <v>13700.781635317349</v>
      </c>
      <c r="T181" s="294">
        <v>10772.585325</v>
      </c>
      <c r="U181" s="294">
        <v>654599</v>
      </c>
      <c r="V181" s="294">
        <v>106743.0076265454</v>
      </c>
      <c r="W181" s="294">
        <v>83929.383601000009</v>
      </c>
      <c r="X181" s="294">
        <v>488785</v>
      </c>
      <c r="Y181" s="294">
        <v>75074.239391466705</v>
      </c>
      <c r="Z181" s="294">
        <v>59029.015356999997</v>
      </c>
      <c r="AA181" s="294">
        <v>1143384</v>
      </c>
      <c r="AB181" s="294">
        <v>181817.2470180121</v>
      </c>
      <c r="AC181" s="275">
        <v>142958.39895800001</v>
      </c>
    </row>
    <row r="182" spans="2:29" hidden="1" outlineLevel="1" x14ac:dyDescent="0.25">
      <c r="B182" s="291">
        <v>44317</v>
      </c>
      <c r="C182" s="294">
        <v>619925</v>
      </c>
      <c r="D182" s="294">
        <v>100011.98538386849</v>
      </c>
      <c r="E182" s="294">
        <v>78848.211272</v>
      </c>
      <c r="F182" s="294">
        <v>456843</v>
      </c>
      <c r="G182" s="294">
        <v>68997.61958189639</v>
      </c>
      <c r="H182" s="294">
        <v>54396.869186999997</v>
      </c>
      <c r="I182" s="294">
        <v>1076768</v>
      </c>
      <c r="J182" s="294">
        <v>169009.60496576491</v>
      </c>
      <c r="K182" s="294">
        <v>133245.08045899999</v>
      </c>
      <c r="L182" s="294">
        <v>40665</v>
      </c>
      <c r="M182" s="294">
        <v>7434.0587645399337</v>
      </c>
      <c r="N182" s="294">
        <v>5860.9199070000004</v>
      </c>
      <c r="O182" s="294">
        <v>36858</v>
      </c>
      <c r="P182" s="294">
        <v>6494.243409944057</v>
      </c>
      <c r="Q182" s="294">
        <v>5119.9811149999996</v>
      </c>
      <c r="R182" s="294">
        <v>77523</v>
      </c>
      <c r="S182" s="294">
        <v>13928.30217448399</v>
      </c>
      <c r="T182" s="294">
        <v>10980.901022</v>
      </c>
      <c r="U182" s="294">
        <v>660590</v>
      </c>
      <c r="V182" s="294">
        <v>107446.0441484084</v>
      </c>
      <c r="W182" s="294">
        <v>84709.131179000004</v>
      </c>
      <c r="X182" s="294">
        <v>493701</v>
      </c>
      <c r="Y182" s="294">
        <v>75491.862991840448</v>
      </c>
      <c r="Z182" s="294">
        <v>59516.850301999999</v>
      </c>
      <c r="AA182" s="294">
        <v>1154291</v>
      </c>
      <c r="AB182" s="294">
        <v>182937.90714024889</v>
      </c>
      <c r="AC182" s="275">
        <v>144225.981481</v>
      </c>
    </row>
    <row r="183" spans="2:29" hidden="1" outlineLevel="1" x14ac:dyDescent="0.25">
      <c r="B183" s="291">
        <v>44348</v>
      </c>
      <c r="C183" s="294">
        <v>624280</v>
      </c>
      <c r="D183" s="294">
        <v>100860.8343006792</v>
      </c>
      <c r="E183" s="294">
        <v>79580.831512000004</v>
      </c>
      <c r="F183" s="294">
        <v>459648</v>
      </c>
      <c r="G183" s="294">
        <v>69449.508703066676</v>
      </c>
      <c r="H183" s="294">
        <v>54796.786969000001</v>
      </c>
      <c r="I183" s="294">
        <v>1083928</v>
      </c>
      <c r="J183" s="294">
        <v>170310.34300374589</v>
      </c>
      <c r="K183" s="294">
        <v>134377.61848100001</v>
      </c>
      <c r="L183" s="294">
        <v>41406</v>
      </c>
      <c r="M183" s="294">
        <v>7504.2037271724021</v>
      </c>
      <c r="N183" s="294">
        <v>5920.9382569999998</v>
      </c>
      <c r="O183" s="294">
        <v>37901</v>
      </c>
      <c r="P183" s="294">
        <v>6606.4064814352087</v>
      </c>
      <c r="Q183" s="294">
        <v>5212.5616920000002</v>
      </c>
      <c r="R183" s="294">
        <v>79307</v>
      </c>
      <c r="S183" s="294">
        <v>14110.61020860761</v>
      </c>
      <c r="T183" s="294">
        <v>11133.499948999999</v>
      </c>
      <c r="U183" s="294">
        <v>665686</v>
      </c>
      <c r="V183" s="294">
        <v>108365.03802785159</v>
      </c>
      <c r="W183" s="294">
        <v>85501.769769000006</v>
      </c>
      <c r="X183" s="294">
        <v>497549</v>
      </c>
      <c r="Y183" s="294">
        <v>76055.915184501879</v>
      </c>
      <c r="Z183" s="294">
        <v>60009.348661000004</v>
      </c>
      <c r="AA183" s="294">
        <v>1163235</v>
      </c>
      <c r="AB183" s="294">
        <v>184420.95321235349</v>
      </c>
      <c r="AC183" s="275">
        <v>145511.11843</v>
      </c>
    </row>
    <row r="184" spans="2:29" hidden="1" outlineLevel="1" x14ac:dyDescent="0.25">
      <c r="B184" s="291">
        <v>44378</v>
      </c>
      <c r="C184" s="294">
        <v>628233</v>
      </c>
      <c r="D184" s="294">
        <v>105657.5242807177</v>
      </c>
      <c r="E184" s="294">
        <v>84039.92452</v>
      </c>
      <c r="F184" s="294">
        <v>462542</v>
      </c>
      <c r="G184" s="294">
        <v>72847.563440718601</v>
      </c>
      <c r="H184" s="294">
        <v>57942.903495999999</v>
      </c>
      <c r="I184" s="294">
        <v>1090775</v>
      </c>
      <c r="J184" s="294">
        <v>178505.08772143631</v>
      </c>
      <c r="K184" s="294">
        <v>141982.82801600001</v>
      </c>
      <c r="L184" s="294">
        <v>41969</v>
      </c>
      <c r="M184" s="294">
        <v>7810.8324094390819</v>
      </c>
      <c r="N184" s="294">
        <v>6212.7309020000002</v>
      </c>
      <c r="O184" s="294">
        <v>38877</v>
      </c>
      <c r="P184" s="294">
        <v>6951.2855250439934</v>
      </c>
      <c r="Q184" s="294">
        <v>5529.0478819999998</v>
      </c>
      <c r="R184" s="294">
        <v>80846</v>
      </c>
      <c r="S184" s="294">
        <v>14762.11793448308</v>
      </c>
      <c r="T184" s="294">
        <v>11741.778784</v>
      </c>
      <c r="U184" s="294">
        <v>670202</v>
      </c>
      <c r="V184" s="294">
        <v>113468.3566901568</v>
      </c>
      <c r="W184" s="294">
        <v>90252.655421999996</v>
      </c>
      <c r="X184" s="294">
        <v>501419</v>
      </c>
      <c r="Y184" s="294">
        <v>79798.848965762591</v>
      </c>
      <c r="Z184" s="294">
        <v>63471.951377999998</v>
      </c>
      <c r="AA184" s="294">
        <v>1171621</v>
      </c>
      <c r="AB184" s="294">
        <v>193267.20565591939</v>
      </c>
      <c r="AC184" s="275">
        <v>153724.60680000001</v>
      </c>
    </row>
    <row r="185" spans="2:29" hidden="1" outlineLevel="1" x14ac:dyDescent="0.25">
      <c r="B185" s="291">
        <v>44409</v>
      </c>
      <c r="C185" s="294">
        <v>632311</v>
      </c>
      <c r="D185" s="294">
        <v>106468.64067655</v>
      </c>
      <c r="E185" s="294">
        <v>84989.369709000006</v>
      </c>
      <c r="F185" s="294">
        <v>464709</v>
      </c>
      <c r="G185" s="294">
        <v>73435.675106496856</v>
      </c>
      <c r="H185" s="294">
        <v>58620.563780999997</v>
      </c>
      <c r="I185" s="294">
        <v>1097020</v>
      </c>
      <c r="J185" s="294">
        <v>179904.3157830468</v>
      </c>
      <c r="K185" s="294">
        <v>143609.93349</v>
      </c>
      <c r="L185" s="294">
        <v>42296</v>
      </c>
      <c r="M185" s="294">
        <v>7839.9074283474183</v>
      </c>
      <c r="N185" s="294">
        <v>6258.2633409999999</v>
      </c>
      <c r="O185" s="294">
        <v>39447</v>
      </c>
      <c r="P185" s="294">
        <v>7030.0282572032866</v>
      </c>
      <c r="Q185" s="294">
        <v>5611.7713800000001</v>
      </c>
      <c r="R185" s="294">
        <v>81743</v>
      </c>
      <c r="S185" s="294">
        <v>14869.935685550699</v>
      </c>
      <c r="T185" s="294">
        <v>11870.034721</v>
      </c>
      <c r="U185" s="294">
        <v>674607</v>
      </c>
      <c r="V185" s="294">
        <v>114308.5481048974</v>
      </c>
      <c r="W185" s="294">
        <v>91247.633050000004</v>
      </c>
      <c r="X185" s="294">
        <v>504156</v>
      </c>
      <c r="Y185" s="294">
        <v>80465.703363700144</v>
      </c>
      <c r="Z185" s="294">
        <v>64232.335161000003</v>
      </c>
      <c r="AA185" s="294">
        <v>1178763</v>
      </c>
      <c r="AB185" s="294">
        <v>194774.2514685975</v>
      </c>
      <c r="AC185" s="275">
        <v>155479.968211</v>
      </c>
    </row>
    <row r="186" spans="2:29" hidden="1" outlineLevel="1" x14ac:dyDescent="0.25">
      <c r="B186" s="291">
        <v>44440</v>
      </c>
      <c r="C186" s="294">
        <v>638396</v>
      </c>
      <c r="D186" s="294">
        <v>106553.8028847368</v>
      </c>
      <c r="E186" s="294">
        <v>86059.222452000002</v>
      </c>
      <c r="F186" s="294">
        <v>469874</v>
      </c>
      <c r="G186" s="294">
        <v>73580.523739335476</v>
      </c>
      <c r="H186" s="294">
        <v>59428.030620999998</v>
      </c>
      <c r="I186" s="294">
        <v>1108270</v>
      </c>
      <c r="J186" s="294">
        <v>180134.3266240723</v>
      </c>
      <c r="K186" s="294">
        <v>145487.253073</v>
      </c>
      <c r="L186" s="294">
        <v>42481</v>
      </c>
      <c r="M186" s="294">
        <v>7767.9216908129256</v>
      </c>
      <c r="N186" s="294">
        <v>6273.8380299999999</v>
      </c>
      <c r="O186" s="294">
        <v>39831</v>
      </c>
      <c r="P186" s="294">
        <v>7005.6596482676623</v>
      </c>
      <c r="Q186" s="294">
        <v>5658.1896260000003</v>
      </c>
      <c r="R186" s="294">
        <v>82312</v>
      </c>
      <c r="S186" s="294">
        <v>14773.581339080591</v>
      </c>
      <c r="T186" s="294">
        <v>11932.027656</v>
      </c>
      <c r="U186" s="294">
        <v>680877</v>
      </c>
      <c r="V186" s="294">
        <v>114321.7245755498</v>
      </c>
      <c r="W186" s="294">
        <v>92333.060482000001</v>
      </c>
      <c r="X186" s="294">
        <v>509705</v>
      </c>
      <c r="Y186" s="294">
        <v>80586.183387603145</v>
      </c>
      <c r="Z186" s="294">
        <v>65086.220246999997</v>
      </c>
      <c r="AA186" s="294">
        <v>1190582</v>
      </c>
      <c r="AB186" s="294">
        <v>194907.90796315289</v>
      </c>
      <c r="AC186" s="275">
        <v>157419.28072899999</v>
      </c>
    </row>
    <row r="187" spans="2:29" hidden="1" outlineLevel="1" x14ac:dyDescent="0.25">
      <c r="B187" s="291">
        <v>44470</v>
      </c>
      <c r="C187" s="294">
        <v>645913</v>
      </c>
      <c r="D187" s="294">
        <v>106601.6833508671</v>
      </c>
      <c r="E187" s="294">
        <v>87252.480542000005</v>
      </c>
      <c r="F187" s="294">
        <v>475311</v>
      </c>
      <c r="G187" s="294">
        <v>73657.043016242984</v>
      </c>
      <c r="H187" s="294">
        <v>60287.600632000001</v>
      </c>
      <c r="I187" s="294">
        <v>1121224</v>
      </c>
      <c r="J187" s="294">
        <v>180258.72636711001</v>
      </c>
      <c r="K187" s="294">
        <v>147540.08117399999</v>
      </c>
      <c r="L187" s="294">
        <v>42530</v>
      </c>
      <c r="M187" s="294">
        <v>7667.9045116977904</v>
      </c>
      <c r="N187" s="294">
        <v>6276.1081080000004</v>
      </c>
      <c r="O187" s="294">
        <v>40062</v>
      </c>
      <c r="P187" s="294">
        <v>6957.7743352604848</v>
      </c>
      <c r="Q187" s="294">
        <v>5694.8732019999998</v>
      </c>
      <c r="R187" s="294">
        <v>82592</v>
      </c>
      <c r="S187" s="294">
        <v>14625.67884695827</v>
      </c>
      <c r="T187" s="294">
        <v>11970.981309999999</v>
      </c>
      <c r="U187" s="294">
        <v>688443</v>
      </c>
      <c r="V187" s="294">
        <v>114269.58786256491</v>
      </c>
      <c r="W187" s="294">
        <v>93528.588650000005</v>
      </c>
      <c r="X187" s="294">
        <v>515373</v>
      </c>
      <c r="Y187" s="294">
        <v>80614.817351503472</v>
      </c>
      <c r="Z187" s="294">
        <v>65982.473834000004</v>
      </c>
      <c r="AA187" s="294">
        <v>1203816</v>
      </c>
      <c r="AB187" s="294">
        <v>194884.40521406831</v>
      </c>
      <c r="AC187" s="275">
        <v>159511.06248399999</v>
      </c>
    </row>
    <row r="188" spans="2:29" hidden="1" outlineLevel="1" x14ac:dyDescent="0.25">
      <c r="B188" s="291">
        <v>44501</v>
      </c>
      <c r="C188" s="294">
        <v>654021</v>
      </c>
      <c r="D188" s="294">
        <v>107534.5319262031</v>
      </c>
      <c r="E188" s="294">
        <v>88455.012145999994</v>
      </c>
      <c r="F188" s="294">
        <v>481364</v>
      </c>
      <c r="G188" s="294">
        <v>74327.485949024252</v>
      </c>
      <c r="H188" s="294">
        <v>61139.789746000002</v>
      </c>
      <c r="I188" s="294">
        <v>1135385</v>
      </c>
      <c r="J188" s="294">
        <v>181862.01787522741</v>
      </c>
      <c r="K188" s="294">
        <v>149594.80189199999</v>
      </c>
      <c r="L188" s="294">
        <v>43059</v>
      </c>
      <c r="M188" s="294">
        <v>7673.2942399577814</v>
      </c>
      <c r="N188" s="294">
        <v>6311.8453490000002</v>
      </c>
      <c r="O188" s="294">
        <v>41024</v>
      </c>
      <c r="P188" s="294">
        <v>7026.0039920180516</v>
      </c>
      <c r="Q188" s="294">
        <v>5779.4018100000003</v>
      </c>
      <c r="R188" s="294">
        <v>84083</v>
      </c>
      <c r="S188" s="294">
        <v>14699.29823197583</v>
      </c>
      <c r="T188" s="294">
        <v>12091.247159</v>
      </c>
      <c r="U188" s="294">
        <v>697080</v>
      </c>
      <c r="V188" s="294">
        <v>115207.8261661609</v>
      </c>
      <c r="W188" s="294">
        <v>94766.857494999989</v>
      </c>
      <c r="X188" s="294">
        <v>522388</v>
      </c>
      <c r="Y188" s="294">
        <v>81353.48994104231</v>
      </c>
      <c r="Z188" s="294">
        <v>66919.191556000005</v>
      </c>
      <c r="AA188" s="294">
        <v>1219468</v>
      </c>
      <c r="AB188" s="294">
        <v>196561.31610720319</v>
      </c>
      <c r="AC188" s="275">
        <v>161686.04905100001</v>
      </c>
    </row>
    <row r="189" spans="2:29" collapsed="1" x14ac:dyDescent="0.25">
      <c r="B189" s="291">
        <v>44531</v>
      </c>
      <c r="C189" s="294">
        <v>661228</v>
      </c>
      <c r="D189" s="294">
        <v>107984.88362089969</v>
      </c>
      <c r="E189" s="294">
        <v>89519.543390999999</v>
      </c>
      <c r="F189" s="294">
        <v>486375</v>
      </c>
      <c r="G189" s="294">
        <v>74639.720558459812</v>
      </c>
      <c r="H189" s="294">
        <v>61876.380093</v>
      </c>
      <c r="I189" s="294">
        <v>1147603</v>
      </c>
      <c r="J189" s="294">
        <v>182624.60417935939</v>
      </c>
      <c r="K189" s="294">
        <v>151395.923484</v>
      </c>
      <c r="L189" s="294">
        <v>43273</v>
      </c>
      <c r="M189" s="294">
        <v>7617.8072030610756</v>
      </c>
      <c r="N189" s="294">
        <v>6315.167453</v>
      </c>
      <c r="O189" s="294">
        <v>41477</v>
      </c>
      <c r="P189" s="294">
        <v>7003.5446106453173</v>
      </c>
      <c r="Q189" s="294">
        <v>5805.943338</v>
      </c>
      <c r="R189" s="294">
        <v>84750</v>
      </c>
      <c r="S189" s="294">
        <v>14621.351813706389</v>
      </c>
      <c r="T189" s="294">
        <v>12121.110790999999</v>
      </c>
      <c r="U189" s="294">
        <v>704501</v>
      </c>
      <c r="V189" s="294">
        <v>115602.6908239607</v>
      </c>
      <c r="W189" s="294">
        <v>95834.710844000001</v>
      </c>
      <c r="X189" s="294">
        <v>527852</v>
      </c>
      <c r="Y189" s="294">
        <v>81643.265169105129</v>
      </c>
      <c r="Z189" s="294">
        <v>67682.323430999997</v>
      </c>
      <c r="AA189" s="294">
        <v>1232353</v>
      </c>
      <c r="AB189" s="294">
        <v>197245.95599306581</v>
      </c>
      <c r="AC189" s="275">
        <v>163517.03427500001</v>
      </c>
    </row>
    <row r="190" spans="2:29" hidden="1" outlineLevel="1" x14ac:dyDescent="0.25">
      <c r="B190" s="291">
        <v>44562</v>
      </c>
      <c r="C190" s="294">
        <v>669074</v>
      </c>
      <c r="D190" s="294">
        <v>113347.1984850102</v>
      </c>
      <c r="E190" s="294">
        <v>95093.530765999996</v>
      </c>
      <c r="F190" s="294">
        <v>492231</v>
      </c>
      <c r="G190" s="294">
        <v>78746.290001814137</v>
      </c>
      <c r="H190" s="294">
        <v>66064.824284000002</v>
      </c>
      <c r="I190" s="294">
        <v>1161305</v>
      </c>
      <c r="J190" s="294">
        <v>192093.48848682441</v>
      </c>
      <c r="K190" s="294">
        <v>161158.35505000001</v>
      </c>
      <c r="L190" s="294">
        <v>43561</v>
      </c>
      <c r="M190" s="294">
        <v>8146.381080992508</v>
      </c>
      <c r="N190" s="294">
        <v>6834.4709910000001</v>
      </c>
      <c r="O190" s="294">
        <v>41983</v>
      </c>
      <c r="P190" s="294">
        <v>7544.4432158746422</v>
      </c>
      <c r="Q190" s="294">
        <v>6329.4704469999997</v>
      </c>
      <c r="R190" s="294">
        <v>85544</v>
      </c>
      <c r="S190" s="294">
        <v>15690.824296867149</v>
      </c>
      <c r="T190" s="294">
        <v>13163.941438</v>
      </c>
      <c r="U190" s="294">
        <v>712635</v>
      </c>
      <c r="V190" s="294">
        <v>121493.57956600271</v>
      </c>
      <c r="W190" s="294">
        <v>101928.00175700001</v>
      </c>
      <c r="X190" s="294">
        <v>534214</v>
      </c>
      <c r="Y190" s="294">
        <v>86290.733217688772</v>
      </c>
      <c r="Z190" s="294">
        <v>72394.294731000002</v>
      </c>
      <c r="AA190" s="294">
        <v>1246849</v>
      </c>
      <c r="AB190" s="294">
        <v>207784.31278369151</v>
      </c>
      <c r="AC190" s="275">
        <v>174322.29648799999</v>
      </c>
    </row>
    <row r="191" spans="2:29" hidden="1" outlineLevel="1" x14ac:dyDescent="0.25">
      <c r="B191" s="291">
        <v>44593</v>
      </c>
      <c r="C191" s="294">
        <v>157011</v>
      </c>
      <c r="D191" s="294">
        <v>33810.146087302237</v>
      </c>
      <c r="E191" s="294">
        <v>28447.360478999999</v>
      </c>
      <c r="F191" s="294">
        <v>156303</v>
      </c>
      <c r="G191" s="294">
        <v>30464.518034889461</v>
      </c>
      <c r="H191" s="294">
        <v>25632.398160000001</v>
      </c>
      <c r="I191" s="294">
        <v>313314</v>
      </c>
      <c r="J191" s="294">
        <v>64274.664122191687</v>
      </c>
      <c r="K191" s="294">
        <v>54079.758639</v>
      </c>
      <c r="L191" s="294">
        <v>43796</v>
      </c>
      <c r="M191" s="294">
        <v>8582.8878567624834</v>
      </c>
      <c r="N191" s="294">
        <v>7221.5158190000002</v>
      </c>
      <c r="O191" s="294">
        <v>42423</v>
      </c>
      <c r="P191" s="294">
        <v>7999.5871083881093</v>
      </c>
      <c r="Q191" s="294">
        <v>6730.7351339999996</v>
      </c>
      <c r="R191" s="294">
        <v>86219</v>
      </c>
      <c r="S191" s="294">
        <v>16582.474965150592</v>
      </c>
      <c r="T191" s="294">
        <v>13952.250953000001</v>
      </c>
      <c r="U191" s="294">
        <v>200807</v>
      </c>
      <c r="V191" s="294">
        <v>42393.033944064722</v>
      </c>
      <c r="W191" s="294">
        <v>35668.876298000003</v>
      </c>
      <c r="X191" s="294">
        <v>198726</v>
      </c>
      <c r="Y191" s="294">
        <v>38464.105143277557</v>
      </c>
      <c r="Z191" s="294">
        <v>32363.133293999999</v>
      </c>
      <c r="AA191" s="294">
        <v>399533</v>
      </c>
      <c r="AB191" s="294">
        <v>80857.139087342279</v>
      </c>
      <c r="AC191" s="275">
        <v>68032.009592000002</v>
      </c>
    </row>
    <row r="192" spans="2:29" hidden="1" outlineLevel="1" x14ac:dyDescent="0.25">
      <c r="B192" s="291">
        <v>44621</v>
      </c>
      <c r="C192" s="294">
        <v>158373</v>
      </c>
      <c r="D192" s="294">
        <v>33535.795505038303</v>
      </c>
      <c r="E192" s="294">
        <v>28739.803392999998</v>
      </c>
      <c r="F192" s="294">
        <v>158291</v>
      </c>
      <c r="G192" s="294">
        <v>30380.46072858795</v>
      </c>
      <c r="H192" s="294">
        <v>26035.716617999999</v>
      </c>
      <c r="I192" s="294">
        <v>316664</v>
      </c>
      <c r="J192" s="294">
        <v>63916.256233626264</v>
      </c>
      <c r="K192" s="294">
        <v>54775.520011000001</v>
      </c>
      <c r="L192" s="294">
        <v>44375</v>
      </c>
      <c r="M192" s="294">
        <v>8476.6436110585382</v>
      </c>
      <c r="N192" s="294">
        <v>7264.3892040000001</v>
      </c>
      <c r="O192" s="294">
        <v>43297</v>
      </c>
      <c r="P192" s="294">
        <v>7933.9326542159088</v>
      </c>
      <c r="Q192" s="294">
        <v>6799.291956</v>
      </c>
      <c r="R192" s="294">
        <v>87672</v>
      </c>
      <c r="S192" s="294">
        <v>16410.576265274449</v>
      </c>
      <c r="T192" s="294">
        <v>14063.68116</v>
      </c>
      <c r="U192" s="294">
        <v>202748</v>
      </c>
      <c r="V192" s="294">
        <v>42012.439116096837</v>
      </c>
      <c r="W192" s="294">
        <v>36004.192597000001</v>
      </c>
      <c r="X192" s="294">
        <v>201588</v>
      </c>
      <c r="Y192" s="294">
        <v>38314.393382803857</v>
      </c>
      <c r="Z192" s="294">
        <v>32835.008573999999</v>
      </c>
      <c r="AA192" s="294">
        <v>404336</v>
      </c>
      <c r="AB192" s="294">
        <v>80326.832498900709</v>
      </c>
      <c r="AC192" s="275">
        <v>68839.201170999993</v>
      </c>
    </row>
    <row r="193" spans="2:29" hidden="1" outlineLevel="1" x14ac:dyDescent="0.25">
      <c r="B193" s="291">
        <v>44652</v>
      </c>
      <c r="C193" s="294">
        <v>154818</v>
      </c>
      <c r="D193" s="294">
        <v>32573.51751410323</v>
      </c>
      <c r="E193" s="294">
        <v>28305.473328</v>
      </c>
      <c r="F193" s="294">
        <v>157061</v>
      </c>
      <c r="G193" s="294">
        <v>29947.253954983389</v>
      </c>
      <c r="H193" s="294">
        <v>26023.323938000001</v>
      </c>
      <c r="I193" s="294">
        <v>311879</v>
      </c>
      <c r="J193" s="294">
        <v>62520.771469086612</v>
      </c>
      <c r="K193" s="294">
        <v>54328.797266000001</v>
      </c>
      <c r="L193" s="294">
        <v>44630</v>
      </c>
      <c r="M193" s="294">
        <v>8365.3750585782091</v>
      </c>
      <c r="N193" s="294">
        <v>7269.2763530000002</v>
      </c>
      <c r="O193" s="294">
        <v>43805</v>
      </c>
      <c r="P193" s="294">
        <v>7864.6035107066318</v>
      </c>
      <c r="Q193" s="294">
        <v>6834.1199200000001</v>
      </c>
      <c r="R193" s="294">
        <v>88435</v>
      </c>
      <c r="S193" s="294">
        <v>16229.97856928484</v>
      </c>
      <c r="T193" s="294">
        <v>14103.396273</v>
      </c>
      <c r="U193" s="294">
        <v>199448</v>
      </c>
      <c r="V193" s="294">
        <v>40938.892572681427</v>
      </c>
      <c r="W193" s="294">
        <v>35574.749681000001</v>
      </c>
      <c r="X193" s="294">
        <v>200866</v>
      </c>
      <c r="Y193" s="294">
        <v>37811.857465690016</v>
      </c>
      <c r="Z193" s="294">
        <v>32857.443857999999</v>
      </c>
      <c r="AA193" s="294">
        <v>400314</v>
      </c>
      <c r="AB193" s="294">
        <v>78750.750038371451</v>
      </c>
      <c r="AC193" s="275">
        <v>68432.193539</v>
      </c>
    </row>
    <row r="194" spans="2:29" hidden="1" outlineLevel="1" x14ac:dyDescent="0.25">
      <c r="B194" s="291">
        <v>44682</v>
      </c>
      <c r="C194" s="294">
        <v>111871</v>
      </c>
      <c r="D194" s="294">
        <v>24425.67008765924</v>
      </c>
      <c r="E194" s="294">
        <v>21479.681938999998</v>
      </c>
      <c r="F194" s="294">
        <v>65720</v>
      </c>
      <c r="G194" s="294">
        <v>14273.26561278959</v>
      </c>
      <c r="H194" s="294">
        <v>12551.762326</v>
      </c>
      <c r="I194" s="294">
        <v>177591</v>
      </c>
      <c r="J194" s="294">
        <v>38698.935700448827</v>
      </c>
      <c r="K194" s="294">
        <v>34031.444264999998</v>
      </c>
      <c r="L194" s="294">
        <v>44880</v>
      </c>
      <c r="M194" s="294">
        <v>8262.7856117513857</v>
      </c>
      <c r="N194" s="294">
        <v>7266.2083060000004</v>
      </c>
      <c r="O194" s="294">
        <v>44391</v>
      </c>
      <c r="P194" s="294">
        <v>7799.0854259633325</v>
      </c>
      <c r="Q194" s="294">
        <v>6858.4351530000004</v>
      </c>
      <c r="R194" s="294">
        <v>89271</v>
      </c>
      <c r="S194" s="294">
        <v>16061.87103771472</v>
      </c>
      <c r="T194" s="294">
        <v>14124.643459000001</v>
      </c>
      <c r="U194" s="294">
        <v>156751</v>
      </c>
      <c r="V194" s="294">
        <v>32688.455699410621</v>
      </c>
      <c r="W194" s="294">
        <v>28745.890244999999</v>
      </c>
      <c r="X194" s="294">
        <v>110111</v>
      </c>
      <c r="Y194" s="294">
        <v>22072.35103875292</v>
      </c>
      <c r="Z194" s="294">
        <v>19410.197478999999</v>
      </c>
      <c r="AA194" s="294">
        <v>266862</v>
      </c>
      <c r="AB194" s="294">
        <v>54760.806738163548</v>
      </c>
      <c r="AC194" s="275">
        <v>48156.087723999997</v>
      </c>
    </row>
    <row r="195" spans="2:29" hidden="1" outlineLevel="1" x14ac:dyDescent="0.25">
      <c r="B195" s="291">
        <v>44713</v>
      </c>
      <c r="C195" s="294">
        <v>109948</v>
      </c>
      <c r="D195" s="294">
        <v>23798.382896060379</v>
      </c>
      <c r="E195" s="294">
        <v>21123.233439</v>
      </c>
      <c r="F195" s="294">
        <v>64976</v>
      </c>
      <c r="G195" s="294">
        <v>13995.673055238231</v>
      </c>
      <c r="H195" s="294">
        <v>12422.435186999999</v>
      </c>
      <c r="I195" s="294">
        <v>174924</v>
      </c>
      <c r="J195" s="294">
        <v>37794.0559512986</v>
      </c>
      <c r="K195" s="294">
        <v>33545.668625999999</v>
      </c>
      <c r="L195" s="294">
        <v>45192</v>
      </c>
      <c r="M195" s="294">
        <v>8197.9462976988416</v>
      </c>
      <c r="N195" s="294">
        <v>7276.4243740000002</v>
      </c>
      <c r="O195" s="294">
        <v>45010</v>
      </c>
      <c r="P195" s="294">
        <v>7774.1394337462498</v>
      </c>
      <c r="Q195" s="294">
        <v>6900.2571630000002</v>
      </c>
      <c r="R195" s="294">
        <v>90202</v>
      </c>
      <c r="S195" s="294">
        <v>15972.08573144509</v>
      </c>
      <c r="T195" s="294">
        <v>14176.681537</v>
      </c>
      <c r="U195" s="294">
        <v>155140</v>
      </c>
      <c r="V195" s="294">
        <v>31996.329193759211</v>
      </c>
      <c r="W195" s="294">
        <v>28399.657813000002</v>
      </c>
      <c r="X195" s="294">
        <v>109986</v>
      </c>
      <c r="Y195" s="294">
        <v>21769.81248898448</v>
      </c>
      <c r="Z195" s="294">
        <v>19322.692350000001</v>
      </c>
      <c r="AA195" s="294">
        <v>265126</v>
      </c>
      <c r="AB195" s="294">
        <v>53766.141682743691</v>
      </c>
      <c r="AC195" s="275">
        <v>47722.350163000003</v>
      </c>
    </row>
    <row r="196" spans="2:29" hidden="1" outlineLevel="1" x14ac:dyDescent="0.25">
      <c r="B196" s="291">
        <v>44743</v>
      </c>
      <c r="C196" s="294">
        <v>109799</v>
      </c>
      <c r="D196" s="294">
        <v>25841.395859339409</v>
      </c>
      <c r="E196" s="294">
        <v>23251.915916000002</v>
      </c>
      <c r="F196" s="294">
        <v>64729</v>
      </c>
      <c r="G196" s="294">
        <v>15271.247126537381</v>
      </c>
      <c r="H196" s="294">
        <v>13740.966473</v>
      </c>
      <c r="I196" s="294">
        <v>174528</v>
      </c>
      <c r="J196" s="294">
        <v>41112.642985876788</v>
      </c>
      <c r="K196" s="294">
        <v>36992.882388999999</v>
      </c>
      <c r="L196" s="294">
        <v>45366</v>
      </c>
      <c r="M196" s="294">
        <v>8518.8552591486678</v>
      </c>
      <c r="N196" s="294">
        <v>7665.2092350000003</v>
      </c>
      <c r="O196" s="294">
        <v>45364</v>
      </c>
      <c r="P196" s="294">
        <v>8111.0587849069516</v>
      </c>
      <c r="Q196" s="294">
        <v>7298.276683</v>
      </c>
      <c r="R196" s="294">
        <v>90730</v>
      </c>
      <c r="S196" s="294">
        <v>16629.914044055618</v>
      </c>
      <c r="T196" s="294">
        <v>14963.485918</v>
      </c>
      <c r="U196" s="294">
        <v>155165</v>
      </c>
      <c r="V196" s="294">
        <v>34360.251118488079</v>
      </c>
      <c r="W196" s="294">
        <v>30917.125151</v>
      </c>
      <c r="X196" s="294">
        <v>110093</v>
      </c>
      <c r="Y196" s="294">
        <v>23382.305911444331</v>
      </c>
      <c r="Z196" s="294">
        <v>21039.243156</v>
      </c>
      <c r="AA196" s="294">
        <v>265258</v>
      </c>
      <c r="AB196" s="294">
        <v>57742.557029932403</v>
      </c>
      <c r="AC196" s="275">
        <v>51956.368306999997</v>
      </c>
    </row>
    <row r="197" spans="2:29" hidden="1" outlineLevel="1" x14ac:dyDescent="0.25">
      <c r="B197" s="291">
        <v>44774</v>
      </c>
      <c r="C197" s="294">
        <v>109904</v>
      </c>
      <c r="D197" s="294">
        <v>25573.268793177191</v>
      </c>
      <c r="E197" s="294">
        <v>23289.298222000001</v>
      </c>
      <c r="F197" s="294">
        <v>64644</v>
      </c>
      <c r="G197" s="294">
        <v>15083.39012139409</v>
      </c>
      <c r="H197" s="294">
        <v>13736.279612</v>
      </c>
      <c r="I197" s="294">
        <v>174548</v>
      </c>
      <c r="J197" s="294">
        <v>40656.658914571279</v>
      </c>
      <c r="K197" s="294">
        <v>37025.577834000003</v>
      </c>
      <c r="L197" s="294">
        <v>45575</v>
      </c>
      <c r="M197" s="294">
        <v>8431.2084318471534</v>
      </c>
      <c r="N197" s="294">
        <v>7678.2099749999998</v>
      </c>
      <c r="O197" s="294">
        <v>45817</v>
      </c>
      <c r="P197" s="294">
        <v>8058.3595427542314</v>
      </c>
      <c r="Q197" s="294">
        <v>7338.6605399999999</v>
      </c>
      <c r="R197" s="294">
        <v>91392</v>
      </c>
      <c r="S197" s="294">
        <v>16489.567974601381</v>
      </c>
      <c r="T197" s="294">
        <v>15016.870515000001</v>
      </c>
      <c r="U197" s="294">
        <v>155479</v>
      </c>
      <c r="V197" s="294">
        <v>34004.47722502434</v>
      </c>
      <c r="W197" s="294">
        <v>30967.508196999999</v>
      </c>
      <c r="X197" s="294">
        <v>110461</v>
      </c>
      <c r="Y197" s="294">
        <v>23141.749664148319</v>
      </c>
      <c r="Z197" s="294">
        <v>21074.940151999999</v>
      </c>
      <c r="AA197" s="294">
        <v>265940</v>
      </c>
      <c r="AB197" s="294">
        <v>57146.226889172664</v>
      </c>
      <c r="AC197" s="275">
        <v>52042.448349000013</v>
      </c>
    </row>
    <row r="198" spans="2:29" hidden="1" outlineLevel="1" x14ac:dyDescent="0.25">
      <c r="B198" s="291">
        <v>44805</v>
      </c>
      <c r="C198" s="294">
        <v>109666</v>
      </c>
      <c r="D198" s="294">
        <v>25307.413623522389</v>
      </c>
      <c r="E198" s="294">
        <v>23246.434523</v>
      </c>
      <c r="F198" s="294">
        <v>64275</v>
      </c>
      <c r="G198" s="294">
        <v>14884.75891943667</v>
      </c>
      <c r="H198" s="294">
        <v>13672.577481</v>
      </c>
      <c r="I198" s="294">
        <v>173941</v>
      </c>
      <c r="J198" s="294">
        <v>40192.172542959059</v>
      </c>
      <c r="K198" s="294">
        <v>36919.012003999997</v>
      </c>
      <c r="L198" s="294">
        <v>45697</v>
      </c>
      <c r="M198" s="294">
        <v>8348.7815249135019</v>
      </c>
      <c r="N198" s="294">
        <v>7668.8754509999999</v>
      </c>
      <c r="O198" s="294">
        <v>46202</v>
      </c>
      <c r="P198" s="294">
        <v>8017.5010410681043</v>
      </c>
      <c r="Q198" s="294">
        <v>7364.5737079999999</v>
      </c>
      <c r="R198" s="294">
        <v>91899</v>
      </c>
      <c r="S198" s="294">
        <v>16366.28256598161</v>
      </c>
      <c r="T198" s="294">
        <v>15033.449159</v>
      </c>
      <c r="U198" s="294">
        <v>155363</v>
      </c>
      <c r="V198" s="294">
        <v>33656.195148435887</v>
      </c>
      <c r="W198" s="294">
        <v>30915.309974</v>
      </c>
      <c r="X198" s="294">
        <v>110477</v>
      </c>
      <c r="Y198" s="294">
        <v>22902.25996050478</v>
      </c>
      <c r="Z198" s="294">
        <v>21037.151189</v>
      </c>
      <c r="AA198" s="294">
        <v>265840</v>
      </c>
      <c r="AB198" s="294">
        <v>56558.455108940667</v>
      </c>
      <c r="AC198" s="275">
        <v>51952.461163</v>
      </c>
    </row>
    <row r="199" spans="2:29" hidden="1" outlineLevel="1" x14ac:dyDescent="0.25">
      <c r="B199" s="291">
        <v>44835</v>
      </c>
      <c r="C199" s="294">
        <v>109393</v>
      </c>
      <c r="D199" s="294">
        <v>25122.65765678505</v>
      </c>
      <c r="E199" s="294">
        <v>23196.045528999999</v>
      </c>
      <c r="F199" s="294">
        <v>63815</v>
      </c>
      <c r="G199" s="294">
        <v>14719.017470997749</v>
      </c>
      <c r="H199" s="294">
        <v>13590.242086</v>
      </c>
      <c r="I199" s="294">
        <v>173208</v>
      </c>
      <c r="J199" s="294">
        <v>39841.675127782801</v>
      </c>
      <c r="K199" s="294">
        <v>36786.287615000001</v>
      </c>
      <c r="L199" s="294">
        <v>45739</v>
      </c>
      <c r="M199" s="294">
        <v>8296.1971687288751</v>
      </c>
      <c r="N199" s="294">
        <v>7659.9764990000003</v>
      </c>
      <c r="O199" s="294">
        <v>46381</v>
      </c>
      <c r="P199" s="294">
        <v>7991.2794162481177</v>
      </c>
      <c r="Q199" s="294">
        <v>7378.4423489999999</v>
      </c>
      <c r="R199" s="294">
        <v>92120</v>
      </c>
      <c r="S199" s="294">
        <v>16287.47658497699</v>
      </c>
      <c r="T199" s="294">
        <v>15038.418847999999</v>
      </c>
      <c r="U199" s="294">
        <v>155132</v>
      </c>
      <c r="V199" s="294">
        <v>33418.854825513918</v>
      </c>
      <c r="W199" s="294">
        <v>30856.022027999999</v>
      </c>
      <c r="X199" s="294">
        <v>110196</v>
      </c>
      <c r="Y199" s="294">
        <v>22710.29688724587</v>
      </c>
      <c r="Z199" s="294">
        <v>20968.684434999999</v>
      </c>
      <c r="AA199" s="294">
        <v>265328</v>
      </c>
      <c r="AB199" s="294">
        <v>56129.151712759791</v>
      </c>
      <c r="AC199" s="275">
        <v>51824.706463000002</v>
      </c>
    </row>
    <row r="200" spans="2:29" hidden="1" outlineLevel="1" x14ac:dyDescent="0.25">
      <c r="B200" s="291">
        <v>44866</v>
      </c>
      <c r="C200" s="294">
        <v>109031</v>
      </c>
      <c r="D200" s="294">
        <v>24812.601857070938</v>
      </c>
      <c r="E200" s="294">
        <v>23133.193734</v>
      </c>
      <c r="F200" s="294">
        <v>63526</v>
      </c>
      <c r="G200" s="294">
        <v>14530.462174652621</v>
      </c>
      <c r="H200" s="294">
        <v>13546.987069999999</v>
      </c>
      <c r="I200" s="294">
        <v>172557</v>
      </c>
      <c r="J200" s="294">
        <v>39343.064031723567</v>
      </c>
      <c r="K200" s="294">
        <v>36680.180804000003</v>
      </c>
      <c r="L200" s="294">
        <v>45910</v>
      </c>
      <c r="M200" s="294">
        <v>8232.4281775188174</v>
      </c>
      <c r="N200" s="294">
        <v>7675.2271700000001</v>
      </c>
      <c r="O200" s="294">
        <v>46666</v>
      </c>
      <c r="P200" s="294">
        <v>7952.0483992426889</v>
      </c>
      <c r="Q200" s="294">
        <v>7413.8245260000003</v>
      </c>
      <c r="R200" s="294">
        <v>92576</v>
      </c>
      <c r="S200" s="294">
        <v>16184.47657676151</v>
      </c>
      <c r="T200" s="294">
        <v>15089.051696</v>
      </c>
      <c r="U200" s="294">
        <v>154941</v>
      </c>
      <c r="V200" s="294">
        <v>33045.030034589763</v>
      </c>
      <c r="W200" s="294">
        <v>30808.420903999999</v>
      </c>
      <c r="X200" s="294">
        <v>110192</v>
      </c>
      <c r="Y200" s="294">
        <v>22482.51057389531</v>
      </c>
      <c r="Z200" s="294">
        <v>20960.811596</v>
      </c>
      <c r="AA200" s="294">
        <v>265133</v>
      </c>
      <c r="AB200" s="294">
        <v>55527.540608485069</v>
      </c>
      <c r="AC200" s="275">
        <v>51769.232500000013</v>
      </c>
    </row>
    <row r="201" spans="2:29" collapsed="1" x14ac:dyDescent="0.25">
      <c r="B201" s="291">
        <v>44896</v>
      </c>
      <c r="C201" s="294">
        <v>108989</v>
      </c>
      <c r="D201" s="294">
        <v>24749.74403862331</v>
      </c>
      <c r="E201" s="294">
        <v>23140.037882000001</v>
      </c>
      <c r="F201" s="294">
        <v>63190</v>
      </c>
      <c r="G201" s="294">
        <v>14438.025905638489</v>
      </c>
      <c r="H201" s="294">
        <v>13498.986731999999</v>
      </c>
      <c r="I201" s="294">
        <v>172179</v>
      </c>
      <c r="J201" s="294">
        <v>39187.769944261803</v>
      </c>
      <c r="K201" s="294">
        <v>36639.024614000002</v>
      </c>
      <c r="L201" s="294">
        <v>45881</v>
      </c>
      <c r="M201" s="294">
        <v>8182.1121825799601</v>
      </c>
      <c r="N201" s="294">
        <v>7649.9532909999998</v>
      </c>
      <c r="O201" s="294">
        <v>46817</v>
      </c>
      <c r="P201" s="294">
        <v>7938.0939866562576</v>
      </c>
      <c r="Q201" s="294">
        <v>7421.8058689999998</v>
      </c>
      <c r="R201" s="294">
        <v>92698</v>
      </c>
      <c r="S201" s="294">
        <v>16120.20616923622</v>
      </c>
      <c r="T201" s="294">
        <v>15071.75916</v>
      </c>
      <c r="U201" s="294">
        <v>154870</v>
      </c>
      <c r="V201" s="294">
        <v>32931.85622120327</v>
      </c>
      <c r="W201" s="294">
        <v>30789.991172999999</v>
      </c>
      <c r="X201" s="294">
        <v>110007</v>
      </c>
      <c r="Y201" s="294">
        <v>22376.119892294751</v>
      </c>
      <c r="Z201" s="294">
        <v>20920.792601000001</v>
      </c>
      <c r="AA201" s="294">
        <v>264877</v>
      </c>
      <c r="AB201" s="294">
        <v>55307.976113498022</v>
      </c>
      <c r="AC201" s="275">
        <v>51710.783774000003</v>
      </c>
    </row>
    <row r="202" spans="2:29" hidden="1" outlineLevel="1" x14ac:dyDescent="0.25">
      <c r="B202" s="291">
        <v>44927</v>
      </c>
      <c r="C202" s="294">
        <v>108797</v>
      </c>
      <c r="D202" s="294">
        <v>24522.504479603111</v>
      </c>
      <c r="E202" s="294">
        <v>23112.169975000001</v>
      </c>
      <c r="F202" s="294">
        <v>62891</v>
      </c>
      <c r="G202" s="294">
        <v>14271.65076071691</v>
      </c>
      <c r="H202" s="294">
        <v>13450.861778</v>
      </c>
      <c r="I202" s="294">
        <v>171688</v>
      </c>
      <c r="J202" s="294">
        <v>38794.155240320011</v>
      </c>
      <c r="K202" s="294">
        <v>36563.031753000003</v>
      </c>
      <c r="L202" s="294">
        <v>46104</v>
      </c>
      <c r="M202" s="294">
        <v>8135.1439629239976</v>
      </c>
      <c r="N202" s="294">
        <v>7667.2768150000002</v>
      </c>
      <c r="O202" s="294">
        <v>47256</v>
      </c>
      <c r="P202" s="294">
        <v>7929.8765256541419</v>
      </c>
      <c r="Q202" s="294">
        <v>7473.814687</v>
      </c>
      <c r="R202" s="294">
        <v>93360</v>
      </c>
      <c r="S202" s="294">
        <v>16065.02048857814</v>
      </c>
      <c r="T202" s="294">
        <v>15141.091501999999</v>
      </c>
      <c r="U202" s="294">
        <v>154901</v>
      </c>
      <c r="V202" s="294">
        <v>32657.648442527101</v>
      </c>
      <c r="W202" s="294">
        <v>30779.446790000002</v>
      </c>
      <c r="X202" s="294">
        <v>110147</v>
      </c>
      <c r="Y202" s="294">
        <v>22201.527286371049</v>
      </c>
      <c r="Z202" s="294">
        <v>20924.676465</v>
      </c>
      <c r="AA202" s="294">
        <v>265048</v>
      </c>
      <c r="AB202" s="294">
        <v>54859.175728898153</v>
      </c>
      <c r="AC202" s="275">
        <v>51704.123254999999</v>
      </c>
    </row>
    <row r="203" spans="2:29" hidden="1" outlineLevel="1" x14ac:dyDescent="0.25">
      <c r="B203" s="291">
        <v>44958</v>
      </c>
      <c r="C203" s="294">
        <v>108645</v>
      </c>
      <c r="D203" s="294">
        <v>24442.791531209081</v>
      </c>
      <c r="E203" s="294">
        <v>23098.112738</v>
      </c>
      <c r="F203" s="294">
        <v>62678</v>
      </c>
      <c r="G203" s="294">
        <v>14201.992132478441</v>
      </c>
      <c r="H203" s="294">
        <v>13420.693579999999</v>
      </c>
      <c r="I203" s="294">
        <v>171323</v>
      </c>
      <c r="J203" s="294">
        <v>38644.783663687522</v>
      </c>
      <c r="K203" s="294">
        <v>36518.806318000003</v>
      </c>
      <c r="L203" s="294">
        <v>46210</v>
      </c>
      <c r="M203" s="294">
        <v>8717.2374453317225</v>
      </c>
      <c r="N203" s="294">
        <v>8237.6733860000004</v>
      </c>
      <c r="O203" s="294">
        <v>47542</v>
      </c>
      <c r="P203" s="294">
        <v>8546.4914198198276</v>
      </c>
      <c r="Q203" s="294">
        <v>8076.3206639999999</v>
      </c>
      <c r="R203" s="294">
        <v>93752</v>
      </c>
      <c r="S203" s="294">
        <v>17263.728865151548</v>
      </c>
      <c r="T203" s="294">
        <v>16313.994049999999</v>
      </c>
      <c r="U203" s="294">
        <v>154855</v>
      </c>
      <c r="V203" s="294">
        <v>33160.028976540802</v>
      </c>
      <c r="W203" s="294">
        <v>31335.786123999998</v>
      </c>
      <c r="X203" s="294">
        <v>110220</v>
      </c>
      <c r="Y203" s="294">
        <v>22748.483552298268</v>
      </c>
      <c r="Z203" s="294">
        <v>21497.014244000002</v>
      </c>
      <c r="AA203" s="294">
        <v>265075</v>
      </c>
      <c r="AB203" s="294">
        <v>55908.51252883907</v>
      </c>
      <c r="AC203" s="275">
        <v>52832.800367999997</v>
      </c>
    </row>
    <row r="204" spans="2:29" hidden="1" outlineLevel="1" x14ac:dyDescent="0.25">
      <c r="B204" s="291">
        <v>44986</v>
      </c>
      <c r="C204" s="294">
        <v>108598</v>
      </c>
      <c r="D204" s="294">
        <v>24268.39382806791</v>
      </c>
      <c r="E204" s="294">
        <v>23099.6816</v>
      </c>
      <c r="F204" s="294">
        <v>62593</v>
      </c>
      <c r="G204" s="294">
        <v>14100.861583351039</v>
      </c>
      <c r="H204" s="294">
        <v>13421.795244000001</v>
      </c>
      <c r="I204" s="294">
        <v>171191</v>
      </c>
      <c r="J204" s="294">
        <v>38369.255411418948</v>
      </c>
      <c r="K204" s="294">
        <v>36521.476843999997</v>
      </c>
      <c r="L204" s="294">
        <v>46381</v>
      </c>
      <c r="M204" s="294">
        <v>8678.3942079752669</v>
      </c>
      <c r="N204" s="294">
        <v>8260.4619170000005</v>
      </c>
      <c r="O204" s="294">
        <v>47964</v>
      </c>
      <c r="P204" s="294">
        <v>8544.8027747065207</v>
      </c>
      <c r="Q204" s="294">
        <v>8133.3039520000002</v>
      </c>
      <c r="R204" s="294">
        <v>94345</v>
      </c>
      <c r="S204" s="294">
        <v>17223.196982681791</v>
      </c>
      <c r="T204" s="294">
        <v>16393.765868999999</v>
      </c>
      <c r="U204" s="294">
        <v>154979</v>
      </c>
      <c r="V204" s="294">
        <v>32946.788036043181</v>
      </c>
      <c r="W204" s="294">
        <v>31360.143517</v>
      </c>
      <c r="X204" s="294">
        <v>110557</v>
      </c>
      <c r="Y204" s="294">
        <v>22645.664358057558</v>
      </c>
      <c r="Z204" s="294">
        <v>21555.099195999999</v>
      </c>
      <c r="AA204" s="294">
        <v>265536</v>
      </c>
      <c r="AB204" s="294">
        <v>55592.452394100743</v>
      </c>
      <c r="AC204" s="275">
        <v>52915.242713</v>
      </c>
    </row>
    <row r="205" spans="2:29" hidden="1" outlineLevel="1" x14ac:dyDescent="0.25">
      <c r="B205" s="291">
        <v>45017</v>
      </c>
      <c r="C205" s="294">
        <v>108605</v>
      </c>
      <c r="D205" s="294">
        <v>24231.779453709529</v>
      </c>
      <c r="E205" s="294">
        <v>23125.421499</v>
      </c>
      <c r="F205" s="294">
        <v>62459</v>
      </c>
      <c r="G205" s="294">
        <v>14056.53753605511</v>
      </c>
      <c r="H205" s="294">
        <v>13414.753793</v>
      </c>
      <c r="I205" s="294">
        <v>171064</v>
      </c>
      <c r="J205" s="294">
        <v>38288.316989764629</v>
      </c>
      <c r="K205" s="294">
        <v>36540.175292</v>
      </c>
      <c r="L205" s="294">
        <v>46538</v>
      </c>
      <c r="M205" s="294">
        <v>8682.3296803923567</v>
      </c>
      <c r="N205" s="294">
        <v>8285.9178310000007</v>
      </c>
      <c r="O205" s="294">
        <v>48252</v>
      </c>
      <c r="P205" s="294">
        <v>8573.4342526954224</v>
      </c>
      <c r="Q205" s="294">
        <v>8181.9942760000004</v>
      </c>
      <c r="R205" s="294">
        <v>94790</v>
      </c>
      <c r="S205" s="294">
        <v>17255.763933087779</v>
      </c>
      <c r="T205" s="294">
        <v>16467.912107</v>
      </c>
      <c r="U205" s="294">
        <v>155143</v>
      </c>
      <c r="V205" s="294">
        <v>32914.109134101876</v>
      </c>
      <c r="W205" s="294">
        <v>31411.339329999999</v>
      </c>
      <c r="X205" s="294">
        <v>110711</v>
      </c>
      <c r="Y205" s="294">
        <v>22629.971788750529</v>
      </c>
      <c r="Z205" s="294">
        <v>21596.748069000001</v>
      </c>
      <c r="AA205" s="294">
        <v>265854</v>
      </c>
      <c r="AB205" s="294">
        <v>55544.080922852409</v>
      </c>
      <c r="AC205" s="275">
        <v>53008.087398999996</v>
      </c>
    </row>
    <row r="206" spans="2:29" hidden="1" outlineLevel="1" x14ac:dyDescent="0.25">
      <c r="B206" s="291">
        <v>45047</v>
      </c>
      <c r="C206" s="294">
        <v>108135</v>
      </c>
      <c r="D206" s="294">
        <v>24062.976152842781</v>
      </c>
      <c r="E206" s="294">
        <v>23038.162154000001</v>
      </c>
      <c r="F206" s="294">
        <v>62137</v>
      </c>
      <c r="G206" s="294">
        <v>13904.59274247408</v>
      </c>
      <c r="H206" s="294">
        <v>13312.412407</v>
      </c>
      <c r="I206" s="294">
        <v>170272</v>
      </c>
      <c r="J206" s="294">
        <v>37967.568895316857</v>
      </c>
      <c r="K206" s="294">
        <v>36350.574561000001</v>
      </c>
      <c r="L206" s="294">
        <v>46775</v>
      </c>
      <c r="M206" s="294">
        <v>8675.4140599196726</v>
      </c>
      <c r="N206" s="294">
        <v>8305.9383259999995</v>
      </c>
      <c r="O206" s="294">
        <v>48540</v>
      </c>
      <c r="P206" s="294">
        <v>8570.6883055793933</v>
      </c>
      <c r="Q206" s="294">
        <v>8205.6727190000001</v>
      </c>
      <c r="R206" s="294">
        <v>95315</v>
      </c>
      <c r="S206" s="294">
        <v>17246.102365499071</v>
      </c>
      <c r="T206" s="294">
        <v>16511.611045000001</v>
      </c>
      <c r="U206" s="294">
        <v>154910</v>
      </c>
      <c r="V206" s="294">
        <v>32738.39021276245</v>
      </c>
      <c r="W206" s="294">
        <v>31344.100480000001</v>
      </c>
      <c r="X206" s="294">
        <v>110677</v>
      </c>
      <c r="Y206" s="294">
        <v>22475.281048053472</v>
      </c>
      <c r="Z206" s="294">
        <v>21518.085126000002</v>
      </c>
      <c r="AA206" s="294">
        <v>265587</v>
      </c>
      <c r="AB206" s="294">
        <v>55213.671260815929</v>
      </c>
      <c r="AC206" s="275">
        <v>52862.185605999999</v>
      </c>
    </row>
    <row r="207" spans="2:29" hidden="1" outlineLevel="1" x14ac:dyDescent="0.25">
      <c r="B207" s="291">
        <v>45078</v>
      </c>
      <c r="C207" s="294">
        <v>107841</v>
      </c>
      <c r="D207" s="294">
        <v>26611.834713980352</v>
      </c>
      <c r="E207" s="294">
        <v>25368.465981000001</v>
      </c>
      <c r="F207" s="294">
        <v>61932</v>
      </c>
      <c r="G207" s="294">
        <v>15466.00798240386</v>
      </c>
      <c r="H207" s="294">
        <v>14743.399002</v>
      </c>
      <c r="I207" s="294">
        <v>169773</v>
      </c>
      <c r="J207" s="294">
        <v>42077.842696384207</v>
      </c>
      <c r="K207" s="294">
        <v>40111.864982999999</v>
      </c>
      <c r="L207" s="294">
        <v>46987</v>
      </c>
      <c r="M207" s="294">
        <v>8731.5947542718386</v>
      </c>
      <c r="N207" s="294">
        <v>8323.6337089999997</v>
      </c>
      <c r="O207" s="294">
        <v>48880</v>
      </c>
      <c r="P207" s="294">
        <v>8639.5228585137411</v>
      </c>
      <c r="Q207" s="294">
        <v>8235.8636330000008</v>
      </c>
      <c r="R207" s="294">
        <v>95867</v>
      </c>
      <c r="S207" s="294">
        <v>17371.11761278558</v>
      </c>
      <c r="T207" s="294">
        <v>16559.497341999999</v>
      </c>
      <c r="U207" s="294">
        <v>154828</v>
      </c>
      <c r="V207" s="294">
        <v>35343.429468252187</v>
      </c>
      <c r="W207" s="294">
        <v>33692.099690000003</v>
      </c>
      <c r="X207" s="294">
        <v>110812</v>
      </c>
      <c r="Y207" s="294">
        <v>24105.5308409176</v>
      </c>
      <c r="Z207" s="294">
        <v>22979.262634999999</v>
      </c>
      <c r="AA207" s="294">
        <v>265640</v>
      </c>
      <c r="AB207" s="294">
        <v>59448.960309169779</v>
      </c>
      <c r="AC207" s="275">
        <v>56671.362324999987</v>
      </c>
    </row>
    <row r="208" spans="2:29" hidden="1" outlineLevel="1" x14ac:dyDescent="0.25">
      <c r="B208" s="291">
        <v>45108</v>
      </c>
      <c r="C208" s="294">
        <v>107603</v>
      </c>
      <c r="D208" s="294">
        <v>26539.035484199459</v>
      </c>
      <c r="E208" s="294">
        <v>25329.299515999999</v>
      </c>
      <c r="F208" s="294">
        <v>61709</v>
      </c>
      <c r="G208" s="294">
        <v>15410.38861809541</v>
      </c>
      <c r="H208" s="294">
        <v>14707.932742999999</v>
      </c>
      <c r="I208" s="294">
        <v>169312</v>
      </c>
      <c r="J208" s="294">
        <v>41949.424102294863</v>
      </c>
      <c r="K208" s="294">
        <v>40037.232258999997</v>
      </c>
      <c r="L208" s="294">
        <v>47071</v>
      </c>
      <c r="M208" s="294">
        <v>8731.0879776310139</v>
      </c>
      <c r="N208" s="294">
        <v>8333.0964540000004</v>
      </c>
      <c r="O208" s="294">
        <v>49165</v>
      </c>
      <c r="P208" s="294">
        <v>8665.0564508459847</v>
      </c>
      <c r="Q208" s="294">
        <v>8270.0748600000006</v>
      </c>
      <c r="R208" s="294">
        <v>96236</v>
      </c>
      <c r="S208" s="294">
        <v>17396.144428477</v>
      </c>
      <c r="T208" s="294">
        <v>16603.171313999999</v>
      </c>
      <c r="U208" s="294">
        <v>154674</v>
      </c>
      <c r="V208" s="294">
        <v>35270.123461830473</v>
      </c>
      <c r="W208" s="294">
        <v>33662.395969999998</v>
      </c>
      <c r="X208" s="294">
        <v>110874</v>
      </c>
      <c r="Y208" s="294">
        <v>24075.445068941401</v>
      </c>
      <c r="Z208" s="294">
        <v>22978.007602999998</v>
      </c>
      <c r="AA208" s="294">
        <v>265548</v>
      </c>
      <c r="AB208" s="294">
        <v>59345.56853077186</v>
      </c>
      <c r="AC208" s="275">
        <v>56640.403573000003</v>
      </c>
    </row>
    <row r="209" spans="2:29" hidden="1" outlineLevel="1" x14ac:dyDescent="0.25">
      <c r="B209" s="291">
        <v>45139</v>
      </c>
      <c r="C209" s="294">
        <v>107495</v>
      </c>
      <c r="D209" s="294">
        <v>26506.79449244235</v>
      </c>
      <c r="E209" s="294">
        <v>25328.349484999999</v>
      </c>
      <c r="F209" s="294">
        <v>61425</v>
      </c>
      <c r="G209" s="294">
        <v>15353.30747613219</v>
      </c>
      <c r="H209" s="294">
        <v>14670.726693000001</v>
      </c>
      <c r="I209" s="294">
        <v>168920</v>
      </c>
      <c r="J209" s="294">
        <v>41860.101968574541</v>
      </c>
      <c r="K209" s="294">
        <v>39999.076178000003</v>
      </c>
      <c r="L209" s="294">
        <v>47164</v>
      </c>
      <c r="M209" s="294">
        <v>8735.3800490704107</v>
      </c>
      <c r="N209" s="294">
        <v>8347.0205659999992</v>
      </c>
      <c r="O209" s="294">
        <v>49448</v>
      </c>
      <c r="P209" s="294">
        <v>8698.7421899209439</v>
      </c>
      <c r="Q209" s="294">
        <v>8312.0115609999993</v>
      </c>
      <c r="R209" s="294">
        <v>96612</v>
      </c>
      <c r="S209" s="294">
        <v>17434.12223899136</v>
      </c>
      <c r="T209" s="294">
        <v>16659.032126999999</v>
      </c>
      <c r="U209" s="294">
        <v>154659</v>
      </c>
      <c r="V209" s="294">
        <v>35242.174541512759</v>
      </c>
      <c r="W209" s="294">
        <v>33675.370050999998</v>
      </c>
      <c r="X209" s="294">
        <v>110873</v>
      </c>
      <c r="Y209" s="294">
        <v>24052.049666053139</v>
      </c>
      <c r="Z209" s="294">
        <v>22982.738254</v>
      </c>
      <c r="AA209" s="294">
        <v>265532</v>
      </c>
      <c r="AB209" s="294">
        <v>59294.224207565901</v>
      </c>
      <c r="AC209" s="275">
        <v>56658.108305000002</v>
      </c>
    </row>
    <row r="210" spans="2:29" hidden="1" outlineLevel="1" x14ac:dyDescent="0.25">
      <c r="B210" s="291">
        <v>45170</v>
      </c>
      <c r="C210" s="294">
        <v>107346</v>
      </c>
      <c r="D210" s="294">
        <v>26302.754813681338</v>
      </c>
      <c r="E210" s="294">
        <v>25293.121417999999</v>
      </c>
      <c r="F210" s="294">
        <v>61168</v>
      </c>
      <c r="G210" s="294">
        <v>15202.940427242909</v>
      </c>
      <c r="H210" s="294">
        <v>14619.374314999999</v>
      </c>
      <c r="I210" s="294">
        <v>168514</v>
      </c>
      <c r="J210" s="294">
        <v>41505.695240924251</v>
      </c>
      <c r="K210" s="294">
        <v>39912.495733000003</v>
      </c>
      <c r="L210" s="294">
        <v>47248</v>
      </c>
      <c r="M210" s="294">
        <v>8682.6318791148078</v>
      </c>
      <c r="N210" s="294">
        <v>8349.348344</v>
      </c>
      <c r="O210" s="294">
        <v>49763</v>
      </c>
      <c r="P210" s="294">
        <v>8677.459789013059</v>
      </c>
      <c r="Q210" s="294">
        <v>8344.374785</v>
      </c>
      <c r="R210" s="294">
        <v>97011</v>
      </c>
      <c r="S210" s="294">
        <v>17360.091668127869</v>
      </c>
      <c r="T210" s="294">
        <v>16693.723129000002</v>
      </c>
      <c r="U210" s="294">
        <v>154594</v>
      </c>
      <c r="V210" s="294">
        <v>34985.38669279615</v>
      </c>
      <c r="W210" s="294">
        <v>33642.469762000001</v>
      </c>
      <c r="X210" s="294">
        <v>110931</v>
      </c>
      <c r="Y210" s="294">
        <v>23880.400216255959</v>
      </c>
      <c r="Z210" s="294">
        <v>22963.749100000001</v>
      </c>
      <c r="AA210" s="294">
        <v>265525</v>
      </c>
      <c r="AB210" s="294">
        <v>58865.78690905212</v>
      </c>
      <c r="AC210" s="275">
        <v>56606.218862000009</v>
      </c>
    </row>
    <row r="211" spans="2:29" hidden="1" outlineLevel="1" x14ac:dyDescent="0.25">
      <c r="B211" s="291">
        <v>45200</v>
      </c>
      <c r="C211" s="294">
        <v>106548</v>
      </c>
      <c r="D211" s="294">
        <v>26101.54439364974</v>
      </c>
      <c r="E211" s="294">
        <v>25173.157954999999</v>
      </c>
      <c r="F211" s="294">
        <v>60882</v>
      </c>
      <c r="G211" s="294">
        <v>15115.67563132863</v>
      </c>
      <c r="H211" s="294">
        <v>14578.037396</v>
      </c>
      <c r="I211" s="294">
        <v>167430</v>
      </c>
      <c r="J211" s="294">
        <v>41217.220024978378</v>
      </c>
      <c r="K211" s="294">
        <v>39751.195351000002</v>
      </c>
      <c r="L211" s="294">
        <v>47288</v>
      </c>
      <c r="M211" s="294">
        <v>8655.8512403235145</v>
      </c>
      <c r="N211" s="294">
        <v>8347.9776989999991</v>
      </c>
      <c r="O211" s="294">
        <v>49876</v>
      </c>
      <c r="P211" s="294">
        <v>8660.9350713312579</v>
      </c>
      <c r="Q211" s="294">
        <v>8352.8807070000003</v>
      </c>
      <c r="R211" s="294">
        <v>97164</v>
      </c>
      <c r="S211" s="294">
        <v>17316.786311654771</v>
      </c>
      <c r="T211" s="294">
        <v>16700.858405999999</v>
      </c>
      <c r="U211" s="294">
        <v>153836</v>
      </c>
      <c r="V211" s="294">
        <v>34757.395633973247</v>
      </c>
      <c r="W211" s="294">
        <v>33521.135653999998</v>
      </c>
      <c r="X211" s="294">
        <v>110758</v>
      </c>
      <c r="Y211" s="294">
        <v>23776.610702659891</v>
      </c>
      <c r="Z211" s="294">
        <v>22930.918103</v>
      </c>
      <c r="AA211" s="294">
        <v>264594</v>
      </c>
      <c r="AB211" s="294">
        <v>58534.006336633152</v>
      </c>
      <c r="AC211" s="275">
        <v>56452.053757000001</v>
      </c>
    </row>
    <row r="212" spans="2:29" hidden="1" outlineLevel="1" x14ac:dyDescent="0.25">
      <c r="B212" s="291">
        <v>45231</v>
      </c>
      <c r="C212" s="294">
        <v>106386</v>
      </c>
      <c r="D212" s="294">
        <v>25860.41115211276</v>
      </c>
      <c r="E212" s="294">
        <v>25126.472483000001</v>
      </c>
      <c r="F212" s="294">
        <v>60624</v>
      </c>
      <c r="G212" s="294">
        <v>14941.313183410801</v>
      </c>
      <c r="H212" s="294">
        <v>14517.267044</v>
      </c>
      <c r="I212" s="294">
        <v>167010</v>
      </c>
      <c r="J212" s="294">
        <v>40801.724335523562</v>
      </c>
      <c r="K212" s="294">
        <v>39643.739526999998</v>
      </c>
      <c r="L212" s="294">
        <v>47294</v>
      </c>
      <c r="M212" s="294">
        <v>8577.5468889789172</v>
      </c>
      <c r="N212" s="294">
        <v>8334.1094080000003</v>
      </c>
      <c r="O212" s="294">
        <v>49989</v>
      </c>
      <c r="P212" s="294">
        <v>8600.3420103290264</v>
      </c>
      <c r="Q212" s="294">
        <v>8356.2575859999997</v>
      </c>
      <c r="R212" s="294">
        <v>97283</v>
      </c>
      <c r="S212" s="294">
        <v>17177.888899307949</v>
      </c>
      <c r="T212" s="294">
        <v>16690.366994</v>
      </c>
      <c r="U212" s="294">
        <v>153680</v>
      </c>
      <c r="V212" s="294">
        <v>34437.958041091682</v>
      </c>
      <c r="W212" s="294">
        <v>33460.581891000002</v>
      </c>
      <c r="X212" s="294">
        <v>110613</v>
      </c>
      <c r="Y212" s="294">
        <v>23541.655193739829</v>
      </c>
      <c r="Z212" s="294">
        <v>22873.52463</v>
      </c>
      <c r="AA212" s="294">
        <v>264293</v>
      </c>
      <c r="AB212" s="294">
        <v>57979.6132348315</v>
      </c>
      <c r="AC212" s="275">
        <v>56334.106520999987</v>
      </c>
    </row>
    <row r="213" spans="2:29" collapsed="1" x14ac:dyDescent="0.25">
      <c r="B213" s="291">
        <v>45261</v>
      </c>
      <c r="C213" s="294">
        <v>105880</v>
      </c>
      <c r="D213" s="294">
        <v>25906.839536143008</v>
      </c>
      <c r="E213" s="294">
        <v>25039.244064999999</v>
      </c>
      <c r="F213" s="294">
        <v>60307</v>
      </c>
      <c r="G213" s="294">
        <v>14951.045808986149</v>
      </c>
      <c r="H213" s="294">
        <v>14450.349473</v>
      </c>
      <c r="I213" s="294">
        <v>166187</v>
      </c>
      <c r="J213" s="294">
        <v>40857.885345129172</v>
      </c>
      <c r="K213" s="294">
        <v>39489.593538000001</v>
      </c>
      <c r="L213" s="294">
        <v>47405</v>
      </c>
      <c r="M213" s="294">
        <v>8628.0777676141697</v>
      </c>
      <c r="N213" s="294">
        <v>8339.1316310000002</v>
      </c>
      <c r="O213" s="294">
        <v>50164</v>
      </c>
      <c r="P213" s="294">
        <v>8654.9588826471372</v>
      </c>
      <c r="Q213" s="294">
        <v>8365.1125229999998</v>
      </c>
      <c r="R213" s="294">
        <v>97569</v>
      </c>
      <c r="S213" s="294">
        <v>17283.036650261311</v>
      </c>
      <c r="T213" s="294">
        <v>16704.244154</v>
      </c>
      <c r="U213" s="294">
        <v>153285</v>
      </c>
      <c r="V213" s="294">
        <v>34534.917303757167</v>
      </c>
      <c r="W213" s="294">
        <v>33378.375696000003</v>
      </c>
      <c r="X213" s="294">
        <v>110471</v>
      </c>
      <c r="Y213" s="294">
        <v>23606.00469163329</v>
      </c>
      <c r="Z213" s="294">
        <v>22815.461996000002</v>
      </c>
      <c r="AA213" s="294">
        <v>263756</v>
      </c>
      <c r="AB213" s="294">
        <v>58140.921995390469</v>
      </c>
      <c r="AC213" s="275">
        <v>56193.837692000001</v>
      </c>
    </row>
    <row r="214" spans="2:29" outlineLevel="1" x14ac:dyDescent="0.25">
      <c r="B214" s="291">
        <v>45292</v>
      </c>
      <c r="C214" s="294">
        <v>105730</v>
      </c>
      <c r="D214" s="294">
        <v>25707.655706473201</v>
      </c>
      <c r="E214" s="294">
        <v>25012.84159</v>
      </c>
      <c r="F214" s="294">
        <v>60078</v>
      </c>
      <c r="G214" s="294">
        <v>14810.402833917909</v>
      </c>
      <c r="H214" s="294">
        <v>14410.114411</v>
      </c>
      <c r="I214" s="294">
        <v>165808</v>
      </c>
      <c r="J214" s="294">
        <v>40518.05854039111</v>
      </c>
      <c r="K214" s="294">
        <v>39422.956000999999</v>
      </c>
      <c r="L214" s="294">
        <v>47428</v>
      </c>
      <c r="M214" s="294">
        <v>8562.5331533056215</v>
      </c>
      <c r="N214" s="294">
        <v>8331.1091379999998</v>
      </c>
      <c r="O214" s="294">
        <v>50273</v>
      </c>
      <c r="P214" s="294">
        <v>8607.8978658718879</v>
      </c>
      <c r="Q214" s="294">
        <v>8375.2477550000003</v>
      </c>
      <c r="R214" s="294">
        <v>97701</v>
      </c>
      <c r="S214" s="294">
        <v>17170.431019177511</v>
      </c>
      <c r="T214" s="294">
        <v>16706.356893</v>
      </c>
      <c r="U214" s="294">
        <v>153158</v>
      </c>
      <c r="V214" s="294">
        <v>34270.18885977882</v>
      </c>
      <c r="W214" s="294">
        <v>33343.950728000003</v>
      </c>
      <c r="X214" s="294">
        <v>110351</v>
      </c>
      <c r="Y214" s="294">
        <v>23418.300699789801</v>
      </c>
      <c r="Z214" s="294">
        <v>22785.362165999999</v>
      </c>
      <c r="AA214" s="294">
        <v>263509</v>
      </c>
      <c r="AB214" s="294">
        <v>57688.489559568618</v>
      </c>
      <c r="AC214" s="275">
        <v>56129.312894000002</v>
      </c>
    </row>
    <row r="215" spans="2:29" outlineLevel="1" x14ac:dyDescent="0.25">
      <c r="B215" s="291">
        <v>45323</v>
      </c>
      <c r="C215" s="294">
        <v>105280</v>
      </c>
      <c r="D215" s="294">
        <v>25478.87196983413</v>
      </c>
      <c r="E215" s="294">
        <v>24935.945982000001</v>
      </c>
      <c r="F215" s="294">
        <v>59843</v>
      </c>
      <c r="G215" s="294">
        <v>14683.07850195752</v>
      </c>
      <c r="H215" s="294">
        <v>14370.198681</v>
      </c>
      <c r="I215" s="294">
        <v>165123</v>
      </c>
      <c r="J215" s="294">
        <v>40161.950471791657</v>
      </c>
      <c r="K215" s="294">
        <v>39306.144662999999</v>
      </c>
      <c r="L215" s="294">
        <v>47482</v>
      </c>
      <c r="M215" s="294">
        <v>8907.2572753793957</v>
      </c>
      <c r="N215" s="294">
        <v>8717.4536819999994</v>
      </c>
      <c r="O215" s="294">
        <v>50386</v>
      </c>
      <c r="P215" s="294">
        <v>8978.9825080875453</v>
      </c>
      <c r="Q215" s="294">
        <v>8787.6505309999993</v>
      </c>
      <c r="R215" s="294">
        <v>97868</v>
      </c>
      <c r="S215" s="294">
        <v>17886.239783466939</v>
      </c>
      <c r="T215" s="294">
        <v>17505.104212999999</v>
      </c>
      <c r="U215" s="294">
        <v>152762</v>
      </c>
      <c r="V215" s="294">
        <v>34386.129245213517</v>
      </c>
      <c r="W215" s="294">
        <v>33653.399663999997</v>
      </c>
      <c r="X215" s="294">
        <v>110229</v>
      </c>
      <c r="Y215" s="294">
        <v>23662.061010045069</v>
      </c>
      <c r="Z215" s="294">
        <v>23157.849212000001</v>
      </c>
      <c r="AA215" s="294">
        <v>262991</v>
      </c>
      <c r="AB215" s="294">
        <v>58048.190255258603</v>
      </c>
      <c r="AC215" s="275">
        <v>56811.248875999998</v>
      </c>
    </row>
    <row r="216" spans="2:29" outlineLevel="1" x14ac:dyDescent="0.25">
      <c r="B216" s="291">
        <v>45352</v>
      </c>
      <c r="C216" s="294">
        <v>105111</v>
      </c>
      <c r="D216" s="294">
        <v>25345.589421129229</v>
      </c>
      <c r="E216" s="294">
        <v>24899.324678000001</v>
      </c>
      <c r="F216" s="294">
        <v>59586</v>
      </c>
      <c r="G216" s="294">
        <v>14576.287642382151</v>
      </c>
      <c r="H216" s="294">
        <v>14319.640099</v>
      </c>
      <c r="I216" s="294">
        <v>164697</v>
      </c>
      <c r="J216" s="294">
        <v>39921.877063511383</v>
      </c>
      <c r="K216" s="294">
        <v>39218.964777000001</v>
      </c>
      <c r="L216" s="294">
        <v>47562</v>
      </c>
      <c r="M216" s="294">
        <v>8870.3321261909296</v>
      </c>
      <c r="N216" s="294">
        <v>8714.1504559999994</v>
      </c>
      <c r="O216" s="294">
        <v>50629</v>
      </c>
      <c r="P216" s="294">
        <v>8959.5504618519517</v>
      </c>
      <c r="Q216" s="294">
        <v>8801.7979070000001</v>
      </c>
      <c r="R216" s="294">
        <v>98191</v>
      </c>
      <c r="S216" s="294">
        <v>17829.882588042881</v>
      </c>
      <c r="T216" s="294">
        <v>17515.948363</v>
      </c>
      <c r="U216" s="294">
        <v>152673</v>
      </c>
      <c r="V216" s="294">
        <v>34215.921547320162</v>
      </c>
      <c r="W216" s="294">
        <v>33613.475134</v>
      </c>
      <c r="X216" s="294">
        <v>110215</v>
      </c>
      <c r="Y216" s="294">
        <v>23535.838104234099</v>
      </c>
      <c r="Z216" s="294">
        <v>23121.438006</v>
      </c>
      <c r="AA216" s="294">
        <v>262888</v>
      </c>
      <c r="AB216" s="294">
        <v>57751.759651554246</v>
      </c>
      <c r="AC216" s="275">
        <v>56734.913139999997</v>
      </c>
    </row>
    <row r="217" spans="2:29" outlineLevel="1" x14ac:dyDescent="0.25">
      <c r="B217" s="291">
        <v>45383</v>
      </c>
      <c r="C217" s="294">
        <v>104642</v>
      </c>
      <c r="D217" s="294">
        <v>25101.35432073642</v>
      </c>
      <c r="E217" s="294">
        <v>24789.446219000001</v>
      </c>
      <c r="F217" s="294">
        <v>59125</v>
      </c>
      <c r="G217" s="294">
        <v>14391.91923757722</v>
      </c>
      <c r="H217" s="294">
        <v>14213.086010000001</v>
      </c>
      <c r="I217" s="294">
        <v>163767</v>
      </c>
      <c r="J217" s="294">
        <v>39493.273558313638</v>
      </c>
      <c r="K217" s="294">
        <v>39002.532228999997</v>
      </c>
      <c r="L217" s="294">
        <v>47629</v>
      </c>
      <c r="M217" s="294">
        <v>8818.0756184426282</v>
      </c>
      <c r="N217" s="294">
        <v>8708.5026770000004</v>
      </c>
      <c r="O217" s="294">
        <v>50788</v>
      </c>
      <c r="P217" s="294">
        <v>8928.4801624698666</v>
      </c>
      <c r="Q217" s="294">
        <v>8817.5353400000004</v>
      </c>
      <c r="R217" s="294">
        <v>98417</v>
      </c>
      <c r="S217" s="294">
        <v>17746.555780912491</v>
      </c>
      <c r="T217" s="294">
        <v>17526.038016999999</v>
      </c>
      <c r="U217" s="294">
        <v>152271</v>
      </c>
      <c r="V217" s="294">
        <v>33919.429939179063</v>
      </c>
      <c r="W217" s="294">
        <v>33497.948896000002</v>
      </c>
      <c r="X217" s="294">
        <v>109913</v>
      </c>
      <c r="Y217" s="294">
        <v>23320.399400047081</v>
      </c>
      <c r="Z217" s="294">
        <v>23030.621350000001</v>
      </c>
      <c r="AA217" s="294">
        <v>262184</v>
      </c>
      <c r="AB217" s="294">
        <v>57239.829339226133</v>
      </c>
      <c r="AC217" s="275">
        <v>56528.570246000003</v>
      </c>
    </row>
    <row r="218" spans="2:29" outlineLevel="1" x14ac:dyDescent="0.25">
      <c r="B218" s="291">
        <v>45413</v>
      </c>
      <c r="C218" s="294">
        <v>104352</v>
      </c>
      <c r="D218" s="294">
        <v>24974.37814016562</v>
      </c>
      <c r="E218" s="294">
        <v>24729.034017999998</v>
      </c>
      <c r="F218" s="294">
        <v>58884</v>
      </c>
      <c r="G218" s="294">
        <v>14301.480841607579</v>
      </c>
      <c r="H218" s="294">
        <v>14160.985481</v>
      </c>
      <c r="I218" s="294">
        <v>163236</v>
      </c>
      <c r="J218" s="294">
        <v>39275.858981773199</v>
      </c>
      <c r="K218" s="294">
        <v>38890.019499000002</v>
      </c>
      <c r="L218" s="294">
        <v>47769</v>
      </c>
      <c r="M218" s="294">
        <v>8794.709177965502</v>
      </c>
      <c r="N218" s="294">
        <v>8708.3114229999992</v>
      </c>
      <c r="O218" s="294">
        <v>51103</v>
      </c>
      <c r="P218" s="294">
        <v>8912.3023183481619</v>
      </c>
      <c r="Q218" s="294">
        <v>8824.7493479999994</v>
      </c>
      <c r="R218" s="294">
        <v>98872</v>
      </c>
      <c r="S218" s="294">
        <v>17707.011496313669</v>
      </c>
      <c r="T218" s="294">
        <v>17533.060771</v>
      </c>
      <c r="U218" s="294">
        <v>152121</v>
      </c>
      <c r="V218" s="294">
        <v>33769.087318131118</v>
      </c>
      <c r="W218" s="294">
        <v>33437.345440999998</v>
      </c>
      <c r="X218" s="294">
        <v>109987</v>
      </c>
      <c r="Y218" s="294">
        <v>23213.783159955739</v>
      </c>
      <c r="Z218" s="294">
        <v>22985.734829000001</v>
      </c>
      <c r="AA218" s="294">
        <v>262108</v>
      </c>
      <c r="AB218" s="294">
        <v>56982.870478086857</v>
      </c>
      <c r="AC218" s="275">
        <v>56423.080270000013</v>
      </c>
    </row>
    <row r="219" spans="2:29" outlineLevel="1" x14ac:dyDescent="0.25">
      <c r="B219" s="291">
        <v>45444</v>
      </c>
      <c r="C219" s="294">
        <v>104196</v>
      </c>
      <c r="D219" s="294">
        <v>25981.684256199111</v>
      </c>
      <c r="E219" s="294">
        <v>25703.435707000001</v>
      </c>
      <c r="F219" s="294">
        <v>58622</v>
      </c>
      <c r="G219" s="294">
        <v>14879.260828623081</v>
      </c>
      <c r="H219" s="294">
        <v>14719.912700999999</v>
      </c>
      <c r="I219" s="294">
        <v>162818</v>
      </c>
      <c r="J219" s="294">
        <v>40860.94508482219</v>
      </c>
      <c r="K219" s="294">
        <v>40423.348407999998</v>
      </c>
      <c r="L219" s="294">
        <v>47897</v>
      </c>
      <c r="M219" s="294">
        <v>8809.7086464412641</v>
      </c>
      <c r="N219" s="294">
        <v>8715.3618509999997</v>
      </c>
      <c r="O219" s="294">
        <v>51273</v>
      </c>
      <c r="P219" s="294">
        <v>8928.2058699744157</v>
      </c>
      <c r="Q219" s="294">
        <v>8832.5900390000006</v>
      </c>
      <c r="R219" s="294">
        <v>99170</v>
      </c>
      <c r="S219" s="294">
        <v>17737.91451641568</v>
      </c>
      <c r="T219" s="294">
        <v>17547.95189</v>
      </c>
      <c r="U219" s="294">
        <v>152093</v>
      </c>
      <c r="V219" s="294">
        <v>34791.392902640378</v>
      </c>
      <c r="W219" s="294">
        <v>34418.797557999998</v>
      </c>
      <c r="X219" s="294">
        <v>109895</v>
      </c>
      <c r="Y219" s="294">
        <v>23807.466698597502</v>
      </c>
      <c r="Z219" s="294">
        <v>23552.50274</v>
      </c>
      <c r="AA219" s="294">
        <v>261988</v>
      </c>
      <c r="AB219" s="294">
        <v>58598.859601237869</v>
      </c>
      <c r="AC219" s="275">
        <v>57971.300298000002</v>
      </c>
    </row>
    <row r="220" spans="2:29" outlineLevel="1" x14ac:dyDescent="0.25">
      <c r="B220" s="291">
        <v>45474</v>
      </c>
      <c r="C220" s="294">
        <v>104051</v>
      </c>
      <c r="D220" s="294">
        <v>25762.518020723212</v>
      </c>
      <c r="E220" s="294">
        <v>25674.329231</v>
      </c>
      <c r="F220" s="294">
        <v>58337</v>
      </c>
      <c r="G220" s="294">
        <v>14716.04977448508</v>
      </c>
      <c r="H220" s="294">
        <v>14665.674628000001</v>
      </c>
      <c r="I220" s="294">
        <v>162388</v>
      </c>
      <c r="J220" s="294">
        <v>40478.567795208277</v>
      </c>
      <c r="K220" s="294">
        <v>40340.003858999997</v>
      </c>
      <c r="L220" s="294">
        <v>47933</v>
      </c>
      <c r="M220" s="294">
        <v>8741.1981845819955</v>
      </c>
      <c r="N220" s="294">
        <v>8711.2758109999995</v>
      </c>
      <c r="O220" s="294">
        <v>51499</v>
      </c>
      <c r="P220" s="294">
        <v>8887.2540587621461</v>
      </c>
      <c r="Q220" s="294">
        <v>8856.8317150000003</v>
      </c>
      <c r="R220" s="294">
        <v>99432</v>
      </c>
      <c r="S220" s="294">
        <v>17628.452243344142</v>
      </c>
      <c r="T220" s="294">
        <v>17568.107526</v>
      </c>
      <c r="U220" s="294">
        <v>151984</v>
      </c>
      <c r="V220" s="294">
        <v>34503.716205305202</v>
      </c>
      <c r="W220" s="294">
        <v>34385.605042000003</v>
      </c>
      <c r="X220" s="294">
        <v>109836</v>
      </c>
      <c r="Y220" s="294">
        <v>23603.303833247221</v>
      </c>
      <c r="Z220" s="294">
        <v>23522.506343000001</v>
      </c>
      <c r="AA220" s="294">
        <v>261820</v>
      </c>
      <c r="AB220" s="294">
        <v>58107.020038552422</v>
      </c>
      <c r="AC220" s="275">
        <v>57908.111384999997</v>
      </c>
    </row>
    <row r="221" spans="2:29" outlineLevel="1" x14ac:dyDescent="0.25">
      <c r="B221" s="291">
        <v>45505</v>
      </c>
      <c r="C221" s="294">
        <v>103719</v>
      </c>
      <c r="D221" s="294">
        <v>25633.651208140211</v>
      </c>
      <c r="E221" s="294">
        <v>25611.172623999999</v>
      </c>
      <c r="F221" s="294">
        <v>57968</v>
      </c>
      <c r="G221" s="294">
        <v>14604.207821896171</v>
      </c>
      <c r="H221" s="294">
        <v>14591.401143999999</v>
      </c>
      <c r="I221" s="294">
        <v>161687</v>
      </c>
      <c r="J221" s="294">
        <v>40237.859030036387</v>
      </c>
      <c r="K221" s="294">
        <v>40202.573768000002</v>
      </c>
      <c r="L221" s="294">
        <v>48030</v>
      </c>
      <c r="M221" s="294">
        <v>8730.3583365132254</v>
      </c>
      <c r="N221" s="294">
        <v>8722.7025369999992</v>
      </c>
      <c r="O221" s="294">
        <v>51610</v>
      </c>
      <c r="P221" s="294">
        <v>8879.4421216166174</v>
      </c>
      <c r="Q221" s="294">
        <v>8871.6555879999996</v>
      </c>
      <c r="R221" s="294">
        <v>99640</v>
      </c>
      <c r="S221" s="294">
        <v>17609.800458129841</v>
      </c>
      <c r="T221" s="294">
        <v>17594.358124999999</v>
      </c>
      <c r="U221" s="294">
        <v>151749</v>
      </c>
      <c r="V221" s="294">
        <v>34364.009544653432</v>
      </c>
      <c r="W221" s="294">
        <v>34333.875161000004</v>
      </c>
      <c r="X221" s="294">
        <v>109578</v>
      </c>
      <c r="Y221" s="294">
        <v>23483.649943512792</v>
      </c>
      <c r="Z221" s="294">
        <v>23463.056732000001</v>
      </c>
      <c r="AA221" s="294">
        <v>261327</v>
      </c>
      <c r="AB221" s="294">
        <v>57847.659488166231</v>
      </c>
      <c r="AC221" s="275">
        <v>57796.931893000001</v>
      </c>
    </row>
    <row r="222" spans="2:29" x14ac:dyDescent="0.25">
      <c r="B222" s="291">
        <v>45536</v>
      </c>
      <c r="C222" s="294">
        <v>103429</v>
      </c>
      <c r="D222" s="294">
        <v>25543.780151999999</v>
      </c>
      <c r="E222" s="294">
        <v>25543.780151999999</v>
      </c>
      <c r="F222" s="294">
        <v>57557</v>
      </c>
      <c r="G222" s="294">
        <v>14498.055632</v>
      </c>
      <c r="H222" s="294">
        <v>14498.055632</v>
      </c>
      <c r="I222" s="294">
        <v>160986</v>
      </c>
      <c r="J222" s="294">
        <v>40041.835784000003</v>
      </c>
      <c r="K222" s="294">
        <v>40041.835784000003</v>
      </c>
      <c r="L222" s="294">
        <v>48029</v>
      </c>
      <c r="M222" s="294">
        <v>8709.9113300000008</v>
      </c>
      <c r="N222" s="294">
        <v>8709.9113300000008</v>
      </c>
      <c r="O222" s="294">
        <v>51658</v>
      </c>
      <c r="P222" s="294">
        <v>8871.5785739999992</v>
      </c>
      <c r="Q222" s="294">
        <v>8871.5785739999992</v>
      </c>
      <c r="R222" s="294">
        <v>99687</v>
      </c>
      <c r="S222" s="294">
        <v>17581.489903999998</v>
      </c>
      <c r="T222" s="294">
        <v>17581.489903999998</v>
      </c>
      <c r="U222" s="294">
        <v>151458</v>
      </c>
      <c r="V222" s="294">
        <v>34253.691482000002</v>
      </c>
      <c r="W222" s="294">
        <v>34253.691482000002</v>
      </c>
      <c r="X222" s="294">
        <v>109215</v>
      </c>
      <c r="Y222" s="294">
        <v>23369.634205999999</v>
      </c>
      <c r="Z222" s="294">
        <v>23369.634205999999</v>
      </c>
      <c r="AA222" s="294">
        <v>260673</v>
      </c>
      <c r="AB222" s="294">
        <v>57623.325687999997</v>
      </c>
      <c r="AC222" s="275">
        <v>57623.325687999997</v>
      </c>
    </row>
    <row r="223" spans="2:29" x14ac:dyDescent="0.25">
      <c r="B223" s="4" t="s">
        <v>772</v>
      </c>
      <c r="C223" s="240"/>
      <c r="D223" s="240"/>
      <c r="E223" s="240"/>
      <c r="F223" s="240"/>
      <c r="G223" s="240"/>
      <c r="H223" s="240"/>
      <c r="I223" s="240"/>
      <c r="J223" s="240"/>
      <c r="K223" s="240"/>
      <c r="L223" s="240"/>
      <c r="M223" s="240"/>
    </row>
    <row r="224" spans="2:29" x14ac:dyDescent="0.25">
      <c r="B224" s="421" t="s">
        <v>836</v>
      </c>
      <c r="C224" s="421"/>
      <c r="D224" s="421"/>
      <c r="E224" s="421"/>
      <c r="F224" s="421"/>
      <c r="G224" s="421"/>
      <c r="H224" s="421"/>
      <c r="I224" s="421"/>
      <c r="J224" s="421"/>
      <c r="K224" s="421"/>
      <c r="L224" s="421"/>
      <c r="M224" s="421"/>
      <c r="N224" s="421"/>
      <c r="O224" s="421"/>
      <c r="P224" s="421"/>
      <c r="Q224" s="421"/>
      <c r="R224" s="421"/>
      <c r="S224" s="421"/>
      <c r="T224" s="421"/>
      <c r="U224" s="421"/>
      <c r="V224" s="421"/>
      <c r="W224" s="421"/>
      <c r="X224" s="421"/>
      <c r="Y224" s="421"/>
      <c r="Z224" s="421"/>
      <c r="AA224" s="421"/>
      <c r="AB224" s="421"/>
      <c r="AC224" s="421"/>
    </row>
    <row r="225" spans="2:14" x14ac:dyDescent="0.25">
      <c r="B225" s="258" t="s">
        <v>919</v>
      </c>
      <c r="C225" s="232"/>
      <c r="D225" s="232"/>
      <c r="E225" s="232"/>
      <c r="F225" s="232"/>
      <c r="G225" s="232"/>
      <c r="H225" s="232"/>
      <c r="I225" s="232"/>
      <c r="J225" s="232"/>
      <c r="K225" s="232"/>
      <c r="L225" s="232"/>
      <c r="M225" s="238"/>
      <c r="N225" s="222"/>
    </row>
    <row r="226" spans="2:14" x14ac:dyDescent="0.25">
      <c r="B226" s="4"/>
      <c r="C226" s="4"/>
      <c r="D226" s="4"/>
      <c r="E226" s="4"/>
      <c r="F226" s="4"/>
      <c r="G226" s="4"/>
      <c r="H226" s="4"/>
      <c r="I226" s="4"/>
      <c r="J226" s="4"/>
      <c r="K226" s="4"/>
    </row>
    <row r="227" spans="2:14" x14ac:dyDescent="0.25">
      <c r="B227" s="4"/>
      <c r="C227" s="4"/>
      <c r="D227" s="4"/>
      <c r="E227" s="4"/>
      <c r="F227" s="4"/>
      <c r="G227" s="4"/>
      <c r="H227" s="4"/>
      <c r="I227" s="4"/>
      <c r="J227" s="4"/>
      <c r="K227" s="4"/>
    </row>
    <row r="228" spans="2:14" x14ac:dyDescent="0.25">
      <c r="B228" s="4"/>
      <c r="C228" s="4"/>
      <c r="D228" s="4"/>
      <c r="E228" s="4"/>
      <c r="F228" s="4"/>
      <c r="G228" s="4"/>
      <c r="H228" s="4"/>
      <c r="I228" s="4"/>
      <c r="J228" s="4"/>
      <c r="K228" s="4"/>
    </row>
    <row r="229" spans="2:14" x14ac:dyDescent="0.25">
      <c r="B229" s="4"/>
      <c r="C229" s="4"/>
      <c r="D229" s="4"/>
      <c r="E229" s="4"/>
      <c r="F229" s="4"/>
      <c r="G229" s="4"/>
      <c r="H229" s="4"/>
      <c r="I229" s="4"/>
      <c r="J229" s="4"/>
      <c r="K229" s="4"/>
    </row>
    <row r="230" spans="2:14" x14ac:dyDescent="0.25">
      <c r="B230" s="4"/>
      <c r="C230" s="4"/>
      <c r="D230" s="4"/>
      <c r="E230" s="4"/>
      <c r="F230" s="4"/>
      <c r="G230" s="4"/>
      <c r="H230" s="4"/>
      <c r="I230" s="4"/>
      <c r="J230" s="4"/>
      <c r="K230" s="4"/>
    </row>
    <row r="231" spans="2:14" x14ac:dyDescent="0.25">
      <c r="B231" s="4"/>
      <c r="C231" s="4"/>
      <c r="D231" s="4"/>
      <c r="E231" s="4"/>
      <c r="F231" s="4"/>
      <c r="G231" s="4"/>
      <c r="H231" s="4"/>
      <c r="I231" s="4"/>
      <c r="J231" s="4"/>
      <c r="K231" s="4"/>
    </row>
    <row r="232" spans="2:14" x14ac:dyDescent="0.25">
      <c r="B232" s="4"/>
      <c r="C232" s="4"/>
      <c r="D232" s="4"/>
      <c r="E232" s="4"/>
      <c r="F232" s="4"/>
      <c r="G232" s="4"/>
      <c r="H232" s="4"/>
      <c r="I232" s="4"/>
      <c r="J232" s="4"/>
      <c r="K232" s="4"/>
    </row>
  </sheetData>
  <mergeCells count="20">
    <mergeCell ref="B15:B17"/>
    <mergeCell ref="B19:L19"/>
    <mergeCell ref="D7:F7"/>
    <mergeCell ref="G7:I7"/>
    <mergeCell ref="J7:L7"/>
    <mergeCell ref="B9:B11"/>
    <mergeCell ref="B12:B14"/>
    <mergeCell ref="B224:AC224"/>
    <mergeCell ref="U25:AC25"/>
    <mergeCell ref="U26:W26"/>
    <mergeCell ref="X26:Z26"/>
    <mergeCell ref="AA26:AC26"/>
    <mergeCell ref="C26:E26"/>
    <mergeCell ref="F26:H26"/>
    <mergeCell ref="I26:K26"/>
    <mergeCell ref="C25:K25"/>
    <mergeCell ref="L25:T25"/>
    <mergeCell ref="L26:N26"/>
    <mergeCell ref="O26:Q26"/>
    <mergeCell ref="R26:T26"/>
  </mergeCells>
  <phoneticPr fontId="27"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 workbookViewId="1"/>
  </sheetViews>
  <sheetFormatPr baseColWidth="10" defaultRowHeight="15" x14ac:dyDescent="0.25"/>
  <sheetData>
    <row r="3" spans="1:7" ht="45" x14ac:dyDescent="0.25">
      <c r="A3" s="136" t="s">
        <v>501</v>
      </c>
      <c r="B3" s="136" t="s">
        <v>502</v>
      </c>
      <c r="C3" s="136">
        <v>1</v>
      </c>
      <c r="D3" s="153"/>
      <c r="E3" s="153"/>
      <c r="F3" s="154"/>
    </row>
    <row r="4" spans="1:7" x14ac:dyDescent="0.25">
      <c r="A4" s="136"/>
      <c r="B4" s="136"/>
      <c r="C4" s="136"/>
      <c r="D4" s="136"/>
      <c r="F4" s="142"/>
    </row>
    <row r="5" spans="1:7" ht="30" x14ac:dyDescent="0.25">
      <c r="A5" s="136"/>
      <c r="B5" s="136"/>
      <c r="C5" s="136" t="s">
        <v>500</v>
      </c>
      <c r="D5" s="136"/>
      <c r="F5" s="142"/>
    </row>
    <row r="6" spans="1:7" x14ac:dyDescent="0.25">
      <c r="A6" s="136" t="s">
        <v>126</v>
      </c>
      <c r="B6" s="136" t="s">
        <v>479</v>
      </c>
      <c r="C6" s="136" t="s">
        <v>480</v>
      </c>
      <c r="D6" s="136" t="s">
        <v>481</v>
      </c>
      <c r="E6" s="136" t="s">
        <v>482</v>
      </c>
      <c r="F6" s="136" t="s">
        <v>483</v>
      </c>
      <c r="G6" s="136" t="s">
        <v>25</v>
      </c>
    </row>
    <row r="7" spans="1:7" x14ac:dyDescent="0.25">
      <c r="A7" s="136"/>
      <c r="B7" s="136"/>
      <c r="C7" s="136"/>
      <c r="G7" s="142"/>
    </row>
    <row r="8" spans="1:7" ht="30" x14ac:dyDescent="0.25">
      <c r="A8" s="136" t="s">
        <v>131</v>
      </c>
      <c r="B8" s="136">
        <v>32</v>
      </c>
      <c r="C8" s="145">
        <v>8631</v>
      </c>
      <c r="D8" s="136">
        <v>1</v>
      </c>
      <c r="E8" s="145">
        <v>1938</v>
      </c>
      <c r="F8" s="136">
        <v>329</v>
      </c>
      <c r="G8" s="145">
        <v>10931</v>
      </c>
    </row>
    <row r="9" spans="1:7" x14ac:dyDescent="0.25">
      <c r="A9" s="136" t="s">
        <v>137</v>
      </c>
      <c r="B9" s="136">
        <v>0</v>
      </c>
      <c r="C9" s="136">
        <v>192</v>
      </c>
      <c r="D9">
        <v>0</v>
      </c>
      <c r="E9" s="136">
        <v>38</v>
      </c>
      <c r="F9" s="136">
        <v>4</v>
      </c>
      <c r="G9" s="136">
        <v>234</v>
      </c>
    </row>
    <row r="10" spans="1:7" x14ac:dyDescent="0.25">
      <c r="A10" s="136" t="s">
        <v>132</v>
      </c>
      <c r="B10" s="136">
        <v>2</v>
      </c>
      <c r="C10" s="136">
        <v>137</v>
      </c>
      <c r="D10">
        <v>0</v>
      </c>
      <c r="E10" s="136">
        <v>25</v>
      </c>
      <c r="F10" s="136">
        <v>3</v>
      </c>
      <c r="G10" s="136">
        <v>167</v>
      </c>
    </row>
    <row r="11" spans="1:7" x14ac:dyDescent="0.25">
      <c r="A11" s="136" t="s">
        <v>133</v>
      </c>
      <c r="B11" s="136">
        <v>6</v>
      </c>
      <c r="C11" s="136">
        <v>476</v>
      </c>
      <c r="D11" s="136">
        <v>1</v>
      </c>
      <c r="E11" s="136">
        <v>103</v>
      </c>
      <c r="F11" s="136">
        <v>14</v>
      </c>
      <c r="G11" s="136">
        <v>600</v>
      </c>
    </row>
    <row r="12" spans="1:7" x14ac:dyDescent="0.25">
      <c r="A12" s="136" t="s">
        <v>134</v>
      </c>
      <c r="B12" s="136">
        <v>90</v>
      </c>
      <c r="C12" s="145">
        <v>26648</v>
      </c>
      <c r="D12" s="136">
        <v>11</v>
      </c>
      <c r="E12" s="145">
        <v>6786</v>
      </c>
      <c r="F12" s="136">
        <v>678</v>
      </c>
      <c r="G12" s="145">
        <v>34213</v>
      </c>
    </row>
    <row r="13" spans="1:7" x14ac:dyDescent="0.25">
      <c r="A13" s="136" t="s">
        <v>135</v>
      </c>
      <c r="B13" s="136">
        <v>2</v>
      </c>
      <c r="C13" s="136">
        <v>876</v>
      </c>
      <c r="D13" s="166">
        <v>0</v>
      </c>
      <c r="E13" s="136">
        <v>200</v>
      </c>
      <c r="F13" s="136">
        <v>26</v>
      </c>
      <c r="G13" s="145">
        <v>1104</v>
      </c>
    </row>
    <row r="14" spans="1:7" ht="30" x14ac:dyDescent="0.25">
      <c r="A14" s="136" t="s">
        <v>136</v>
      </c>
      <c r="B14" s="136">
        <v>9</v>
      </c>
      <c r="C14" s="145">
        <v>1589</v>
      </c>
      <c r="D14" s="166">
        <v>0</v>
      </c>
      <c r="E14" s="136">
        <v>403</v>
      </c>
      <c r="F14" s="136">
        <v>50</v>
      </c>
      <c r="G14" s="145">
        <v>2051</v>
      </c>
    </row>
    <row r="15" spans="1:7" x14ac:dyDescent="0.25">
      <c r="A15" s="136" t="s">
        <v>25</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6"/>
      <c r="E16" s="146"/>
      <c r="F16" s="146"/>
      <c r="G16" s="143"/>
    </row>
    <row r="21" spans="1:8" ht="45" x14ac:dyDescent="0.25">
      <c r="A21" s="136" t="s">
        <v>138</v>
      </c>
      <c r="B21" s="153"/>
      <c r="C21" s="153"/>
      <c r="D21" s="153"/>
      <c r="E21" s="153"/>
      <c r="F21" s="154"/>
    </row>
    <row r="22" spans="1:8" x14ac:dyDescent="0.25">
      <c r="A22" s="136"/>
      <c r="B22" s="136"/>
      <c r="C22" s="136"/>
      <c r="F22" s="142"/>
    </row>
    <row r="23" spans="1:8" ht="30" x14ac:dyDescent="0.25">
      <c r="A23" s="136"/>
      <c r="B23" s="136" t="s">
        <v>500</v>
      </c>
      <c r="C23" s="136"/>
      <c r="F23" s="142"/>
    </row>
    <row r="24" spans="1:8" x14ac:dyDescent="0.25">
      <c r="A24" s="136" t="s">
        <v>126</v>
      </c>
      <c r="B24" s="136" t="s">
        <v>479</v>
      </c>
      <c r="C24" s="136" t="s">
        <v>480</v>
      </c>
      <c r="D24" s="136" t="s">
        <v>481</v>
      </c>
      <c r="E24" s="136" t="s">
        <v>482</v>
      </c>
      <c r="F24" s="136" t="s">
        <v>483</v>
      </c>
      <c r="G24" s="136" t="s">
        <v>25</v>
      </c>
    </row>
    <row r="25" spans="1:8" x14ac:dyDescent="0.25">
      <c r="A25" s="136"/>
      <c r="B25" s="136"/>
      <c r="C25" s="136"/>
      <c r="G25" s="142"/>
    </row>
    <row r="26" spans="1:8" ht="30" x14ac:dyDescent="0.25">
      <c r="A26" s="136" t="s">
        <v>139</v>
      </c>
      <c r="B26" s="136">
        <v>137</v>
      </c>
      <c r="C26" s="145">
        <v>41859</v>
      </c>
      <c r="D26" s="136">
        <v>18</v>
      </c>
      <c r="E26" s="145">
        <v>10946</v>
      </c>
      <c r="F26" s="145">
        <v>1282</v>
      </c>
      <c r="G26" s="145">
        <v>54242</v>
      </c>
    </row>
    <row r="27" spans="1:8" x14ac:dyDescent="0.25">
      <c r="A27" s="136" t="s">
        <v>140</v>
      </c>
      <c r="B27" s="136">
        <v>30</v>
      </c>
      <c r="C27" s="145">
        <v>14670</v>
      </c>
      <c r="D27" s="136">
        <v>8</v>
      </c>
      <c r="E27" s="145">
        <v>3983</v>
      </c>
      <c r="F27" s="136">
        <v>498</v>
      </c>
      <c r="G27" s="145">
        <v>19189</v>
      </c>
    </row>
    <row r="28" spans="1:8" ht="30" x14ac:dyDescent="0.25">
      <c r="A28" s="136" t="s">
        <v>141</v>
      </c>
      <c r="B28">
        <v>0</v>
      </c>
      <c r="C28" s="136">
        <v>414</v>
      </c>
      <c r="D28">
        <v>0</v>
      </c>
      <c r="E28" s="136">
        <v>130</v>
      </c>
      <c r="F28" s="136">
        <v>12</v>
      </c>
      <c r="G28" s="136">
        <v>556</v>
      </c>
    </row>
    <row r="29" spans="1:8" ht="30" x14ac:dyDescent="0.25">
      <c r="A29" s="136" t="s">
        <v>142</v>
      </c>
      <c r="B29" s="136">
        <v>3</v>
      </c>
      <c r="C29" s="145">
        <v>1165</v>
      </c>
      <c r="D29" s="136">
        <v>1</v>
      </c>
      <c r="E29" s="136">
        <v>377</v>
      </c>
      <c r="F29" s="136">
        <v>59</v>
      </c>
      <c r="G29" s="145">
        <v>1605</v>
      </c>
    </row>
    <row r="30" spans="1:8" x14ac:dyDescent="0.25">
      <c r="A30" s="136" t="s">
        <v>143</v>
      </c>
      <c r="B30" s="136">
        <v>0</v>
      </c>
      <c r="C30" s="136">
        <v>37</v>
      </c>
      <c r="D30" s="167">
        <v>0</v>
      </c>
      <c r="E30" s="136">
        <v>5</v>
      </c>
      <c r="F30" s="136">
        <v>1</v>
      </c>
      <c r="G30" s="136">
        <v>43</v>
      </c>
      <c r="H30" s="142"/>
    </row>
    <row r="31" spans="1:8" ht="45" x14ac:dyDescent="0.25">
      <c r="A31" s="136" t="s">
        <v>144</v>
      </c>
      <c r="B31" s="136">
        <v>1</v>
      </c>
      <c r="C31" s="136">
        <v>680</v>
      </c>
      <c r="D31" s="167">
        <v>0</v>
      </c>
      <c r="E31" s="136">
        <v>145</v>
      </c>
      <c r="F31" s="136">
        <v>25</v>
      </c>
      <c r="G31" s="136">
        <v>851</v>
      </c>
    </row>
    <row r="32" spans="1:8" ht="30" x14ac:dyDescent="0.25">
      <c r="A32" s="136" t="s">
        <v>145</v>
      </c>
      <c r="B32" s="166">
        <v>0</v>
      </c>
      <c r="C32" s="136">
        <v>98</v>
      </c>
      <c r="D32" s="167">
        <v>0</v>
      </c>
      <c r="E32" s="136">
        <v>29</v>
      </c>
      <c r="F32" s="136">
        <v>2</v>
      </c>
      <c r="G32" s="136">
        <v>129</v>
      </c>
    </row>
    <row r="33" spans="1:8" x14ac:dyDescent="0.25">
      <c r="A33" s="136" t="s">
        <v>146</v>
      </c>
      <c r="B33" s="136">
        <v>4</v>
      </c>
      <c r="C33" s="145">
        <v>1885</v>
      </c>
      <c r="D33" s="167">
        <v>0</v>
      </c>
      <c r="E33" s="136">
        <v>570</v>
      </c>
      <c r="F33" s="136">
        <v>63</v>
      </c>
      <c r="G33" s="145">
        <v>2522</v>
      </c>
    </row>
    <row r="34" spans="1:8" x14ac:dyDescent="0.25">
      <c r="A34" s="136" t="s">
        <v>147</v>
      </c>
      <c r="B34" s="136">
        <v>11</v>
      </c>
      <c r="C34" s="145">
        <v>4223</v>
      </c>
      <c r="D34" s="136">
        <v>7</v>
      </c>
      <c r="E34" s="145">
        <v>1046</v>
      </c>
      <c r="F34" s="136">
        <v>126</v>
      </c>
      <c r="G34" s="145">
        <v>5413</v>
      </c>
    </row>
    <row r="35" spans="1:8" x14ac:dyDescent="0.25">
      <c r="A35" s="136"/>
      <c r="G35" s="142"/>
    </row>
    <row r="36" spans="1:8" x14ac:dyDescent="0.25">
      <c r="A36" s="136" t="s">
        <v>25</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6"/>
      <c r="E37" s="146"/>
      <c r="F37" s="146"/>
      <c r="G37" s="143"/>
    </row>
    <row r="42" spans="1:8" ht="45" x14ac:dyDescent="0.25">
      <c r="A42" s="136" t="s">
        <v>501</v>
      </c>
      <c r="B42" s="136" t="s">
        <v>502</v>
      </c>
      <c r="C42" s="136">
        <v>3</v>
      </c>
      <c r="D42" s="153"/>
      <c r="E42" s="153"/>
      <c r="F42" s="153"/>
      <c r="G42" s="154"/>
    </row>
    <row r="43" spans="1:8" x14ac:dyDescent="0.25">
      <c r="A43" s="136"/>
      <c r="B43" s="136"/>
      <c r="C43" s="136"/>
      <c r="D43" s="136"/>
      <c r="G43" s="142"/>
    </row>
    <row r="44" spans="1:8" ht="30" x14ac:dyDescent="0.25">
      <c r="A44" s="136"/>
      <c r="B44" s="136"/>
      <c r="C44" s="136" t="s">
        <v>500</v>
      </c>
      <c r="D44" s="136"/>
      <c r="G44" s="142"/>
    </row>
    <row r="45" spans="1:8" x14ac:dyDescent="0.25">
      <c r="A45" s="136" t="s">
        <v>126</v>
      </c>
      <c r="B45" s="136"/>
      <c r="C45" s="136" t="s">
        <v>479</v>
      </c>
      <c r="D45" s="136" t="s">
        <v>480</v>
      </c>
      <c r="E45" s="136" t="s">
        <v>481</v>
      </c>
      <c r="F45" s="136" t="s">
        <v>482</v>
      </c>
      <c r="G45" s="136" t="s">
        <v>483</v>
      </c>
      <c r="H45" s="136" t="s">
        <v>25</v>
      </c>
    </row>
    <row r="46" spans="1:8" x14ac:dyDescent="0.25">
      <c r="A46" s="136"/>
      <c r="B46" s="136"/>
      <c r="C46" s="136"/>
      <c r="D46" s="136"/>
      <c r="H46" s="142"/>
    </row>
    <row r="47" spans="1:8" ht="30" x14ac:dyDescent="0.25">
      <c r="A47" s="136" t="s">
        <v>148</v>
      </c>
      <c r="B47" s="136"/>
      <c r="C47" s="136">
        <v>1</v>
      </c>
      <c r="D47" s="136">
        <v>962</v>
      </c>
      <c r="E47" s="136">
        <v>0</v>
      </c>
      <c r="F47" s="136">
        <v>159</v>
      </c>
      <c r="G47" s="136">
        <v>31</v>
      </c>
      <c r="H47" s="145">
        <v>1153</v>
      </c>
    </row>
    <row r="48" spans="1:8" x14ac:dyDescent="0.25">
      <c r="A48" s="136" t="s">
        <v>149</v>
      </c>
      <c r="B48" s="136"/>
      <c r="C48" s="136">
        <v>9</v>
      </c>
      <c r="D48" s="145">
        <v>2524</v>
      </c>
      <c r="E48" s="136">
        <v>1</v>
      </c>
      <c r="F48" s="136">
        <v>499</v>
      </c>
      <c r="G48" s="136">
        <v>92</v>
      </c>
      <c r="H48" s="145">
        <v>3125</v>
      </c>
    </row>
    <row r="49" spans="1:8" x14ac:dyDescent="0.25">
      <c r="A49" s="136" t="s">
        <v>490</v>
      </c>
      <c r="B49" s="136"/>
      <c r="C49" s="136">
        <v>5</v>
      </c>
      <c r="D49" s="145">
        <v>2246</v>
      </c>
      <c r="E49" s="136">
        <v>3</v>
      </c>
      <c r="F49" s="136">
        <v>497</v>
      </c>
      <c r="G49" s="136">
        <v>44</v>
      </c>
      <c r="H49" s="145">
        <v>2795</v>
      </c>
    </row>
    <row r="50" spans="1:8" x14ac:dyDescent="0.25">
      <c r="A50" s="136" t="s">
        <v>150</v>
      </c>
      <c r="B50" s="136"/>
      <c r="C50" s="136">
        <v>67</v>
      </c>
      <c r="D50" s="145">
        <v>20329</v>
      </c>
      <c r="E50" s="136">
        <v>7</v>
      </c>
      <c r="F50" s="145">
        <v>4285</v>
      </c>
      <c r="G50" s="136">
        <v>511</v>
      </c>
      <c r="H50" s="145">
        <v>25199</v>
      </c>
    </row>
    <row r="51" spans="1:8" ht="30" x14ac:dyDescent="0.25">
      <c r="A51" s="136" t="s">
        <v>151</v>
      </c>
      <c r="B51" s="136"/>
      <c r="C51" s="136">
        <v>6</v>
      </c>
      <c r="D51" s="145">
        <v>1399</v>
      </c>
      <c r="E51" s="136">
        <v>1</v>
      </c>
      <c r="F51" s="136">
        <v>380</v>
      </c>
      <c r="G51" s="136">
        <v>25</v>
      </c>
      <c r="H51" s="145">
        <v>1811</v>
      </c>
    </row>
    <row r="52" spans="1:8" x14ac:dyDescent="0.25">
      <c r="A52" s="136" t="s">
        <v>152</v>
      </c>
      <c r="B52" s="136"/>
      <c r="C52" s="136">
        <v>4</v>
      </c>
      <c r="D52" s="145">
        <v>1169</v>
      </c>
      <c r="E52" s="166">
        <v>0</v>
      </c>
      <c r="F52" s="136">
        <v>197</v>
      </c>
      <c r="G52" s="136">
        <v>13</v>
      </c>
      <c r="H52" s="145">
        <v>1383</v>
      </c>
    </row>
    <row r="53" spans="1:8" x14ac:dyDescent="0.25">
      <c r="A53" s="136" t="s">
        <v>153</v>
      </c>
      <c r="B53" s="136"/>
      <c r="C53" s="136">
        <v>2</v>
      </c>
      <c r="D53" s="145">
        <v>1687</v>
      </c>
      <c r="E53" s="136">
        <v>1</v>
      </c>
      <c r="F53" s="136">
        <v>361</v>
      </c>
      <c r="G53" s="136">
        <v>43</v>
      </c>
      <c r="H53" s="145">
        <v>2094</v>
      </c>
    </row>
    <row r="54" spans="1:8" ht="30" x14ac:dyDescent="0.25">
      <c r="A54" s="136" t="s">
        <v>154</v>
      </c>
      <c r="B54" s="136"/>
      <c r="C54" s="136">
        <v>4</v>
      </c>
      <c r="D54" s="145">
        <v>1565</v>
      </c>
      <c r="E54" s="136">
        <v>1</v>
      </c>
      <c r="F54" s="136">
        <v>299</v>
      </c>
      <c r="G54" s="136">
        <v>40</v>
      </c>
      <c r="H54" s="145">
        <v>1909</v>
      </c>
    </row>
    <row r="55" spans="1:8" x14ac:dyDescent="0.25">
      <c r="A55" s="136" t="s">
        <v>155</v>
      </c>
      <c r="B55" s="136"/>
      <c r="C55" s="136">
        <v>34</v>
      </c>
      <c r="D55" s="145">
        <v>9905</v>
      </c>
      <c r="E55" s="136">
        <v>3</v>
      </c>
      <c r="F55" s="145">
        <v>1871</v>
      </c>
      <c r="G55" s="136">
        <v>198</v>
      </c>
      <c r="H55" s="145">
        <v>12011</v>
      </c>
    </row>
    <row r="56" spans="1:8" x14ac:dyDescent="0.25">
      <c r="A56" s="136"/>
      <c r="H56" s="142"/>
    </row>
    <row r="57" spans="1:8" x14ac:dyDescent="0.25">
      <c r="A57" s="136" t="s">
        <v>25</v>
      </c>
      <c r="B57" s="136"/>
      <c r="C57" s="136">
        <v>132</v>
      </c>
      <c r="D57" s="145">
        <v>41786</v>
      </c>
      <c r="E57" s="136">
        <v>17</v>
      </c>
      <c r="F57" s="145">
        <v>8548</v>
      </c>
      <c r="G57" s="136">
        <v>997</v>
      </c>
      <c r="H57" s="145">
        <v>51480</v>
      </c>
    </row>
    <row r="58" spans="1:8" x14ac:dyDescent="0.25">
      <c r="A58" s="136"/>
      <c r="B58" s="136"/>
      <c r="C58" s="136"/>
      <c r="D58" s="136"/>
      <c r="E58" s="146"/>
      <c r="F58" s="146"/>
      <c r="G58" s="146"/>
      <c r="H58" s="143"/>
    </row>
    <row r="63" spans="1:8" ht="45" x14ac:dyDescent="0.25">
      <c r="A63" s="136" t="s">
        <v>501</v>
      </c>
      <c r="B63" s="136" t="s">
        <v>502</v>
      </c>
      <c r="C63" s="136">
        <v>4</v>
      </c>
      <c r="D63" s="153"/>
      <c r="E63" s="153"/>
      <c r="F63" s="154"/>
    </row>
    <row r="64" spans="1:8" x14ac:dyDescent="0.25">
      <c r="A64" s="136"/>
      <c r="B64" s="136"/>
      <c r="C64" s="136"/>
      <c r="D64" s="136"/>
      <c r="F64" s="142"/>
    </row>
    <row r="65" spans="1:7" ht="30" x14ac:dyDescent="0.25">
      <c r="A65" s="136"/>
      <c r="B65" s="136"/>
      <c r="C65" s="136" t="s">
        <v>500</v>
      </c>
      <c r="D65" s="136"/>
      <c r="F65" s="142"/>
    </row>
    <row r="66" spans="1:7" x14ac:dyDescent="0.25">
      <c r="A66" s="136" t="s">
        <v>126</v>
      </c>
      <c r="B66" s="136" t="s">
        <v>479</v>
      </c>
      <c r="C66" s="136" t="s">
        <v>480</v>
      </c>
      <c r="D66" s="136" t="s">
        <v>481</v>
      </c>
      <c r="E66" s="136" t="s">
        <v>482</v>
      </c>
      <c r="F66" s="136" t="s">
        <v>483</v>
      </c>
      <c r="G66" s="136" t="s">
        <v>25</v>
      </c>
    </row>
    <row r="67" spans="1:7" x14ac:dyDescent="0.25">
      <c r="A67" s="136"/>
      <c r="B67" s="136"/>
      <c r="C67" s="136"/>
      <c r="G67" s="142"/>
    </row>
    <row r="68" spans="1:7" ht="30" x14ac:dyDescent="0.25">
      <c r="A68" s="136" t="s">
        <v>156</v>
      </c>
      <c r="B68" s="136">
        <v>13</v>
      </c>
      <c r="C68" s="145">
        <v>2131</v>
      </c>
      <c r="D68" s="136">
        <v>1</v>
      </c>
      <c r="E68" s="136">
        <v>347</v>
      </c>
      <c r="F68" s="136">
        <v>52</v>
      </c>
      <c r="G68" s="145">
        <v>2544</v>
      </c>
    </row>
    <row r="69" spans="1:7" x14ac:dyDescent="0.25">
      <c r="A69" s="136" t="s">
        <v>157</v>
      </c>
      <c r="B69" s="136">
        <v>2</v>
      </c>
      <c r="C69" s="145">
        <v>1814</v>
      </c>
      <c r="D69">
        <v>0</v>
      </c>
      <c r="E69" s="136">
        <v>241</v>
      </c>
      <c r="F69" s="136">
        <v>31</v>
      </c>
      <c r="G69" s="145">
        <v>2088</v>
      </c>
    </row>
    <row r="70" spans="1:7" ht="30" x14ac:dyDescent="0.25">
      <c r="A70" s="136" t="s">
        <v>158</v>
      </c>
      <c r="B70" s="136">
        <v>3</v>
      </c>
      <c r="C70" s="145">
        <v>3132</v>
      </c>
      <c r="D70" s="136">
        <v>4</v>
      </c>
      <c r="E70" s="136">
        <v>459</v>
      </c>
      <c r="F70" s="136">
        <v>47</v>
      </c>
      <c r="G70" s="145">
        <v>3645</v>
      </c>
    </row>
    <row r="71" spans="1:7" x14ac:dyDescent="0.25">
      <c r="A71" s="136" t="s">
        <v>159</v>
      </c>
      <c r="B71" s="136">
        <v>86</v>
      </c>
      <c r="C71" s="145">
        <v>35562</v>
      </c>
      <c r="D71" s="136">
        <v>30</v>
      </c>
      <c r="E71" s="145">
        <v>7197</v>
      </c>
      <c r="F71" s="136">
        <v>906</v>
      </c>
      <c r="G71" s="145">
        <v>43781</v>
      </c>
    </row>
    <row r="72" spans="1:7" x14ac:dyDescent="0.25">
      <c r="A72" s="136" t="s">
        <v>160</v>
      </c>
      <c r="B72" s="136">
        <v>15</v>
      </c>
      <c r="C72" s="145">
        <v>6324</v>
      </c>
      <c r="D72" s="136">
        <v>3</v>
      </c>
      <c r="E72" s="145">
        <v>1147</v>
      </c>
      <c r="F72" s="136">
        <v>126</v>
      </c>
      <c r="G72" s="145">
        <v>7615</v>
      </c>
    </row>
    <row r="73" spans="1:7" x14ac:dyDescent="0.25">
      <c r="A73" s="136" t="s">
        <v>161</v>
      </c>
      <c r="B73" s="136">
        <v>3</v>
      </c>
      <c r="C73" s="136">
        <v>731</v>
      </c>
      <c r="D73" s="136">
        <v>1</v>
      </c>
      <c r="E73" s="136">
        <v>102</v>
      </c>
      <c r="F73" s="136">
        <v>20</v>
      </c>
      <c r="G73" s="136">
        <v>857</v>
      </c>
    </row>
    <row r="74" spans="1:7" x14ac:dyDescent="0.25">
      <c r="A74" s="136" t="s">
        <v>162</v>
      </c>
      <c r="B74" s="136">
        <v>89</v>
      </c>
      <c r="C74" s="145">
        <v>32734</v>
      </c>
      <c r="D74" s="136">
        <v>44</v>
      </c>
      <c r="E74" s="145">
        <v>7692</v>
      </c>
      <c r="F74" s="136">
        <v>869</v>
      </c>
      <c r="G74" s="145">
        <v>41428</v>
      </c>
    </row>
    <row r="75" spans="1:7" x14ac:dyDescent="0.25">
      <c r="A75" s="136" t="s">
        <v>163</v>
      </c>
      <c r="B75" s="136">
        <v>3</v>
      </c>
      <c r="C75" s="145">
        <v>3849</v>
      </c>
      <c r="D75" s="136">
        <v>3</v>
      </c>
      <c r="E75" s="136">
        <v>606</v>
      </c>
      <c r="F75" s="136">
        <v>88</v>
      </c>
      <c r="G75" s="145">
        <v>4549</v>
      </c>
    </row>
    <row r="76" spans="1:7" ht="30" x14ac:dyDescent="0.25">
      <c r="A76" s="136" t="s">
        <v>164</v>
      </c>
      <c r="B76" s="136">
        <v>11</v>
      </c>
      <c r="C76" s="145">
        <v>5111</v>
      </c>
      <c r="D76" s="136">
        <v>5</v>
      </c>
      <c r="E76" s="136">
        <v>715</v>
      </c>
      <c r="F76" s="136">
        <v>107</v>
      </c>
      <c r="G76" s="145">
        <v>5949</v>
      </c>
    </row>
    <row r="77" spans="1:7" x14ac:dyDescent="0.25">
      <c r="A77" s="136" t="s">
        <v>165</v>
      </c>
      <c r="B77" s="136">
        <v>39</v>
      </c>
      <c r="C77" s="145">
        <v>19496</v>
      </c>
      <c r="D77" s="136">
        <v>8</v>
      </c>
      <c r="E77" s="145">
        <v>3011</v>
      </c>
      <c r="F77" s="136">
        <v>420</v>
      </c>
      <c r="G77" s="145">
        <v>22974</v>
      </c>
    </row>
    <row r="78" spans="1:7" x14ac:dyDescent="0.25">
      <c r="A78" s="136" t="s">
        <v>166</v>
      </c>
      <c r="B78" s="136">
        <v>2</v>
      </c>
      <c r="C78" s="136">
        <v>837</v>
      </c>
      <c r="D78" s="136">
        <v>1</v>
      </c>
      <c r="E78" s="136">
        <v>126</v>
      </c>
      <c r="F78" s="136">
        <v>24</v>
      </c>
      <c r="G78" s="136">
        <v>990</v>
      </c>
    </row>
    <row r="79" spans="1:7" x14ac:dyDescent="0.25">
      <c r="A79" s="136" t="s">
        <v>167</v>
      </c>
      <c r="B79" s="136">
        <v>7</v>
      </c>
      <c r="C79" s="145">
        <v>2024</v>
      </c>
      <c r="D79" s="136">
        <v>1</v>
      </c>
      <c r="E79" s="136">
        <v>473</v>
      </c>
      <c r="F79" s="136">
        <v>56</v>
      </c>
      <c r="G79" s="145">
        <v>2561</v>
      </c>
    </row>
    <row r="80" spans="1:7" ht="30" x14ac:dyDescent="0.25">
      <c r="A80" s="136" t="s">
        <v>168</v>
      </c>
      <c r="B80" s="136"/>
      <c r="C80" s="136">
        <v>927</v>
      </c>
      <c r="D80" s="166">
        <v>0</v>
      </c>
      <c r="E80" s="136">
        <v>84</v>
      </c>
      <c r="F80" s="136">
        <v>10</v>
      </c>
      <c r="G80" s="145">
        <v>1021</v>
      </c>
    </row>
    <row r="81" spans="1:8" ht="30" x14ac:dyDescent="0.25">
      <c r="A81" s="136" t="s">
        <v>169</v>
      </c>
      <c r="B81" s="136">
        <v>10</v>
      </c>
      <c r="C81" s="145">
        <v>5212</v>
      </c>
      <c r="D81" s="136">
        <v>7</v>
      </c>
      <c r="E81" s="136">
        <v>858</v>
      </c>
      <c r="F81" s="136">
        <v>98</v>
      </c>
      <c r="G81" s="145">
        <v>6185</v>
      </c>
    </row>
    <row r="82" spans="1:8" x14ac:dyDescent="0.25">
      <c r="A82" s="136" t="s">
        <v>491</v>
      </c>
      <c r="B82" s="136">
        <v>16</v>
      </c>
      <c r="C82" s="145">
        <v>4735</v>
      </c>
      <c r="D82" s="136">
        <v>13</v>
      </c>
      <c r="E82" s="136">
        <v>764</v>
      </c>
      <c r="F82" s="136">
        <v>120</v>
      </c>
      <c r="G82" s="145">
        <v>5648</v>
      </c>
    </row>
    <row r="83" spans="1:8" x14ac:dyDescent="0.25">
      <c r="A83" s="136" t="s">
        <v>25</v>
      </c>
      <c r="B83" s="136">
        <v>299</v>
      </c>
      <c r="C83" s="145">
        <v>124619</v>
      </c>
      <c r="D83" s="136">
        <v>121</v>
      </c>
      <c r="E83" s="145">
        <v>23822</v>
      </c>
      <c r="F83" s="145">
        <v>2974</v>
      </c>
      <c r="G83" s="145">
        <v>151835</v>
      </c>
    </row>
    <row r="84" spans="1:8" x14ac:dyDescent="0.25">
      <c r="A84" s="136"/>
      <c r="B84" s="136"/>
      <c r="C84" s="136"/>
      <c r="F84" s="142"/>
    </row>
    <row r="85" spans="1:8" x14ac:dyDescent="0.25">
      <c r="A85" s="136"/>
      <c r="B85" s="146"/>
      <c r="C85" s="146"/>
      <c r="D85" s="146"/>
      <c r="E85" s="146"/>
      <c r="F85" s="143"/>
    </row>
    <row r="91" spans="1:8" ht="45" x14ac:dyDescent="0.25">
      <c r="A91" s="136" t="s">
        <v>501</v>
      </c>
      <c r="B91" s="136" t="s">
        <v>502</v>
      </c>
      <c r="C91" s="136">
        <v>5</v>
      </c>
      <c r="D91" s="153"/>
      <c r="E91" s="153"/>
      <c r="F91" s="153"/>
      <c r="G91" s="154"/>
    </row>
    <row r="92" spans="1:8" x14ac:dyDescent="0.25">
      <c r="A92" s="136"/>
      <c r="B92" s="136"/>
      <c r="C92" s="136"/>
      <c r="D92" s="136"/>
      <c r="G92" s="142"/>
    </row>
    <row r="93" spans="1:8" ht="30" x14ac:dyDescent="0.25">
      <c r="A93" s="136"/>
      <c r="B93" s="136"/>
      <c r="C93" s="136" t="s">
        <v>500</v>
      </c>
      <c r="D93" s="136"/>
      <c r="G93" s="142"/>
    </row>
    <row r="94" spans="1:8" x14ac:dyDescent="0.25">
      <c r="A94" s="136" t="s">
        <v>126</v>
      </c>
      <c r="B94" s="136"/>
      <c r="C94" s="136" t="s">
        <v>479</v>
      </c>
      <c r="D94" s="136" t="s">
        <v>480</v>
      </c>
      <c r="E94" s="136" t="s">
        <v>481</v>
      </c>
      <c r="F94" s="136" t="s">
        <v>482</v>
      </c>
      <c r="G94" s="136" t="s">
        <v>483</v>
      </c>
      <c r="H94" s="136" t="s">
        <v>25</v>
      </c>
    </row>
    <row r="95" spans="1:8" x14ac:dyDescent="0.25">
      <c r="A95" s="136"/>
      <c r="B95" s="136"/>
      <c r="C95" s="136"/>
      <c r="D95" s="136"/>
      <c r="H95" s="142"/>
    </row>
    <row r="96" spans="1:8" ht="30" x14ac:dyDescent="0.25">
      <c r="A96" s="136" t="s">
        <v>170</v>
      </c>
      <c r="B96" s="136"/>
      <c r="C96" s="136">
        <v>8</v>
      </c>
      <c r="D96" s="145">
        <v>2930</v>
      </c>
      <c r="E96" s="136">
        <v>1</v>
      </c>
      <c r="F96" s="136">
        <v>718</v>
      </c>
      <c r="G96" s="136">
        <v>100</v>
      </c>
      <c r="H96" s="145">
        <v>3757</v>
      </c>
    </row>
    <row r="97" spans="1:8" x14ac:dyDescent="0.25">
      <c r="A97" s="136" t="s">
        <v>171</v>
      </c>
      <c r="B97" s="136"/>
      <c r="C97" s="136">
        <v>13</v>
      </c>
      <c r="D97" s="145">
        <v>3901</v>
      </c>
      <c r="E97" s="136">
        <v>1</v>
      </c>
      <c r="F97" s="136">
        <v>979</v>
      </c>
      <c r="G97" s="136">
        <v>85</v>
      </c>
      <c r="H97" s="145">
        <v>4979</v>
      </c>
    </row>
    <row r="98" spans="1:8" ht="30" x14ac:dyDescent="0.25">
      <c r="A98" s="136" t="s">
        <v>172</v>
      </c>
      <c r="B98" s="136"/>
      <c r="C98" s="136">
        <v>5</v>
      </c>
      <c r="D98" s="145">
        <v>2004</v>
      </c>
      <c r="E98" s="136">
        <v>2</v>
      </c>
      <c r="F98" s="136">
        <v>378</v>
      </c>
      <c r="G98" s="136">
        <v>42</v>
      </c>
      <c r="H98" s="145">
        <v>2431</v>
      </c>
    </row>
    <row r="99" spans="1:8" ht="30" x14ac:dyDescent="0.25">
      <c r="A99" s="136" t="s">
        <v>173</v>
      </c>
      <c r="B99" s="136"/>
      <c r="C99" s="136">
        <v>13</v>
      </c>
      <c r="D99" s="145">
        <v>5034</v>
      </c>
      <c r="E99" s="136">
        <v>1</v>
      </c>
      <c r="F99" s="136">
        <v>862</v>
      </c>
      <c r="G99" s="136">
        <v>124</v>
      </c>
      <c r="H99" s="145">
        <v>6034</v>
      </c>
    </row>
    <row r="100" spans="1:8" ht="30" x14ac:dyDescent="0.25">
      <c r="A100" s="136" t="s">
        <v>174</v>
      </c>
      <c r="B100" s="136"/>
      <c r="C100" s="136">
        <v>13</v>
      </c>
      <c r="D100" s="145">
        <v>4521</v>
      </c>
      <c r="E100" s="136">
        <v>5</v>
      </c>
      <c r="F100" s="136">
        <v>897</v>
      </c>
      <c r="G100" s="136">
        <v>92</v>
      </c>
      <c r="H100" s="145">
        <v>5528</v>
      </c>
    </row>
    <row r="101" spans="1:8" x14ac:dyDescent="0.25">
      <c r="A101" s="136" t="s">
        <v>175</v>
      </c>
      <c r="B101" s="136"/>
      <c r="C101" s="136">
        <v>3</v>
      </c>
      <c r="D101" s="145">
        <v>2676</v>
      </c>
      <c r="E101" s="136">
        <v>1</v>
      </c>
      <c r="F101" s="136">
        <v>468</v>
      </c>
      <c r="G101" s="136">
        <v>49</v>
      </c>
      <c r="H101" s="145">
        <v>3197</v>
      </c>
    </row>
    <row r="102" spans="1:8" x14ac:dyDescent="0.25">
      <c r="A102" s="136" t="s">
        <v>176</v>
      </c>
      <c r="B102" s="136"/>
      <c r="C102" s="136">
        <v>17</v>
      </c>
      <c r="D102" s="145">
        <v>5887</v>
      </c>
      <c r="E102" s="136">
        <v>2</v>
      </c>
      <c r="F102" s="145">
        <v>1489</v>
      </c>
      <c r="G102" s="136">
        <v>172</v>
      </c>
      <c r="H102" s="145">
        <v>7567</v>
      </c>
    </row>
    <row r="103" spans="1:8" x14ac:dyDescent="0.25">
      <c r="A103" s="136" t="s">
        <v>177</v>
      </c>
      <c r="B103" s="136"/>
      <c r="C103" s="136">
        <v>6</v>
      </c>
      <c r="D103" s="145">
        <v>3878</v>
      </c>
      <c r="E103" s="136">
        <v>1</v>
      </c>
      <c r="F103" s="136">
        <v>920</v>
      </c>
      <c r="G103" s="136">
        <v>99</v>
      </c>
      <c r="H103" s="145">
        <v>4904</v>
      </c>
    </row>
    <row r="104" spans="1:8" x14ac:dyDescent="0.25">
      <c r="A104" s="136" t="s">
        <v>178</v>
      </c>
      <c r="B104" s="136"/>
      <c r="C104" s="136">
        <v>4</v>
      </c>
      <c r="D104" s="145">
        <v>3390</v>
      </c>
      <c r="E104" s="136">
        <v>4</v>
      </c>
      <c r="F104" s="136">
        <v>696</v>
      </c>
      <c r="G104" s="136">
        <v>92</v>
      </c>
      <c r="H104" s="145">
        <v>4186</v>
      </c>
    </row>
    <row r="105" spans="1:8" x14ac:dyDescent="0.25">
      <c r="A105" s="136" t="s">
        <v>179</v>
      </c>
      <c r="B105" s="136"/>
      <c r="C105" s="136">
        <v>6</v>
      </c>
      <c r="D105" s="145">
        <v>3345</v>
      </c>
      <c r="E105" s="136">
        <v>2</v>
      </c>
      <c r="F105" s="136">
        <v>650</v>
      </c>
      <c r="G105" s="136">
        <v>70</v>
      </c>
      <c r="H105" s="145">
        <v>4073</v>
      </c>
    </row>
    <row r="106" spans="1:8" ht="30" x14ac:dyDescent="0.25">
      <c r="A106" s="136" t="s">
        <v>180</v>
      </c>
      <c r="B106" s="136"/>
      <c r="C106" s="136">
        <v>4</v>
      </c>
      <c r="D106" s="136">
        <v>668</v>
      </c>
      <c r="E106" s="166">
        <v>0</v>
      </c>
      <c r="F106" s="136">
        <v>107</v>
      </c>
      <c r="G106" s="136">
        <v>21</v>
      </c>
      <c r="H106" s="136">
        <v>800</v>
      </c>
    </row>
    <row r="107" spans="1:8" ht="45" x14ac:dyDescent="0.25">
      <c r="A107" s="136" t="s">
        <v>181</v>
      </c>
      <c r="B107" s="136"/>
      <c r="C107" s="166">
        <v>0</v>
      </c>
      <c r="D107" s="136">
        <v>141</v>
      </c>
      <c r="E107" s="166">
        <v>0</v>
      </c>
      <c r="F107" s="136">
        <v>18</v>
      </c>
      <c r="G107" s="136">
        <v>1</v>
      </c>
      <c r="H107" s="136">
        <v>160</v>
      </c>
    </row>
    <row r="108" spans="1:8" x14ac:dyDescent="0.25">
      <c r="A108" s="136" t="s">
        <v>182</v>
      </c>
      <c r="B108" s="136"/>
      <c r="C108" s="136">
        <v>22</v>
      </c>
      <c r="D108" s="145">
        <v>10654</v>
      </c>
      <c r="E108" s="136">
        <v>6</v>
      </c>
      <c r="F108" s="145">
        <v>1904</v>
      </c>
      <c r="G108" s="136">
        <v>204</v>
      </c>
      <c r="H108" s="145">
        <v>12790</v>
      </c>
    </row>
    <row r="109" spans="1:8" x14ac:dyDescent="0.25">
      <c r="A109" s="136" t="s">
        <v>183</v>
      </c>
      <c r="B109" s="136"/>
      <c r="C109" s="136">
        <v>10</v>
      </c>
      <c r="D109" s="145">
        <v>2659</v>
      </c>
      <c r="E109" s="136">
        <v>1</v>
      </c>
      <c r="F109" s="136">
        <v>513</v>
      </c>
      <c r="G109" s="136">
        <v>64</v>
      </c>
      <c r="H109" s="145">
        <v>3247</v>
      </c>
    </row>
    <row r="110" spans="1:8" x14ac:dyDescent="0.25">
      <c r="A110" s="136" t="s">
        <v>184</v>
      </c>
      <c r="B110" s="136"/>
      <c r="C110" s="136">
        <v>25</v>
      </c>
      <c r="D110" s="145">
        <v>7222</v>
      </c>
      <c r="E110" s="136">
        <v>5</v>
      </c>
      <c r="F110" s="145">
        <v>1401</v>
      </c>
      <c r="G110" s="136">
        <v>150</v>
      </c>
      <c r="H110" s="145">
        <v>8803</v>
      </c>
    </row>
    <row r="111" spans="1:8" x14ac:dyDescent="0.25">
      <c r="A111" s="136" t="s">
        <v>185</v>
      </c>
      <c r="B111" s="136"/>
      <c r="C111" s="136">
        <v>29</v>
      </c>
      <c r="D111" s="145">
        <v>8916</v>
      </c>
      <c r="E111" s="136">
        <v>4</v>
      </c>
      <c r="F111" s="145">
        <v>1518</v>
      </c>
      <c r="G111" s="136">
        <v>205</v>
      </c>
      <c r="H111" s="145">
        <v>10672</v>
      </c>
    </row>
    <row r="112" spans="1:8" x14ac:dyDescent="0.25">
      <c r="A112" s="136" t="s">
        <v>186</v>
      </c>
      <c r="B112" s="136"/>
      <c r="C112" s="136">
        <v>13</v>
      </c>
      <c r="D112" s="145">
        <v>4744</v>
      </c>
      <c r="E112" s="136">
        <v>3</v>
      </c>
      <c r="F112" s="136">
        <v>832</v>
      </c>
      <c r="G112" s="136">
        <v>95</v>
      </c>
      <c r="H112" s="145">
        <v>5687</v>
      </c>
    </row>
    <row r="113" spans="1:9" x14ac:dyDescent="0.25">
      <c r="A113" s="136" t="s">
        <v>187</v>
      </c>
      <c r="B113" s="136"/>
      <c r="C113" s="136">
        <v>35</v>
      </c>
      <c r="D113" s="145">
        <v>11557</v>
      </c>
      <c r="E113" s="136">
        <v>11</v>
      </c>
      <c r="F113" s="145">
        <v>2786</v>
      </c>
      <c r="G113" s="136">
        <v>217</v>
      </c>
      <c r="H113" s="145">
        <v>14606</v>
      </c>
    </row>
    <row r="114" spans="1:9" x14ac:dyDescent="0.25">
      <c r="A114" s="136" t="s">
        <v>188</v>
      </c>
      <c r="B114" s="136"/>
      <c r="C114" s="136">
        <v>17</v>
      </c>
      <c r="D114" s="145">
        <v>4300</v>
      </c>
      <c r="E114" s="136">
        <v>1</v>
      </c>
      <c r="F114" s="145">
        <v>1016</v>
      </c>
      <c r="G114" s="136">
        <v>110</v>
      </c>
      <c r="H114" s="145">
        <v>5444</v>
      </c>
    </row>
    <row r="115" spans="1:9" x14ac:dyDescent="0.25">
      <c r="A115" s="136" t="s">
        <v>189</v>
      </c>
      <c r="B115" s="136"/>
      <c r="C115" s="136">
        <v>6</v>
      </c>
      <c r="D115" s="145">
        <v>3399</v>
      </c>
      <c r="E115" s="136">
        <v>1</v>
      </c>
      <c r="F115" s="136">
        <v>626</v>
      </c>
      <c r="G115" s="136">
        <v>97</v>
      </c>
      <c r="H115" s="145">
        <v>4129</v>
      </c>
    </row>
    <row r="116" spans="1:9" ht="30" x14ac:dyDescent="0.25">
      <c r="A116" s="136" t="s">
        <v>190</v>
      </c>
      <c r="B116" s="136"/>
      <c r="C116" s="166">
        <v>0</v>
      </c>
      <c r="D116" s="145">
        <v>1253</v>
      </c>
      <c r="E116" s="136">
        <v>1</v>
      </c>
      <c r="F116" s="168">
        <v>269</v>
      </c>
      <c r="G116" s="136">
        <v>27</v>
      </c>
      <c r="H116" s="145">
        <v>1550</v>
      </c>
    </row>
    <row r="117" spans="1:9" x14ac:dyDescent="0.25">
      <c r="A117" s="136" t="s">
        <v>191</v>
      </c>
      <c r="B117" s="136"/>
      <c r="C117" s="136">
        <v>0</v>
      </c>
      <c r="D117" s="145">
        <v>1068</v>
      </c>
      <c r="E117" s="166">
        <v>0</v>
      </c>
      <c r="F117" s="136">
        <v>194</v>
      </c>
      <c r="G117" s="136">
        <v>37</v>
      </c>
      <c r="H117" s="145">
        <v>1299</v>
      </c>
      <c r="I117" s="142"/>
    </row>
    <row r="118" spans="1:9" x14ac:dyDescent="0.25">
      <c r="A118" s="136" t="s">
        <v>192</v>
      </c>
      <c r="B118" s="136"/>
      <c r="C118" s="136">
        <v>4</v>
      </c>
      <c r="D118" s="145">
        <v>1890</v>
      </c>
      <c r="E118" s="166">
        <v>0</v>
      </c>
      <c r="F118" s="136">
        <v>422</v>
      </c>
      <c r="G118" s="136">
        <v>43</v>
      </c>
      <c r="H118" s="145">
        <v>2359</v>
      </c>
    </row>
    <row r="119" spans="1:9" ht="30" x14ac:dyDescent="0.25">
      <c r="A119" s="136" t="s">
        <v>193</v>
      </c>
      <c r="B119" s="136"/>
      <c r="C119" s="136">
        <v>13</v>
      </c>
      <c r="D119" s="145">
        <v>3568</v>
      </c>
      <c r="E119" s="166">
        <v>0</v>
      </c>
      <c r="F119" s="136">
        <v>837</v>
      </c>
      <c r="G119" s="136">
        <v>91</v>
      </c>
      <c r="H119" s="145">
        <v>4509</v>
      </c>
    </row>
    <row r="120" spans="1:9" x14ac:dyDescent="0.25">
      <c r="A120" s="136" t="s">
        <v>194</v>
      </c>
      <c r="B120" s="136"/>
      <c r="C120" s="136">
        <v>5</v>
      </c>
      <c r="D120" s="145">
        <v>3328</v>
      </c>
      <c r="E120" s="136">
        <v>2</v>
      </c>
      <c r="F120" s="136">
        <v>613</v>
      </c>
      <c r="G120" s="136">
        <v>83</v>
      </c>
      <c r="H120" s="145">
        <v>4031</v>
      </c>
    </row>
    <row r="121" spans="1:9" x14ac:dyDescent="0.25">
      <c r="A121" s="136" t="s">
        <v>195</v>
      </c>
      <c r="B121" s="136"/>
      <c r="C121" s="136">
        <v>54</v>
      </c>
      <c r="D121" s="145">
        <v>17131</v>
      </c>
      <c r="E121" s="136">
        <v>8</v>
      </c>
      <c r="F121" s="145">
        <v>3182</v>
      </c>
      <c r="G121" s="136">
        <v>342</v>
      </c>
      <c r="H121" s="145">
        <v>20717</v>
      </c>
    </row>
    <row r="122" spans="1:9" x14ac:dyDescent="0.25">
      <c r="A122" s="136" t="s">
        <v>196</v>
      </c>
      <c r="B122" s="136"/>
      <c r="C122" s="136">
        <v>73</v>
      </c>
      <c r="D122" s="145">
        <v>27789</v>
      </c>
      <c r="E122" s="136">
        <v>41</v>
      </c>
      <c r="F122" s="145">
        <v>5264</v>
      </c>
      <c r="G122" s="136">
        <v>574</v>
      </c>
      <c r="H122" s="145">
        <v>33741</v>
      </c>
    </row>
    <row r="123" spans="1:9" x14ac:dyDescent="0.25">
      <c r="A123" s="136" t="s">
        <v>197</v>
      </c>
      <c r="B123" s="136"/>
      <c r="C123" s="136">
        <v>14</v>
      </c>
      <c r="D123" s="145">
        <v>5665</v>
      </c>
      <c r="E123" s="136">
        <v>3</v>
      </c>
      <c r="F123" s="145">
        <v>1043</v>
      </c>
      <c r="G123" s="136">
        <v>146</v>
      </c>
      <c r="H123" s="145">
        <v>6871</v>
      </c>
    </row>
    <row r="124" spans="1:9" ht="30" x14ac:dyDescent="0.25">
      <c r="A124" s="136" t="s">
        <v>198</v>
      </c>
      <c r="B124" s="136"/>
      <c r="C124" s="136">
        <v>5</v>
      </c>
      <c r="D124" s="145">
        <v>1463</v>
      </c>
      <c r="E124" s="136">
        <v>2</v>
      </c>
      <c r="F124" s="136">
        <v>224</v>
      </c>
      <c r="G124" s="136">
        <v>24</v>
      </c>
      <c r="H124" s="145">
        <v>1718</v>
      </c>
    </row>
    <row r="125" spans="1:9" ht="30" x14ac:dyDescent="0.25">
      <c r="A125" s="136" t="s">
        <v>199</v>
      </c>
      <c r="B125" s="136"/>
      <c r="C125" s="136">
        <v>64</v>
      </c>
      <c r="D125" s="145">
        <v>18084</v>
      </c>
      <c r="E125" s="136">
        <v>9</v>
      </c>
      <c r="F125" s="145">
        <v>4161</v>
      </c>
      <c r="G125" s="136">
        <v>425</v>
      </c>
      <c r="H125" s="145">
        <v>22743</v>
      </c>
    </row>
    <row r="126" spans="1:9" ht="30" x14ac:dyDescent="0.25">
      <c r="A126" s="136" t="s">
        <v>200</v>
      </c>
      <c r="B126" s="136"/>
      <c r="C126" s="136">
        <v>6</v>
      </c>
      <c r="D126" s="145">
        <v>2897</v>
      </c>
      <c r="E126" s="136">
        <v>3</v>
      </c>
      <c r="F126" s="136">
        <v>721</v>
      </c>
      <c r="G126" s="136">
        <v>58</v>
      </c>
      <c r="H126" s="145">
        <v>3685</v>
      </c>
    </row>
    <row r="127" spans="1:9" x14ac:dyDescent="0.25">
      <c r="A127" s="136" t="s">
        <v>201</v>
      </c>
      <c r="B127" s="136"/>
      <c r="C127" s="136">
        <v>44</v>
      </c>
      <c r="D127" s="145">
        <v>13418</v>
      </c>
      <c r="E127" s="136">
        <v>9</v>
      </c>
      <c r="F127" s="145">
        <v>2758</v>
      </c>
      <c r="G127" s="136">
        <v>266</v>
      </c>
      <c r="H127" s="145">
        <v>16495</v>
      </c>
    </row>
    <row r="128" spans="1:9" ht="30" x14ac:dyDescent="0.25">
      <c r="A128" s="136" t="s">
        <v>202</v>
      </c>
      <c r="B128" s="136"/>
      <c r="C128" s="136">
        <v>10</v>
      </c>
      <c r="D128" s="145">
        <v>2603</v>
      </c>
      <c r="E128" s="136">
        <v>1</v>
      </c>
      <c r="F128" s="136">
        <v>504</v>
      </c>
      <c r="G128" s="136">
        <v>44</v>
      </c>
      <c r="H128" s="145">
        <v>3162</v>
      </c>
    </row>
    <row r="129" spans="1:8" ht="30" x14ac:dyDescent="0.25">
      <c r="A129" s="136" t="s">
        <v>203</v>
      </c>
      <c r="B129" s="136"/>
      <c r="C129" s="136">
        <v>5</v>
      </c>
      <c r="D129" s="145">
        <v>1695</v>
      </c>
      <c r="E129" s="166">
        <v>0</v>
      </c>
      <c r="F129" s="136">
        <v>540</v>
      </c>
      <c r="G129" s="136">
        <v>56</v>
      </c>
      <c r="H129" s="145">
        <v>2296</v>
      </c>
    </row>
    <row r="130" spans="1:8" ht="30" x14ac:dyDescent="0.25">
      <c r="A130" s="136" t="s">
        <v>204</v>
      </c>
      <c r="B130" s="136"/>
      <c r="C130" s="136">
        <v>176</v>
      </c>
      <c r="D130" s="145">
        <v>57195</v>
      </c>
      <c r="E130" s="136">
        <v>44</v>
      </c>
      <c r="F130" s="145">
        <v>10444</v>
      </c>
      <c r="G130" s="145">
        <v>1233</v>
      </c>
      <c r="H130" s="145">
        <v>69092</v>
      </c>
    </row>
    <row r="131" spans="1:8" ht="30" x14ac:dyDescent="0.25">
      <c r="A131" s="136" t="s">
        <v>205</v>
      </c>
      <c r="B131" s="136"/>
      <c r="C131" s="136">
        <v>45</v>
      </c>
      <c r="D131" s="145">
        <v>19458</v>
      </c>
      <c r="E131" s="136">
        <v>20</v>
      </c>
      <c r="F131" s="145">
        <v>4016</v>
      </c>
      <c r="G131" s="136">
        <v>531</v>
      </c>
      <c r="H131" s="145">
        <v>24070</v>
      </c>
    </row>
    <row r="132" spans="1:8" ht="30" x14ac:dyDescent="0.25">
      <c r="A132" s="136" t="s">
        <v>492</v>
      </c>
      <c r="B132" s="136"/>
      <c r="C132" s="136">
        <v>132</v>
      </c>
      <c r="D132" s="145">
        <v>56510</v>
      </c>
      <c r="E132" s="136">
        <v>42</v>
      </c>
      <c r="F132" s="145">
        <v>12188</v>
      </c>
      <c r="G132" s="145">
        <v>1307</v>
      </c>
      <c r="H132" s="145">
        <v>70179</v>
      </c>
    </row>
    <row r="133" spans="1:8" x14ac:dyDescent="0.25">
      <c r="A133" s="136" t="s">
        <v>206</v>
      </c>
      <c r="B133" s="136"/>
      <c r="C133" s="136">
        <v>7</v>
      </c>
      <c r="D133" s="145">
        <v>1284</v>
      </c>
      <c r="E133" s="166">
        <v>0</v>
      </c>
      <c r="F133" s="136">
        <v>248</v>
      </c>
      <c r="G133" s="136">
        <v>27</v>
      </c>
      <c r="H133" s="145">
        <v>1566</v>
      </c>
    </row>
    <row r="134" spans="1:8" x14ac:dyDescent="0.25">
      <c r="A134" s="136"/>
      <c r="H134" s="142"/>
    </row>
    <row r="135" spans="1:8" x14ac:dyDescent="0.25">
      <c r="A135" s="136" t="s">
        <v>25</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2"/>
    </row>
    <row r="137" spans="1:8" x14ac:dyDescent="0.25">
      <c r="A137" s="136"/>
      <c r="B137" s="146"/>
      <c r="C137" s="146"/>
      <c r="D137" s="146"/>
      <c r="E137" s="146"/>
      <c r="F137" s="146"/>
      <c r="G137" s="146"/>
      <c r="H137" s="143"/>
    </row>
    <row r="141" spans="1:8" ht="45" x14ac:dyDescent="0.25">
      <c r="A141" s="136" t="s">
        <v>501</v>
      </c>
      <c r="B141" s="136" t="s">
        <v>502</v>
      </c>
      <c r="C141" s="136">
        <v>6</v>
      </c>
      <c r="D141" s="153"/>
      <c r="E141" s="153"/>
      <c r="F141" s="153"/>
      <c r="G141" s="154"/>
    </row>
    <row r="142" spans="1:8" x14ac:dyDescent="0.25">
      <c r="A142" s="136"/>
      <c r="B142" s="136"/>
      <c r="C142" s="136"/>
      <c r="D142" s="136"/>
      <c r="G142" s="142"/>
    </row>
    <row r="143" spans="1:8" ht="30" x14ac:dyDescent="0.25">
      <c r="A143" s="136"/>
      <c r="B143" s="136"/>
      <c r="C143" s="136" t="s">
        <v>500</v>
      </c>
      <c r="D143" s="136"/>
      <c r="G143" s="142"/>
    </row>
    <row r="144" spans="1:8" x14ac:dyDescent="0.25">
      <c r="A144" s="136" t="s">
        <v>126</v>
      </c>
      <c r="B144" s="136"/>
      <c r="C144" s="136" t="s">
        <v>479</v>
      </c>
      <c r="D144" s="136" t="s">
        <v>480</v>
      </c>
      <c r="E144" s="136" t="s">
        <v>481</v>
      </c>
      <c r="F144" s="136" t="s">
        <v>482</v>
      </c>
      <c r="G144" s="136" t="s">
        <v>483</v>
      </c>
      <c r="H144" s="136" t="s">
        <v>25</v>
      </c>
    </row>
    <row r="145" spans="1:8" x14ac:dyDescent="0.25">
      <c r="A145" s="136"/>
      <c r="B145" s="136"/>
      <c r="C145" s="136"/>
      <c r="D145" s="136"/>
      <c r="H145" s="142"/>
    </row>
    <row r="146" spans="1:8" x14ac:dyDescent="0.25">
      <c r="A146" s="136" t="s">
        <v>207</v>
      </c>
      <c r="B146" s="136"/>
      <c r="C146" s="136">
        <v>10</v>
      </c>
      <c r="D146" s="145">
        <v>3236</v>
      </c>
      <c r="E146" s="136">
        <v>2</v>
      </c>
      <c r="F146" s="136">
        <v>704</v>
      </c>
      <c r="G146" s="136">
        <v>83</v>
      </c>
      <c r="H146" s="145">
        <v>4035</v>
      </c>
    </row>
    <row r="147" spans="1:8" ht="30" x14ac:dyDescent="0.25">
      <c r="A147" s="136" t="s">
        <v>208</v>
      </c>
      <c r="B147" s="136"/>
      <c r="C147" s="136">
        <v>18</v>
      </c>
      <c r="D147" s="145">
        <v>6369</v>
      </c>
      <c r="E147" s="136">
        <v>2</v>
      </c>
      <c r="F147" s="145">
        <v>1452</v>
      </c>
      <c r="G147" s="136">
        <v>146</v>
      </c>
      <c r="H147" s="145">
        <v>7987</v>
      </c>
    </row>
    <row r="148" spans="1:8" x14ac:dyDescent="0.25">
      <c r="A148" s="136" t="s">
        <v>209</v>
      </c>
      <c r="B148" s="136"/>
      <c r="C148" s="136">
        <v>5</v>
      </c>
      <c r="D148" s="145">
        <v>2111</v>
      </c>
      <c r="E148">
        <v>0</v>
      </c>
      <c r="F148" s="136">
        <v>379</v>
      </c>
      <c r="G148" s="136">
        <v>50</v>
      </c>
      <c r="H148" s="145">
        <v>2545</v>
      </c>
    </row>
    <row r="149" spans="1:8" x14ac:dyDescent="0.25">
      <c r="A149" s="136" t="s">
        <v>210</v>
      </c>
      <c r="B149" s="136"/>
      <c r="C149" s="136">
        <v>6</v>
      </c>
      <c r="D149" s="145">
        <v>1465</v>
      </c>
      <c r="E149" s="167">
        <v>0</v>
      </c>
      <c r="F149" s="136">
        <v>276</v>
      </c>
      <c r="G149" s="136">
        <v>26</v>
      </c>
      <c r="H149" s="145">
        <v>1773</v>
      </c>
    </row>
    <row r="150" spans="1:8" x14ac:dyDescent="0.25">
      <c r="A150" s="136" t="s">
        <v>211</v>
      </c>
      <c r="B150" s="136"/>
      <c r="C150" s="136">
        <v>2</v>
      </c>
      <c r="D150" s="145">
        <v>3576</v>
      </c>
      <c r="E150" s="136">
        <v>1</v>
      </c>
      <c r="F150" s="136">
        <v>601</v>
      </c>
      <c r="G150" s="136">
        <v>69</v>
      </c>
      <c r="H150" s="145">
        <v>4249</v>
      </c>
    </row>
    <row r="151" spans="1:8" x14ac:dyDescent="0.25">
      <c r="A151" s="136" t="s">
        <v>493</v>
      </c>
      <c r="B151" s="136"/>
      <c r="C151" s="136">
        <v>7</v>
      </c>
      <c r="D151" s="145">
        <v>3428</v>
      </c>
      <c r="E151" s="136">
        <v>3</v>
      </c>
      <c r="F151" s="136">
        <v>661</v>
      </c>
      <c r="G151" s="136">
        <v>66</v>
      </c>
      <c r="H151" s="145">
        <v>4165</v>
      </c>
    </row>
    <row r="152" spans="1:8" x14ac:dyDescent="0.25">
      <c r="A152" s="136" t="s">
        <v>212</v>
      </c>
      <c r="B152" s="136"/>
      <c r="C152" s="136">
        <v>11</v>
      </c>
      <c r="D152" s="145">
        <v>4835</v>
      </c>
      <c r="E152" s="136">
        <v>1</v>
      </c>
      <c r="F152" s="136">
        <v>871</v>
      </c>
      <c r="G152" s="136">
        <v>88</v>
      </c>
      <c r="H152" s="145">
        <v>5806</v>
      </c>
    </row>
    <row r="153" spans="1:8" ht="30" x14ac:dyDescent="0.25">
      <c r="A153" s="136" t="s">
        <v>213</v>
      </c>
      <c r="B153" s="136"/>
      <c r="C153" s="136">
        <v>1</v>
      </c>
      <c r="D153" s="136">
        <v>771</v>
      </c>
      <c r="E153" s="166">
        <v>0</v>
      </c>
      <c r="F153" s="136">
        <v>142</v>
      </c>
      <c r="G153" s="136">
        <v>13</v>
      </c>
      <c r="H153" s="136">
        <v>927</v>
      </c>
    </row>
    <row r="154" spans="1:8" ht="30" x14ac:dyDescent="0.25">
      <c r="A154" s="136" t="s">
        <v>214</v>
      </c>
      <c r="B154" s="136"/>
      <c r="C154" s="136">
        <v>8</v>
      </c>
      <c r="D154" s="145">
        <v>4613</v>
      </c>
      <c r="E154" s="136">
        <v>1</v>
      </c>
      <c r="F154" s="136">
        <v>817</v>
      </c>
      <c r="G154" s="136">
        <v>117</v>
      </c>
      <c r="H154" s="145">
        <v>5556</v>
      </c>
    </row>
    <row r="155" spans="1:8" x14ac:dyDescent="0.25">
      <c r="A155" s="136" t="s">
        <v>215</v>
      </c>
      <c r="B155" s="136"/>
      <c r="C155" s="136">
        <v>4</v>
      </c>
      <c r="D155" s="145">
        <v>1243</v>
      </c>
      <c r="E155" s="166">
        <v>0</v>
      </c>
      <c r="F155" s="136">
        <v>258</v>
      </c>
      <c r="G155" s="136">
        <v>33</v>
      </c>
      <c r="H155" s="145">
        <v>1538</v>
      </c>
    </row>
    <row r="156" spans="1:8" x14ac:dyDescent="0.25">
      <c r="A156" s="136" t="s">
        <v>216</v>
      </c>
      <c r="B156" s="136"/>
      <c r="C156" s="136">
        <v>5</v>
      </c>
      <c r="D156" s="145">
        <v>1604</v>
      </c>
      <c r="E156" s="166">
        <v>0</v>
      </c>
      <c r="F156" s="136">
        <v>297</v>
      </c>
      <c r="G156" s="136">
        <v>41</v>
      </c>
      <c r="H156" s="145">
        <v>1947</v>
      </c>
    </row>
    <row r="157" spans="1:8" x14ac:dyDescent="0.25">
      <c r="A157" s="136" t="s">
        <v>217</v>
      </c>
      <c r="B157" s="136"/>
      <c r="C157" s="136">
        <v>12</v>
      </c>
      <c r="D157" s="145">
        <v>5219</v>
      </c>
      <c r="E157" s="136">
        <v>2</v>
      </c>
      <c r="F157" s="145">
        <v>1268</v>
      </c>
      <c r="G157" s="136">
        <v>141</v>
      </c>
      <c r="H157" s="145">
        <v>6642</v>
      </c>
    </row>
    <row r="158" spans="1:8" x14ac:dyDescent="0.25">
      <c r="A158" s="136" t="s">
        <v>218</v>
      </c>
      <c r="B158" s="136"/>
      <c r="C158" s="136">
        <v>10</v>
      </c>
      <c r="D158" s="145">
        <v>2637</v>
      </c>
      <c r="E158" s="136">
        <v>1</v>
      </c>
      <c r="F158" s="136">
        <v>471</v>
      </c>
      <c r="G158" s="136">
        <v>44</v>
      </c>
      <c r="H158" s="145">
        <v>3163</v>
      </c>
    </row>
    <row r="159" spans="1:8" ht="30" x14ac:dyDescent="0.25">
      <c r="A159" s="136" t="s">
        <v>219</v>
      </c>
      <c r="B159" s="136"/>
      <c r="C159" s="136">
        <v>3</v>
      </c>
      <c r="D159" s="145">
        <v>1624</v>
      </c>
      <c r="E159" s="136">
        <v>1</v>
      </c>
      <c r="F159" s="136">
        <v>260</v>
      </c>
      <c r="G159" s="136">
        <v>42</v>
      </c>
      <c r="H159" s="145">
        <v>1930</v>
      </c>
    </row>
    <row r="160" spans="1:8" x14ac:dyDescent="0.25">
      <c r="A160" s="136" t="s">
        <v>220</v>
      </c>
      <c r="B160" s="136"/>
      <c r="C160" s="136">
        <v>21</v>
      </c>
      <c r="D160" s="145">
        <v>4253</v>
      </c>
      <c r="E160" s="166">
        <v>0</v>
      </c>
      <c r="F160" s="136">
        <v>961</v>
      </c>
      <c r="G160" s="136">
        <v>102</v>
      </c>
      <c r="H160" s="145">
        <v>5337</v>
      </c>
    </row>
    <row r="161" spans="1:8" x14ac:dyDescent="0.25">
      <c r="A161" s="136" t="s">
        <v>221</v>
      </c>
      <c r="B161" s="136"/>
      <c r="C161" s="136">
        <v>11</v>
      </c>
      <c r="D161" s="145">
        <v>3154</v>
      </c>
      <c r="E161" s="166">
        <v>0</v>
      </c>
      <c r="F161" s="136">
        <v>585</v>
      </c>
      <c r="G161" s="136">
        <v>61</v>
      </c>
      <c r="H161" s="145">
        <v>3811</v>
      </c>
    </row>
    <row r="162" spans="1:8" x14ac:dyDescent="0.25">
      <c r="A162" s="136" t="s">
        <v>222</v>
      </c>
      <c r="B162" s="136"/>
      <c r="C162" s="136">
        <v>4</v>
      </c>
      <c r="D162" s="145">
        <v>1444</v>
      </c>
      <c r="E162" s="136">
        <v>1</v>
      </c>
      <c r="F162" s="136">
        <v>294</v>
      </c>
      <c r="G162" s="136">
        <v>41</v>
      </c>
      <c r="H162" s="145">
        <v>1784</v>
      </c>
    </row>
    <row r="163" spans="1:8" x14ac:dyDescent="0.25">
      <c r="A163" s="136" t="s">
        <v>223</v>
      </c>
      <c r="B163" s="136"/>
      <c r="C163" s="136">
        <v>3</v>
      </c>
      <c r="D163" s="145">
        <v>2042</v>
      </c>
      <c r="E163" s="136">
        <v>3</v>
      </c>
      <c r="F163" s="136">
        <v>443</v>
      </c>
      <c r="G163" s="136">
        <v>43</v>
      </c>
      <c r="H163" s="145">
        <v>2534</v>
      </c>
    </row>
    <row r="164" spans="1:8" x14ac:dyDescent="0.25">
      <c r="A164" s="136" t="s">
        <v>224</v>
      </c>
      <c r="B164" s="136"/>
      <c r="C164" s="136">
        <v>8</v>
      </c>
      <c r="D164" s="145">
        <v>2364</v>
      </c>
      <c r="E164" s="166">
        <v>0</v>
      </c>
      <c r="F164" s="136">
        <v>538</v>
      </c>
      <c r="G164" s="136">
        <v>42</v>
      </c>
      <c r="H164" s="145">
        <v>2952</v>
      </c>
    </row>
    <row r="165" spans="1:8" ht="30" x14ac:dyDescent="0.25">
      <c r="A165" s="136" t="s">
        <v>225</v>
      </c>
      <c r="B165" s="136"/>
      <c r="C165" s="136">
        <v>5</v>
      </c>
      <c r="D165" s="145">
        <v>1463</v>
      </c>
      <c r="E165" s="166">
        <v>0</v>
      </c>
      <c r="F165" s="136">
        <v>234</v>
      </c>
      <c r="G165" s="136">
        <v>33</v>
      </c>
      <c r="H165" s="145">
        <v>1735</v>
      </c>
    </row>
    <row r="166" spans="1:8" x14ac:dyDescent="0.25">
      <c r="A166" s="136" t="s">
        <v>226</v>
      </c>
      <c r="B166" s="136"/>
      <c r="C166" s="136">
        <v>4</v>
      </c>
      <c r="D166" s="145">
        <v>2223</v>
      </c>
      <c r="E166" s="136">
        <v>1</v>
      </c>
      <c r="F166" s="136">
        <v>473</v>
      </c>
      <c r="G166" s="136">
        <v>43</v>
      </c>
      <c r="H166" s="145">
        <v>2744</v>
      </c>
    </row>
    <row r="167" spans="1:8" x14ac:dyDescent="0.25">
      <c r="A167" s="136" t="s">
        <v>227</v>
      </c>
      <c r="B167" s="136"/>
      <c r="C167" s="136">
        <v>6</v>
      </c>
      <c r="D167" s="145">
        <v>2894</v>
      </c>
      <c r="E167" s="136">
        <v>2</v>
      </c>
      <c r="F167" s="136">
        <v>414</v>
      </c>
      <c r="G167" s="136">
        <v>47</v>
      </c>
      <c r="H167" s="145">
        <v>3363</v>
      </c>
    </row>
    <row r="168" spans="1:8" ht="30" x14ac:dyDescent="0.25">
      <c r="A168" s="136" t="s">
        <v>228</v>
      </c>
      <c r="B168" s="136"/>
      <c r="C168" s="136">
        <v>8</v>
      </c>
      <c r="D168" s="145">
        <v>3969</v>
      </c>
      <c r="E168" s="136">
        <v>3</v>
      </c>
      <c r="F168" s="136">
        <v>747</v>
      </c>
      <c r="G168" s="136">
        <v>66</v>
      </c>
      <c r="H168" s="145">
        <v>4793</v>
      </c>
    </row>
    <row r="169" spans="1:8" x14ac:dyDescent="0.25">
      <c r="A169" s="136" t="s">
        <v>229</v>
      </c>
      <c r="B169" s="136"/>
      <c r="C169" s="136">
        <v>9</v>
      </c>
      <c r="D169" s="145">
        <v>3233</v>
      </c>
      <c r="E169" s="136">
        <v>1</v>
      </c>
      <c r="F169" s="136">
        <v>612</v>
      </c>
      <c r="G169" s="136">
        <v>97</v>
      </c>
      <c r="H169" s="145">
        <v>3952</v>
      </c>
    </row>
    <row r="170" spans="1:8" x14ac:dyDescent="0.25">
      <c r="A170" s="136" t="s">
        <v>230</v>
      </c>
      <c r="B170" s="136"/>
      <c r="C170" s="136">
        <v>5</v>
      </c>
      <c r="D170" s="145">
        <v>1619</v>
      </c>
      <c r="E170" s="166">
        <v>0</v>
      </c>
      <c r="F170" s="136">
        <v>324</v>
      </c>
      <c r="G170" s="136">
        <v>30</v>
      </c>
      <c r="H170" s="145">
        <v>1978</v>
      </c>
    </row>
    <row r="171" spans="1:8" ht="30" x14ac:dyDescent="0.25">
      <c r="A171" s="136" t="s">
        <v>231</v>
      </c>
      <c r="B171" s="136"/>
      <c r="C171" s="136">
        <v>2</v>
      </c>
      <c r="D171" s="136">
        <v>909</v>
      </c>
      <c r="E171" s="136">
        <v>1</v>
      </c>
      <c r="F171" s="136">
        <v>193</v>
      </c>
      <c r="G171" s="136">
        <v>17</v>
      </c>
      <c r="H171" s="145">
        <v>1122</v>
      </c>
    </row>
    <row r="172" spans="1:8" ht="30" x14ac:dyDescent="0.25">
      <c r="A172" s="136" t="s">
        <v>232</v>
      </c>
      <c r="B172" s="136"/>
      <c r="C172" s="136">
        <v>8</v>
      </c>
      <c r="D172" s="145">
        <v>2491</v>
      </c>
      <c r="E172" s="136">
        <v>1</v>
      </c>
      <c r="F172" s="136">
        <v>455</v>
      </c>
      <c r="G172" s="136">
        <v>63</v>
      </c>
      <c r="H172" s="145">
        <v>3018</v>
      </c>
    </row>
    <row r="173" spans="1:8" x14ac:dyDescent="0.25">
      <c r="A173" s="136" t="s">
        <v>233</v>
      </c>
      <c r="B173" s="136"/>
      <c r="C173" s="136">
        <v>117</v>
      </c>
      <c r="D173" s="145">
        <v>38092</v>
      </c>
      <c r="E173" s="136">
        <v>35</v>
      </c>
      <c r="F173" s="145">
        <v>8952</v>
      </c>
      <c r="G173" s="136">
        <v>957</v>
      </c>
      <c r="H173" s="145">
        <v>48153</v>
      </c>
    </row>
    <row r="174" spans="1:8" x14ac:dyDescent="0.25">
      <c r="A174" s="136" t="s">
        <v>234</v>
      </c>
      <c r="B174" s="136"/>
      <c r="C174" s="136">
        <v>21</v>
      </c>
      <c r="D174" s="145">
        <v>10380</v>
      </c>
      <c r="E174" s="136">
        <v>9</v>
      </c>
      <c r="F174" s="145">
        <v>2209</v>
      </c>
      <c r="G174" s="136">
        <v>211</v>
      </c>
      <c r="H174" s="145">
        <v>12830</v>
      </c>
    </row>
    <row r="175" spans="1:8" x14ac:dyDescent="0.25">
      <c r="A175" s="136" t="s">
        <v>235</v>
      </c>
      <c r="B175" s="136"/>
      <c r="C175" s="136">
        <v>8</v>
      </c>
      <c r="D175" s="145">
        <v>3845</v>
      </c>
      <c r="E175" s="136">
        <v>2</v>
      </c>
      <c r="F175" s="136">
        <v>841</v>
      </c>
      <c r="G175" s="136">
        <v>90</v>
      </c>
      <c r="H175" s="145">
        <v>4786</v>
      </c>
    </row>
    <row r="176" spans="1:8" ht="30" x14ac:dyDescent="0.25">
      <c r="A176" s="136" t="s">
        <v>236</v>
      </c>
      <c r="B176" s="136"/>
      <c r="C176" s="136">
        <v>30</v>
      </c>
      <c r="D176" s="145">
        <v>12944</v>
      </c>
      <c r="E176" s="136">
        <v>1</v>
      </c>
      <c r="F176" s="145">
        <v>2516</v>
      </c>
      <c r="G176" s="136">
        <v>277</v>
      </c>
      <c r="H176" s="145">
        <v>15768</v>
      </c>
    </row>
    <row r="177" spans="1:8" ht="30" x14ac:dyDescent="0.25">
      <c r="A177" s="136" t="s">
        <v>237</v>
      </c>
      <c r="B177" s="136"/>
      <c r="C177" s="136">
        <v>21</v>
      </c>
      <c r="D177" s="145">
        <v>9778</v>
      </c>
      <c r="E177" s="136">
        <v>2</v>
      </c>
      <c r="F177" s="145">
        <v>1826</v>
      </c>
      <c r="G177" s="136">
        <v>230</v>
      </c>
      <c r="H177" s="145">
        <v>11857</v>
      </c>
    </row>
    <row r="178" spans="1:8" ht="30" x14ac:dyDescent="0.25">
      <c r="A178" s="136" t="s">
        <v>238</v>
      </c>
      <c r="B178" s="136"/>
      <c r="C178" s="136">
        <v>11</v>
      </c>
      <c r="D178" s="145">
        <v>7565</v>
      </c>
      <c r="E178" s="136">
        <v>5</v>
      </c>
      <c r="F178" s="145">
        <v>1496</v>
      </c>
      <c r="G178" s="136">
        <v>160</v>
      </c>
      <c r="H178" s="145">
        <v>9237</v>
      </c>
    </row>
    <row r="179" spans="1:8" x14ac:dyDescent="0.25">
      <c r="A179" s="136"/>
      <c r="H179" s="142"/>
    </row>
    <row r="180" spans="1:8" x14ac:dyDescent="0.25">
      <c r="A180" s="136" t="s">
        <v>25</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6"/>
      <c r="F181" s="146"/>
      <c r="G181" s="146"/>
      <c r="H181" s="143"/>
    </row>
    <row r="185" spans="1:8" ht="45" x14ac:dyDescent="0.25">
      <c r="A185" s="136" t="s">
        <v>501</v>
      </c>
      <c r="B185" s="136" t="s">
        <v>502</v>
      </c>
      <c r="C185" s="136">
        <v>7</v>
      </c>
      <c r="D185" s="153"/>
      <c r="E185" s="153"/>
      <c r="F185" s="154"/>
    </row>
    <row r="186" spans="1:8" x14ac:dyDescent="0.25">
      <c r="A186" s="136"/>
      <c r="B186" s="136"/>
      <c r="C186" s="136"/>
      <c r="D186" s="136"/>
      <c r="F186" s="142"/>
    </row>
    <row r="187" spans="1:8" ht="30" x14ac:dyDescent="0.25">
      <c r="A187" s="136"/>
      <c r="B187" s="136"/>
      <c r="C187" s="136" t="s">
        <v>500</v>
      </c>
      <c r="D187" s="136"/>
      <c r="F187" s="142"/>
    </row>
    <row r="188" spans="1:8" x14ac:dyDescent="0.25">
      <c r="A188" s="136" t="s">
        <v>126</v>
      </c>
      <c r="B188" s="136" t="s">
        <v>479</v>
      </c>
      <c r="C188" s="136" t="s">
        <v>480</v>
      </c>
      <c r="D188" s="136" t="s">
        <v>481</v>
      </c>
      <c r="E188" s="136" t="s">
        <v>482</v>
      </c>
      <c r="F188" s="136" t="s">
        <v>483</v>
      </c>
      <c r="G188" s="136" t="s">
        <v>25</v>
      </c>
    </row>
    <row r="189" spans="1:8" x14ac:dyDescent="0.25">
      <c r="A189" s="136"/>
      <c r="B189" s="136"/>
      <c r="C189" s="136"/>
      <c r="D189" s="136"/>
      <c r="E189" s="157"/>
      <c r="G189" s="142"/>
    </row>
    <row r="190" spans="1:8" ht="30" x14ac:dyDescent="0.25">
      <c r="A190" s="136" t="s">
        <v>239</v>
      </c>
      <c r="B190" s="136">
        <v>27</v>
      </c>
      <c r="C190" s="145">
        <v>9982</v>
      </c>
      <c r="D190" s="136">
        <v>12</v>
      </c>
      <c r="E190" s="145">
        <v>1856</v>
      </c>
      <c r="F190" s="136">
        <v>174</v>
      </c>
      <c r="G190" s="145">
        <v>12051</v>
      </c>
    </row>
    <row r="191" spans="1:8" x14ac:dyDescent="0.25">
      <c r="A191" s="136" t="s">
        <v>240</v>
      </c>
      <c r="B191" s="136">
        <v>5</v>
      </c>
      <c r="C191" s="145">
        <v>1892</v>
      </c>
      <c r="D191">
        <v>0</v>
      </c>
      <c r="E191" s="136">
        <v>397</v>
      </c>
      <c r="F191" s="136">
        <v>50</v>
      </c>
      <c r="G191" s="145">
        <v>2344</v>
      </c>
    </row>
    <row r="192" spans="1:8" x14ac:dyDescent="0.25">
      <c r="A192" s="136" t="s">
        <v>241</v>
      </c>
      <c r="B192" s="136">
        <v>8</v>
      </c>
      <c r="C192" s="145">
        <v>3773</v>
      </c>
      <c r="D192" s="136">
        <v>1</v>
      </c>
      <c r="E192" s="136">
        <v>786</v>
      </c>
      <c r="F192" s="136">
        <v>83</v>
      </c>
      <c r="G192" s="145">
        <v>4651</v>
      </c>
    </row>
    <row r="193" spans="1:7" ht="30" x14ac:dyDescent="0.25">
      <c r="A193" s="136" t="s">
        <v>242</v>
      </c>
      <c r="B193" s="136">
        <v>33</v>
      </c>
      <c r="C193" s="145">
        <v>8007</v>
      </c>
      <c r="D193" s="136">
        <v>3</v>
      </c>
      <c r="E193" s="145">
        <v>1747</v>
      </c>
      <c r="F193" s="136">
        <v>172</v>
      </c>
      <c r="G193" s="145">
        <v>9962</v>
      </c>
    </row>
    <row r="194" spans="1:7" x14ac:dyDescent="0.25">
      <c r="A194" s="136" t="s">
        <v>243</v>
      </c>
      <c r="B194" s="136">
        <v>8</v>
      </c>
      <c r="C194" s="145">
        <v>2551</v>
      </c>
      <c r="D194" s="166">
        <v>0</v>
      </c>
      <c r="E194" s="136">
        <v>610</v>
      </c>
      <c r="F194" s="136">
        <v>32</v>
      </c>
      <c r="G194" s="145">
        <v>3201</v>
      </c>
    </row>
    <row r="195" spans="1:7" x14ac:dyDescent="0.25">
      <c r="A195" s="136" t="s">
        <v>244</v>
      </c>
      <c r="B195" s="136">
        <v>47</v>
      </c>
      <c r="C195" s="145">
        <v>25031</v>
      </c>
      <c r="D195" s="136">
        <v>16</v>
      </c>
      <c r="E195" s="145">
        <v>3837</v>
      </c>
      <c r="F195" s="136">
        <v>537</v>
      </c>
      <c r="G195" s="145">
        <v>29468</v>
      </c>
    </row>
    <row r="196" spans="1:7" ht="30" x14ac:dyDescent="0.25">
      <c r="A196" s="136" t="s">
        <v>245</v>
      </c>
      <c r="B196" s="136">
        <v>2</v>
      </c>
      <c r="C196" s="136">
        <v>706</v>
      </c>
      <c r="D196" s="166">
        <v>0</v>
      </c>
      <c r="E196" s="136">
        <v>180</v>
      </c>
      <c r="F196" s="136">
        <v>11</v>
      </c>
      <c r="G196" s="136">
        <v>899</v>
      </c>
    </row>
    <row r="197" spans="1:7" x14ac:dyDescent="0.25">
      <c r="A197" s="136" t="s">
        <v>494</v>
      </c>
      <c r="B197" s="136">
        <v>5</v>
      </c>
      <c r="C197" s="145">
        <v>2353</v>
      </c>
      <c r="D197" s="166">
        <v>0</v>
      </c>
      <c r="E197" s="136">
        <v>435</v>
      </c>
      <c r="F197" s="136">
        <v>28</v>
      </c>
      <c r="G197" s="145">
        <v>2821</v>
      </c>
    </row>
    <row r="198" spans="1:7" x14ac:dyDescent="0.25">
      <c r="A198" s="136" t="s">
        <v>246</v>
      </c>
      <c r="B198" s="136">
        <v>3</v>
      </c>
      <c r="C198" s="145">
        <v>1378</v>
      </c>
      <c r="D198" s="136">
        <v>1</v>
      </c>
      <c r="E198" s="136">
        <v>199</v>
      </c>
      <c r="F198" s="136">
        <v>26</v>
      </c>
      <c r="G198" s="145">
        <v>1607</v>
      </c>
    </row>
    <row r="199" spans="1:7" x14ac:dyDescent="0.25">
      <c r="A199" s="136" t="s">
        <v>247</v>
      </c>
      <c r="B199" s="136">
        <v>46</v>
      </c>
      <c r="C199" s="145">
        <v>17260</v>
      </c>
      <c r="D199" s="136">
        <v>10</v>
      </c>
      <c r="E199" s="145">
        <v>3215</v>
      </c>
      <c r="F199" s="136">
        <v>325</v>
      </c>
      <c r="G199" s="145">
        <v>20856</v>
      </c>
    </row>
    <row r="200" spans="1:7" x14ac:dyDescent="0.25">
      <c r="A200" s="136" t="s">
        <v>248</v>
      </c>
      <c r="B200" s="136">
        <v>9</v>
      </c>
      <c r="C200" s="145">
        <v>5818</v>
      </c>
      <c r="D200" s="166">
        <v>0</v>
      </c>
      <c r="E200" s="145">
        <v>1235</v>
      </c>
      <c r="F200" s="136">
        <v>146</v>
      </c>
      <c r="G200" s="145">
        <v>7208</v>
      </c>
    </row>
    <row r="201" spans="1:7" x14ac:dyDescent="0.25">
      <c r="A201" s="136" t="s">
        <v>249</v>
      </c>
      <c r="B201" s="136">
        <v>6</v>
      </c>
      <c r="C201" s="145">
        <v>5115</v>
      </c>
      <c r="D201" s="136">
        <v>2</v>
      </c>
      <c r="E201" s="145">
        <v>1016</v>
      </c>
      <c r="F201" s="136">
        <v>159</v>
      </c>
      <c r="G201" s="145">
        <v>6298</v>
      </c>
    </row>
    <row r="202" spans="1:7" x14ac:dyDescent="0.25">
      <c r="A202" s="136" t="s">
        <v>250</v>
      </c>
      <c r="B202" s="136">
        <v>18</v>
      </c>
      <c r="C202" s="145">
        <v>7962</v>
      </c>
      <c r="D202" s="136">
        <v>7</v>
      </c>
      <c r="E202" s="145">
        <v>1147</v>
      </c>
      <c r="F202" s="136">
        <v>157</v>
      </c>
      <c r="G202" s="145">
        <v>9291</v>
      </c>
    </row>
    <row r="203" spans="1:7" x14ac:dyDescent="0.25">
      <c r="A203" s="136" t="s">
        <v>251</v>
      </c>
      <c r="B203" s="136">
        <v>29</v>
      </c>
      <c r="C203" s="145">
        <v>8694</v>
      </c>
      <c r="D203" s="136">
        <v>8</v>
      </c>
      <c r="E203" s="145">
        <v>1726</v>
      </c>
      <c r="F203" s="136">
        <v>175</v>
      </c>
      <c r="G203" s="145">
        <v>10632</v>
      </c>
    </row>
    <row r="204" spans="1:7" x14ac:dyDescent="0.25">
      <c r="A204" s="136" t="s">
        <v>252</v>
      </c>
      <c r="B204" s="136">
        <v>0</v>
      </c>
      <c r="C204" s="145">
        <v>1678</v>
      </c>
      <c r="D204" s="166">
        <v>0</v>
      </c>
      <c r="E204" s="136">
        <v>292</v>
      </c>
      <c r="F204" s="136">
        <v>38</v>
      </c>
      <c r="G204" s="145">
        <v>2008</v>
      </c>
    </row>
    <row r="205" spans="1:7" x14ac:dyDescent="0.25">
      <c r="A205" s="136" t="s">
        <v>253</v>
      </c>
      <c r="B205" s="136">
        <v>7</v>
      </c>
      <c r="C205" s="145">
        <v>1433</v>
      </c>
      <c r="D205" s="166">
        <v>0</v>
      </c>
      <c r="E205" s="136">
        <v>320</v>
      </c>
      <c r="F205" s="136">
        <v>35</v>
      </c>
      <c r="G205" s="145">
        <v>1795</v>
      </c>
    </row>
    <row r="206" spans="1:7" x14ac:dyDescent="0.25">
      <c r="A206" s="136" t="s">
        <v>254</v>
      </c>
      <c r="B206" s="136">
        <v>4</v>
      </c>
      <c r="C206" s="145">
        <v>1631</v>
      </c>
      <c r="D206" s="166">
        <v>0</v>
      </c>
      <c r="E206" s="136">
        <v>224</v>
      </c>
      <c r="F206" s="136">
        <v>34</v>
      </c>
      <c r="G206" s="145">
        <v>1893</v>
      </c>
    </row>
    <row r="207" spans="1:7" x14ac:dyDescent="0.25">
      <c r="A207" s="136" t="s">
        <v>255</v>
      </c>
      <c r="B207" s="136">
        <v>2</v>
      </c>
      <c r="C207" s="145">
        <v>1880</v>
      </c>
      <c r="D207" s="166">
        <v>0</v>
      </c>
      <c r="E207" s="136">
        <v>248</v>
      </c>
      <c r="F207" s="136">
        <v>31</v>
      </c>
      <c r="G207" s="145">
        <v>2161</v>
      </c>
    </row>
    <row r="208" spans="1:7" x14ac:dyDescent="0.25">
      <c r="A208" s="136" t="s">
        <v>256</v>
      </c>
      <c r="B208" s="136">
        <v>7</v>
      </c>
      <c r="C208" s="145">
        <v>4002</v>
      </c>
      <c r="D208" s="136">
        <v>2</v>
      </c>
      <c r="E208" s="136">
        <v>872</v>
      </c>
      <c r="F208" s="136">
        <v>73</v>
      </c>
      <c r="G208" s="145">
        <v>4956</v>
      </c>
    </row>
    <row r="209" spans="1:7" x14ac:dyDescent="0.25">
      <c r="A209" s="136" t="s">
        <v>257</v>
      </c>
      <c r="B209" s="136">
        <v>2</v>
      </c>
      <c r="C209" s="145">
        <v>2570</v>
      </c>
      <c r="D209" s="166">
        <v>0</v>
      </c>
      <c r="E209" s="136">
        <v>522</v>
      </c>
      <c r="F209" s="136">
        <v>55</v>
      </c>
      <c r="G209" s="145">
        <v>3149</v>
      </c>
    </row>
    <row r="210" spans="1:7" x14ac:dyDescent="0.25">
      <c r="A210" s="136" t="s">
        <v>258</v>
      </c>
      <c r="B210" s="136">
        <v>2</v>
      </c>
      <c r="C210" s="145">
        <v>2439</v>
      </c>
      <c r="D210" s="166">
        <v>0</v>
      </c>
      <c r="E210" s="136">
        <v>350</v>
      </c>
      <c r="F210" s="136">
        <v>56</v>
      </c>
      <c r="G210" s="145">
        <v>2847</v>
      </c>
    </row>
    <row r="211" spans="1:7" ht="30" x14ac:dyDescent="0.25">
      <c r="A211" s="136" t="s">
        <v>259</v>
      </c>
      <c r="B211" s="136">
        <v>8</v>
      </c>
      <c r="C211" s="145">
        <v>3367</v>
      </c>
      <c r="D211" s="136">
        <v>3</v>
      </c>
      <c r="E211" s="136">
        <v>458</v>
      </c>
      <c r="F211" s="136">
        <v>71</v>
      </c>
      <c r="G211" s="145">
        <v>3907</v>
      </c>
    </row>
    <row r="212" spans="1:7" ht="30" x14ac:dyDescent="0.25">
      <c r="A212" s="136" t="s">
        <v>260</v>
      </c>
      <c r="B212" s="136">
        <v>19</v>
      </c>
      <c r="C212" s="145">
        <v>7507</v>
      </c>
      <c r="D212" s="136">
        <v>2</v>
      </c>
      <c r="E212" s="145">
        <v>1281</v>
      </c>
      <c r="F212" s="136">
        <v>139</v>
      </c>
      <c r="G212" s="145">
        <v>8948</v>
      </c>
    </row>
    <row r="213" spans="1:7" x14ac:dyDescent="0.25">
      <c r="A213" s="136" t="s">
        <v>261</v>
      </c>
      <c r="B213" s="136">
        <v>32</v>
      </c>
      <c r="C213" s="145">
        <v>8613</v>
      </c>
      <c r="D213" s="136">
        <v>2</v>
      </c>
      <c r="E213" s="145">
        <v>1325</v>
      </c>
      <c r="F213" s="136">
        <v>147</v>
      </c>
      <c r="G213" s="145">
        <v>10119</v>
      </c>
    </row>
    <row r="214" spans="1:7" ht="30" x14ac:dyDescent="0.25">
      <c r="A214" s="136" t="s">
        <v>262</v>
      </c>
      <c r="B214" s="136">
        <v>2</v>
      </c>
      <c r="C214" s="145">
        <v>1608</v>
      </c>
      <c r="E214" s="136">
        <v>390</v>
      </c>
      <c r="F214" s="136">
        <v>30</v>
      </c>
      <c r="G214" s="145">
        <v>2030</v>
      </c>
    </row>
    <row r="215" spans="1:7" x14ac:dyDescent="0.25">
      <c r="A215" s="136" t="s">
        <v>263</v>
      </c>
      <c r="B215" s="136">
        <v>105</v>
      </c>
      <c r="C215" s="145">
        <v>39306</v>
      </c>
      <c r="D215" s="136">
        <v>26</v>
      </c>
      <c r="E215" s="145">
        <v>7612</v>
      </c>
      <c r="F215" s="136">
        <v>865</v>
      </c>
      <c r="G215" s="145">
        <v>47914</v>
      </c>
    </row>
    <row r="216" spans="1:7" x14ac:dyDescent="0.25">
      <c r="A216" s="136" t="s">
        <v>264</v>
      </c>
      <c r="B216" s="136">
        <v>14</v>
      </c>
      <c r="C216" s="145">
        <v>5362</v>
      </c>
      <c r="D216" s="136">
        <v>3</v>
      </c>
      <c r="E216" s="136">
        <v>834</v>
      </c>
      <c r="F216" s="136">
        <v>136</v>
      </c>
      <c r="G216" s="145">
        <v>6349</v>
      </c>
    </row>
    <row r="217" spans="1:7" ht="30" x14ac:dyDescent="0.25">
      <c r="A217" s="136" t="s">
        <v>265</v>
      </c>
      <c r="B217" s="136">
        <v>1</v>
      </c>
      <c r="C217" s="136">
        <v>864</v>
      </c>
      <c r="D217" s="136">
        <v>1</v>
      </c>
      <c r="E217" s="136">
        <v>135</v>
      </c>
      <c r="F217" s="136">
        <v>24</v>
      </c>
      <c r="G217" s="145">
        <v>1025</v>
      </c>
    </row>
    <row r="218" spans="1:7" ht="30" x14ac:dyDescent="0.25">
      <c r="A218" s="136" t="s">
        <v>266</v>
      </c>
      <c r="B218" s="136">
        <v>8</v>
      </c>
      <c r="C218" s="145">
        <v>3230</v>
      </c>
      <c r="D218" s="136">
        <v>1</v>
      </c>
      <c r="E218" s="136">
        <v>631</v>
      </c>
      <c r="F218" s="136">
        <v>64</v>
      </c>
      <c r="G218" s="145">
        <v>3934</v>
      </c>
    </row>
    <row r="219" spans="1:7" ht="30" x14ac:dyDescent="0.25">
      <c r="A219" s="136" t="s">
        <v>267</v>
      </c>
      <c r="B219" s="136">
        <v>5</v>
      </c>
      <c r="C219" s="145">
        <v>3240</v>
      </c>
      <c r="D219" s="136">
        <v>1</v>
      </c>
      <c r="E219" s="136">
        <v>558</v>
      </c>
      <c r="F219" s="136">
        <v>77</v>
      </c>
      <c r="G219" s="145">
        <v>3881</v>
      </c>
    </row>
    <row r="220" spans="1:7" x14ac:dyDescent="0.25">
      <c r="A220" s="136" t="s">
        <v>25</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69"/>
      <c r="F221" s="146"/>
      <c r="G221" s="143"/>
    </row>
    <row r="225" spans="1:8" ht="45" x14ac:dyDescent="0.25">
      <c r="A225" s="136" t="s">
        <v>268</v>
      </c>
      <c r="B225" s="153"/>
      <c r="C225" s="153"/>
      <c r="D225" s="153"/>
      <c r="E225" s="154"/>
    </row>
    <row r="226" spans="1:8" x14ac:dyDescent="0.25">
      <c r="A226" s="136"/>
      <c r="B226" s="136"/>
      <c r="C226" s="136"/>
      <c r="E226" s="142"/>
    </row>
    <row r="227" spans="1:8" x14ac:dyDescent="0.25">
      <c r="A227" s="136"/>
      <c r="B227" s="136"/>
      <c r="C227" s="136"/>
      <c r="D227" s="153"/>
      <c r="E227" s="153"/>
      <c r="F227" s="153"/>
      <c r="G227" s="154"/>
    </row>
    <row r="228" spans="1:8" ht="30" x14ac:dyDescent="0.25">
      <c r="A228" s="136"/>
      <c r="B228" s="136"/>
      <c r="C228" s="136" t="s">
        <v>500</v>
      </c>
      <c r="D228" s="136"/>
      <c r="G228" s="142"/>
    </row>
    <row r="229" spans="1:8" x14ac:dyDescent="0.25">
      <c r="A229" s="136" t="s">
        <v>126</v>
      </c>
      <c r="B229" s="136" t="s">
        <v>479</v>
      </c>
      <c r="C229" s="136" t="s">
        <v>480</v>
      </c>
      <c r="D229" s="136" t="s">
        <v>481</v>
      </c>
      <c r="E229" s="136" t="s">
        <v>482</v>
      </c>
      <c r="F229" s="136" t="s">
        <v>483</v>
      </c>
      <c r="G229" s="136" t="s">
        <v>25</v>
      </c>
      <c r="H229" s="142"/>
    </row>
    <row r="230" spans="1:8" x14ac:dyDescent="0.25">
      <c r="A230" s="136"/>
      <c r="B230" s="136"/>
      <c r="C230" s="136"/>
      <c r="H230" s="142"/>
    </row>
    <row r="231" spans="1:8" ht="30" x14ac:dyDescent="0.25">
      <c r="A231" s="136" t="s">
        <v>269</v>
      </c>
      <c r="B231" s="136">
        <v>4</v>
      </c>
      <c r="C231" s="136">
        <v>815</v>
      </c>
      <c r="D231" s="136">
        <v>0</v>
      </c>
      <c r="E231" s="136">
        <v>128</v>
      </c>
      <c r="F231" s="136">
        <v>23</v>
      </c>
      <c r="G231" s="136">
        <v>970</v>
      </c>
      <c r="H231" s="142"/>
    </row>
    <row r="232" spans="1:8" x14ac:dyDescent="0.25">
      <c r="A232" s="136" t="s">
        <v>270</v>
      </c>
      <c r="B232" s="136">
        <v>4</v>
      </c>
      <c r="C232" s="136">
        <v>863</v>
      </c>
      <c r="D232" s="136">
        <v>0</v>
      </c>
      <c r="E232" s="136">
        <v>151</v>
      </c>
      <c r="F232" s="136">
        <v>9</v>
      </c>
      <c r="G232" s="145">
        <v>1027</v>
      </c>
      <c r="H232" s="142"/>
    </row>
    <row r="233" spans="1:8" x14ac:dyDescent="0.25">
      <c r="A233" s="136" t="s">
        <v>271</v>
      </c>
      <c r="B233" s="136">
        <v>16</v>
      </c>
      <c r="C233" s="145">
        <v>5959</v>
      </c>
      <c r="D233" s="136">
        <v>3</v>
      </c>
      <c r="E233" s="145">
        <v>1709</v>
      </c>
      <c r="F233" s="136">
        <v>121</v>
      </c>
      <c r="G233" s="145">
        <v>7808</v>
      </c>
      <c r="H233" s="142"/>
    </row>
    <row r="234" spans="1:8" x14ac:dyDescent="0.25">
      <c r="A234" s="136" t="s">
        <v>272</v>
      </c>
      <c r="B234" s="136">
        <v>18</v>
      </c>
      <c r="C234" s="145">
        <v>5555</v>
      </c>
      <c r="D234" s="136">
        <v>3</v>
      </c>
      <c r="E234" s="145">
        <v>1081</v>
      </c>
      <c r="F234" s="136">
        <v>116</v>
      </c>
      <c r="G234" s="145">
        <v>6773</v>
      </c>
      <c r="H234" s="142"/>
    </row>
    <row r="235" spans="1:8" x14ac:dyDescent="0.25">
      <c r="A235" s="136" t="s">
        <v>495</v>
      </c>
      <c r="B235" s="136">
        <v>11</v>
      </c>
      <c r="C235" s="145">
        <v>6031</v>
      </c>
      <c r="D235" s="167">
        <v>0</v>
      </c>
      <c r="E235" s="145">
        <v>1432</v>
      </c>
      <c r="F235" s="136">
        <v>117</v>
      </c>
      <c r="G235" s="145">
        <v>7591</v>
      </c>
      <c r="H235" s="142"/>
    </row>
    <row r="236" spans="1:8" ht="30" x14ac:dyDescent="0.25">
      <c r="A236" s="136" t="s">
        <v>273</v>
      </c>
      <c r="B236" s="136">
        <v>44</v>
      </c>
      <c r="C236" s="145">
        <v>13344</v>
      </c>
      <c r="D236" s="136">
        <v>12</v>
      </c>
      <c r="E236" s="145">
        <v>2946</v>
      </c>
      <c r="F236" s="136">
        <v>274</v>
      </c>
      <c r="G236" s="145">
        <v>16620</v>
      </c>
      <c r="H236" s="142"/>
    </row>
    <row r="237" spans="1:8" ht="30" x14ac:dyDescent="0.25">
      <c r="A237" s="136" t="s">
        <v>274</v>
      </c>
      <c r="B237" s="136">
        <v>113</v>
      </c>
      <c r="C237" s="145">
        <v>35778</v>
      </c>
      <c r="D237" s="136">
        <v>37</v>
      </c>
      <c r="E237" s="145">
        <v>8576</v>
      </c>
      <c r="F237" s="136">
        <v>804</v>
      </c>
      <c r="G237" s="145">
        <v>45308</v>
      </c>
      <c r="H237" s="142"/>
    </row>
    <row r="238" spans="1:8" x14ac:dyDescent="0.25">
      <c r="A238" s="136" t="s">
        <v>275</v>
      </c>
      <c r="B238" s="136">
        <v>3</v>
      </c>
      <c r="C238" s="145">
        <v>1171</v>
      </c>
      <c r="D238" s="136">
        <v>1</v>
      </c>
      <c r="E238" s="136">
        <v>424</v>
      </c>
      <c r="F238" s="136">
        <v>50</v>
      </c>
      <c r="G238" s="145">
        <v>1649</v>
      </c>
      <c r="H238" s="142"/>
    </row>
    <row r="239" spans="1:8" x14ac:dyDescent="0.25">
      <c r="A239" s="136" t="s">
        <v>276</v>
      </c>
      <c r="B239" s="136">
        <v>45</v>
      </c>
      <c r="C239" s="145">
        <v>18189</v>
      </c>
      <c r="D239" s="136">
        <v>11</v>
      </c>
      <c r="E239" s="145">
        <v>4342</v>
      </c>
      <c r="F239" s="136">
        <v>373</v>
      </c>
      <c r="G239" s="145">
        <v>22960</v>
      </c>
      <c r="H239" s="142"/>
    </row>
    <row r="240" spans="1:8" ht="30" x14ac:dyDescent="0.25">
      <c r="A240" s="136" t="s">
        <v>277</v>
      </c>
      <c r="B240" s="136">
        <v>22</v>
      </c>
      <c r="C240" s="145">
        <v>5903</v>
      </c>
      <c r="D240" s="136">
        <v>2</v>
      </c>
      <c r="E240" s="145">
        <v>1890</v>
      </c>
      <c r="F240" s="136">
        <v>107</v>
      </c>
      <c r="G240" s="145">
        <v>7924</v>
      </c>
      <c r="H240" s="142"/>
    </row>
    <row r="241" spans="1:9" x14ac:dyDescent="0.25">
      <c r="A241" s="136" t="s">
        <v>278</v>
      </c>
      <c r="B241" s="136">
        <v>2</v>
      </c>
      <c r="C241" s="145">
        <v>2299</v>
      </c>
      <c r="D241" s="145">
        <v>0</v>
      </c>
      <c r="E241" s="136">
        <v>393</v>
      </c>
      <c r="F241" s="136">
        <v>45</v>
      </c>
      <c r="G241" s="145">
        <v>2739</v>
      </c>
      <c r="I241" s="142"/>
    </row>
    <row r="242" spans="1:9" x14ac:dyDescent="0.25">
      <c r="A242" s="136" t="s">
        <v>279</v>
      </c>
      <c r="B242" s="136">
        <v>44</v>
      </c>
      <c r="C242" s="145">
        <v>15216</v>
      </c>
      <c r="D242" s="136">
        <v>11</v>
      </c>
      <c r="E242" s="145">
        <v>3105</v>
      </c>
      <c r="F242" s="136">
        <v>292</v>
      </c>
      <c r="G242" s="145">
        <v>18668</v>
      </c>
      <c r="H242" s="142"/>
    </row>
    <row r="243" spans="1:9" x14ac:dyDescent="0.25">
      <c r="A243" s="136" t="s">
        <v>280</v>
      </c>
      <c r="B243" s="136">
        <v>10</v>
      </c>
      <c r="C243" s="145">
        <v>3863</v>
      </c>
      <c r="D243" s="136">
        <v>3</v>
      </c>
      <c r="E243" s="136">
        <v>829</v>
      </c>
      <c r="F243" s="136">
        <v>90</v>
      </c>
      <c r="G243" s="145">
        <v>4795</v>
      </c>
      <c r="H243" s="142"/>
    </row>
    <row r="244" spans="1:9" x14ac:dyDescent="0.25">
      <c r="A244" s="136" t="s">
        <v>281</v>
      </c>
      <c r="B244" s="136">
        <v>16</v>
      </c>
      <c r="C244" s="145">
        <v>5049</v>
      </c>
      <c r="D244" s="136">
        <v>1</v>
      </c>
      <c r="E244" s="145">
        <v>1158</v>
      </c>
      <c r="F244" s="136">
        <v>108</v>
      </c>
      <c r="G244" s="145">
        <v>6332</v>
      </c>
      <c r="H244" s="142"/>
    </row>
    <row r="245" spans="1:9" x14ac:dyDescent="0.25">
      <c r="A245" s="136" t="s">
        <v>282</v>
      </c>
      <c r="B245" s="136">
        <v>11</v>
      </c>
      <c r="C245" s="145">
        <v>4313</v>
      </c>
      <c r="D245" s="136">
        <v>1</v>
      </c>
      <c r="E245" s="144">
        <v>1292</v>
      </c>
      <c r="F245" s="136">
        <v>115</v>
      </c>
      <c r="G245" s="145">
        <v>5732</v>
      </c>
      <c r="H245" s="142"/>
    </row>
    <row r="246" spans="1:9" ht="30" x14ac:dyDescent="0.25">
      <c r="A246" s="136" t="s">
        <v>283</v>
      </c>
      <c r="B246" s="136">
        <v>10</v>
      </c>
      <c r="C246" s="145">
        <v>3287</v>
      </c>
      <c r="D246" s="136">
        <v>1</v>
      </c>
      <c r="E246">
        <v>768</v>
      </c>
      <c r="F246" s="136">
        <v>71</v>
      </c>
      <c r="G246" s="145">
        <v>4137</v>
      </c>
      <c r="H246" s="142"/>
    </row>
    <row r="247" spans="1:9" ht="30" x14ac:dyDescent="0.25">
      <c r="A247" s="136" t="s">
        <v>284</v>
      </c>
      <c r="B247" s="136">
        <v>78</v>
      </c>
      <c r="C247" s="145">
        <v>33883</v>
      </c>
      <c r="D247" s="136">
        <v>13</v>
      </c>
      <c r="E247" s="144">
        <v>6500</v>
      </c>
      <c r="F247" s="136">
        <v>708</v>
      </c>
      <c r="G247" s="145">
        <v>41182</v>
      </c>
      <c r="H247" s="142"/>
    </row>
    <row r="248" spans="1:9" x14ac:dyDescent="0.25">
      <c r="A248" s="136" t="s">
        <v>285</v>
      </c>
      <c r="B248" s="136">
        <v>22</v>
      </c>
      <c r="C248" s="145">
        <v>9398</v>
      </c>
      <c r="D248" s="136">
        <v>3</v>
      </c>
      <c r="E248" s="144">
        <v>2441</v>
      </c>
      <c r="F248" s="136">
        <v>172</v>
      </c>
      <c r="G248" s="145">
        <v>12036</v>
      </c>
      <c r="H248" s="142"/>
    </row>
    <row r="249" spans="1:9" x14ac:dyDescent="0.25">
      <c r="A249" s="136" t="s">
        <v>286</v>
      </c>
      <c r="B249" s="136">
        <v>20</v>
      </c>
      <c r="C249" s="145">
        <v>6090</v>
      </c>
      <c r="D249" s="136">
        <v>6</v>
      </c>
      <c r="E249" s="144">
        <v>1218</v>
      </c>
      <c r="F249" s="136">
        <v>125</v>
      </c>
      <c r="G249" s="145">
        <v>7459</v>
      </c>
      <c r="H249" s="142"/>
    </row>
    <row r="250" spans="1:9" ht="30" x14ac:dyDescent="0.25">
      <c r="A250" s="136" t="s">
        <v>287</v>
      </c>
      <c r="B250" s="136">
        <v>10</v>
      </c>
      <c r="C250" s="145">
        <v>5056</v>
      </c>
      <c r="D250" s="136">
        <v>4</v>
      </c>
      <c r="E250" s="144">
        <v>1117</v>
      </c>
      <c r="F250" s="136">
        <v>110</v>
      </c>
      <c r="G250" s="145">
        <v>6297</v>
      </c>
      <c r="H250" s="142"/>
    </row>
    <row r="251" spans="1:9" x14ac:dyDescent="0.25">
      <c r="A251" s="136" t="s">
        <v>288</v>
      </c>
      <c r="B251" s="136">
        <v>8</v>
      </c>
      <c r="C251" s="145">
        <v>1921</v>
      </c>
      <c r="E251" s="136">
        <v>324</v>
      </c>
      <c r="F251" s="136">
        <v>47</v>
      </c>
      <c r="G251" s="145">
        <v>2300</v>
      </c>
      <c r="H251" s="142"/>
    </row>
    <row r="252" spans="1:9" x14ac:dyDescent="0.25">
      <c r="A252" s="136" t="s">
        <v>289</v>
      </c>
      <c r="B252" s="136">
        <v>22</v>
      </c>
      <c r="C252" s="145">
        <v>8390</v>
      </c>
      <c r="D252" s="136">
        <v>2</v>
      </c>
      <c r="E252" s="144">
        <v>1974</v>
      </c>
      <c r="F252" s="136">
        <v>155</v>
      </c>
      <c r="G252" s="145">
        <v>10543</v>
      </c>
      <c r="H252" s="142"/>
    </row>
    <row r="253" spans="1:9" x14ac:dyDescent="0.25">
      <c r="A253" s="136" t="s">
        <v>290</v>
      </c>
      <c r="B253" s="136">
        <v>2</v>
      </c>
      <c r="C253" s="136">
        <v>975</v>
      </c>
      <c r="D253" s="136">
        <v>1</v>
      </c>
      <c r="E253">
        <v>124</v>
      </c>
      <c r="F253" s="136">
        <v>20</v>
      </c>
      <c r="G253" s="145">
        <v>1122</v>
      </c>
      <c r="H253" s="142"/>
    </row>
    <row r="254" spans="1:9" x14ac:dyDescent="0.25">
      <c r="A254" s="136" t="s">
        <v>291</v>
      </c>
      <c r="B254" s="136">
        <v>4</v>
      </c>
      <c r="C254" s="145">
        <v>2024</v>
      </c>
      <c r="E254" s="136">
        <v>351</v>
      </c>
      <c r="F254" s="136">
        <v>35</v>
      </c>
      <c r="G254" s="145">
        <v>2414</v>
      </c>
      <c r="H254" s="142"/>
    </row>
    <row r="255" spans="1:9" ht="30" x14ac:dyDescent="0.25">
      <c r="A255" s="136" t="s">
        <v>292</v>
      </c>
      <c r="B255" s="136">
        <v>38</v>
      </c>
      <c r="C255" s="145">
        <v>14176</v>
      </c>
      <c r="D255" s="136">
        <v>7</v>
      </c>
      <c r="E255" s="144">
        <v>3543</v>
      </c>
      <c r="F255" s="136">
        <v>373</v>
      </c>
      <c r="G255" s="145">
        <v>18137</v>
      </c>
    </row>
    <row r="256" spans="1:9" ht="30" x14ac:dyDescent="0.25">
      <c r="A256" s="136" t="s">
        <v>293</v>
      </c>
      <c r="B256" s="136">
        <v>6</v>
      </c>
      <c r="C256" s="136">
        <v>791</v>
      </c>
      <c r="E256" s="136">
        <v>155</v>
      </c>
      <c r="F256" s="136">
        <v>19</v>
      </c>
      <c r="G256" s="136">
        <v>971</v>
      </c>
      <c r="H256" s="142"/>
    </row>
    <row r="257" spans="1:8" ht="30" x14ac:dyDescent="0.25">
      <c r="A257" s="136" t="s">
        <v>294</v>
      </c>
      <c r="B257" s="136">
        <v>11</v>
      </c>
      <c r="C257" s="145">
        <v>2684</v>
      </c>
      <c r="D257" s="136">
        <v>3</v>
      </c>
      <c r="E257">
        <v>487</v>
      </c>
      <c r="F257" s="136">
        <v>50</v>
      </c>
      <c r="G257" s="145">
        <v>3235</v>
      </c>
      <c r="H257" s="142"/>
    </row>
    <row r="258" spans="1:8" ht="30" x14ac:dyDescent="0.25">
      <c r="A258" s="136" t="s">
        <v>295</v>
      </c>
      <c r="B258" s="136">
        <v>9</v>
      </c>
      <c r="C258" s="145">
        <v>2616</v>
      </c>
      <c r="D258" s="136">
        <v>1</v>
      </c>
      <c r="E258">
        <v>663</v>
      </c>
      <c r="F258" s="136">
        <v>63</v>
      </c>
      <c r="G258" s="145">
        <v>3352</v>
      </c>
      <c r="H258" s="142"/>
    </row>
    <row r="259" spans="1:8" ht="30" x14ac:dyDescent="0.25">
      <c r="A259" s="136" t="s">
        <v>296</v>
      </c>
      <c r="B259" s="136">
        <v>82</v>
      </c>
      <c r="C259" s="145">
        <v>25316</v>
      </c>
      <c r="D259" s="136">
        <v>39</v>
      </c>
      <c r="E259" s="144">
        <v>6847</v>
      </c>
      <c r="F259" s="136">
        <v>597</v>
      </c>
      <c r="G259" s="145">
        <v>32881</v>
      </c>
      <c r="H259" s="142"/>
    </row>
    <row r="260" spans="1:8" x14ac:dyDescent="0.25">
      <c r="A260" s="136" t="s">
        <v>297</v>
      </c>
      <c r="B260" s="136">
        <v>2</v>
      </c>
      <c r="C260" s="145">
        <v>1390</v>
      </c>
      <c r="E260" s="136">
        <v>364</v>
      </c>
      <c r="F260" s="136">
        <v>41</v>
      </c>
      <c r="G260" s="145">
        <v>1797</v>
      </c>
      <c r="H260" s="142"/>
    </row>
    <row r="261" spans="1:8" x14ac:dyDescent="0.25">
      <c r="A261" s="136" t="s">
        <v>298</v>
      </c>
      <c r="B261" s="136">
        <v>34</v>
      </c>
      <c r="C261" s="145">
        <v>11181</v>
      </c>
      <c r="D261" s="136">
        <v>4</v>
      </c>
      <c r="E261" s="144">
        <v>2262</v>
      </c>
      <c r="F261" s="136">
        <v>210</v>
      </c>
      <c r="G261" s="145">
        <v>13691</v>
      </c>
      <c r="H261" s="142"/>
    </row>
    <row r="262" spans="1:8" x14ac:dyDescent="0.25">
      <c r="A262" s="136" t="s">
        <v>299</v>
      </c>
      <c r="B262" s="136">
        <v>12</v>
      </c>
      <c r="C262" s="145">
        <v>3050</v>
      </c>
      <c r="D262" s="136">
        <v>3</v>
      </c>
      <c r="E262">
        <v>531</v>
      </c>
      <c r="F262" s="136">
        <v>61</v>
      </c>
      <c r="G262" s="145">
        <v>3657</v>
      </c>
      <c r="H262" s="142"/>
    </row>
    <row r="263" spans="1:8" x14ac:dyDescent="0.25">
      <c r="A263" s="136" t="s">
        <v>300</v>
      </c>
      <c r="B263" s="136">
        <v>19</v>
      </c>
      <c r="C263" s="145">
        <v>5296</v>
      </c>
      <c r="E263" s="145">
        <v>1243</v>
      </c>
      <c r="F263" s="136">
        <v>108</v>
      </c>
      <c r="G263" s="145">
        <v>6666</v>
      </c>
      <c r="H263" s="142"/>
    </row>
    <row r="264" spans="1:8" x14ac:dyDescent="0.25">
      <c r="A264" s="136"/>
      <c r="H264" s="142"/>
    </row>
    <row r="265" spans="1:8" x14ac:dyDescent="0.25">
      <c r="A265" s="136" t="s">
        <v>25</v>
      </c>
      <c r="B265" s="137">
        <f>SUM(B231:B264)</f>
        <v>752</v>
      </c>
      <c r="C265" s="137">
        <f t="shared" ref="C265:G265" si="5">SUM(C231:C264)</f>
        <v>261872</v>
      </c>
      <c r="D265" s="137">
        <f t="shared" si="5"/>
        <v>172</v>
      </c>
      <c r="E265" s="137">
        <f t="shared" si="5"/>
        <v>60368</v>
      </c>
      <c r="F265" s="137">
        <f t="shared" si="5"/>
        <v>5609</v>
      </c>
      <c r="G265" s="137">
        <f t="shared" si="5"/>
        <v>328773</v>
      </c>
      <c r="H265" s="142"/>
    </row>
    <row r="266" spans="1:8" x14ac:dyDescent="0.25">
      <c r="A266" s="136"/>
      <c r="B266" s="136"/>
      <c r="C266" s="136"/>
      <c r="D266" s="146"/>
      <c r="E266" s="146"/>
      <c r="F266" s="146"/>
      <c r="G266" s="143"/>
    </row>
    <row r="267" spans="1:8" ht="45" x14ac:dyDescent="0.25">
      <c r="A267" s="136" t="s">
        <v>501</v>
      </c>
      <c r="B267" s="136" t="s">
        <v>502</v>
      </c>
      <c r="C267" s="136">
        <v>9</v>
      </c>
      <c r="D267" s="153"/>
      <c r="E267" s="153"/>
      <c r="F267" s="154"/>
    </row>
    <row r="268" spans="1:8" x14ac:dyDescent="0.25">
      <c r="A268" s="136"/>
      <c r="B268" s="136"/>
      <c r="C268" s="136"/>
      <c r="D268" s="136"/>
      <c r="F268" s="142"/>
    </row>
    <row r="269" spans="1:8" ht="30" x14ac:dyDescent="0.25">
      <c r="A269" s="136"/>
      <c r="B269" s="136"/>
      <c r="C269" s="136" t="s">
        <v>500</v>
      </c>
      <c r="D269" s="136"/>
      <c r="F269" s="142"/>
    </row>
    <row r="270" spans="1:8" x14ac:dyDescent="0.25">
      <c r="A270" s="136" t="s">
        <v>126</v>
      </c>
      <c r="B270" s="136" t="s">
        <v>479</v>
      </c>
      <c r="C270" s="136" t="s">
        <v>480</v>
      </c>
      <c r="D270" s="136" t="s">
        <v>481</v>
      </c>
      <c r="E270" t="s">
        <v>482</v>
      </c>
      <c r="F270" s="136" t="s">
        <v>483</v>
      </c>
      <c r="G270" s="136" t="s">
        <v>25</v>
      </c>
    </row>
    <row r="271" spans="1:8" x14ac:dyDescent="0.25">
      <c r="A271" s="136"/>
      <c r="B271" s="136"/>
      <c r="C271" s="136"/>
      <c r="D271" s="136"/>
      <c r="G271" s="142"/>
    </row>
    <row r="272" spans="1:8" x14ac:dyDescent="0.25">
      <c r="A272" s="136" t="s">
        <v>301</v>
      </c>
      <c r="B272" s="136">
        <v>25</v>
      </c>
      <c r="C272" s="145">
        <v>9666</v>
      </c>
      <c r="D272" s="136">
        <v>4</v>
      </c>
      <c r="E272" s="144">
        <v>2211</v>
      </c>
      <c r="F272" s="136">
        <v>190</v>
      </c>
      <c r="G272" s="145">
        <v>12096</v>
      </c>
    </row>
    <row r="273" spans="1:7" x14ac:dyDescent="0.25">
      <c r="A273" s="136" t="s">
        <v>302</v>
      </c>
      <c r="B273" s="136">
        <v>15</v>
      </c>
      <c r="C273" s="145">
        <v>4939</v>
      </c>
      <c r="E273" s="145">
        <v>1139</v>
      </c>
      <c r="F273" s="136">
        <v>109</v>
      </c>
      <c r="G273" s="145">
        <v>6202</v>
      </c>
    </row>
    <row r="274" spans="1:7" x14ac:dyDescent="0.25">
      <c r="A274" s="136" t="s">
        <v>303</v>
      </c>
      <c r="B274" s="136">
        <v>7</v>
      </c>
      <c r="C274" s="145">
        <v>1900</v>
      </c>
      <c r="E274" s="136">
        <v>377</v>
      </c>
      <c r="F274" s="136">
        <v>59</v>
      </c>
      <c r="G274" s="145">
        <v>2343</v>
      </c>
    </row>
    <row r="275" spans="1:7" x14ac:dyDescent="0.25">
      <c r="A275" s="136" t="s">
        <v>304</v>
      </c>
      <c r="B275" s="136">
        <v>12</v>
      </c>
      <c r="C275" s="145">
        <v>4094</v>
      </c>
      <c r="D275" s="136">
        <v>2</v>
      </c>
      <c r="E275">
        <v>789</v>
      </c>
      <c r="F275" s="136">
        <v>87</v>
      </c>
      <c r="G275" s="145">
        <v>4984</v>
      </c>
    </row>
    <row r="276" spans="1:7" x14ac:dyDescent="0.25">
      <c r="A276" s="136" t="s">
        <v>305</v>
      </c>
      <c r="B276" s="136">
        <v>10</v>
      </c>
      <c r="C276" s="145">
        <v>4058</v>
      </c>
      <c r="D276" s="136">
        <v>3</v>
      </c>
      <c r="E276">
        <v>798</v>
      </c>
      <c r="F276" s="136">
        <v>113</v>
      </c>
      <c r="G276" s="145">
        <v>4982</v>
      </c>
    </row>
    <row r="277" spans="1:7" ht="30" x14ac:dyDescent="0.25">
      <c r="A277" s="136" t="s">
        <v>306</v>
      </c>
      <c r="B277" s="136">
        <v>13</v>
      </c>
      <c r="C277" s="145">
        <v>3953</v>
      </c>
      <c r="D277" s="136">
        <v>1</v>
      </c>
      <c r="E277">
        <v>718</v>
      </c>
      <c r="F277" s="136">
        <v>98</v>
      </c>
      <c r="G277" s="145">
        <v>4783</v>
      </c>
    </row>
    <row r="278" spans="1:7" ht="30" x14ac:dyDescent="0.25">
      <c r="A278" s="136" t="s">
        <v>307</v>
      </c>
      <c r="B278" s="136">
        <v>3</v>
      </c>
      <c r="C278" s="145">
        <v>1348</v>
      </c>
      <c r="E278" s="136">
        <v>238</v>
      </c>
      <c r="F278" s="136">
        <v>33</v>
      </c>
      <c r="G278" s="145">
        <v>1622</v>
      </c>
    </row>
    <row r="279" spans="1:7" x14ac:dyDescent="0.25">
      <c r="A279" s="136" t="s">
        <v>308</v>
      </c>
      <c r="B279" s="136">
        <v>3</v>
      </c>
      <c r="C279" s="145">
        <v>1309</v>
      </c>
      <c r="D279" s="136">
        <v>1</v>
      </c>
      <c r="E279">
        <v>281</v>
      </c>
      <c r="F279" s="136">
        <v>25</v>
      </c>
      <c r="G279" s="145">
        <v>1619</v>
      </c>
    </row>
    <row r="280" spans="1:7" x14ac:dyDescent="0.25">
      <c r="A280" s="136" t="s">
        <v>309</v>
      </c>
      <c r="B280" s="136">
        <v>13</v>
      </c>
      <c r="C280" s="145">
        <v>4463</v>
      </c>
      <c r="D280" s="136">
        <v>1</v>
      </c>
      <c r="E280">
        <v>770</v>
      </c>
      <c r="F280" s="136">
        <v>93</v>
      </c>
      <c r="G280" s="145">
        <v>5340</v>
      </c>
    </row>
    <row r="281" spans="1:7" ht="30" x14ac:dyDescent="0.25">
      <c r="A281" s="136" t="s">
        <v>310</v>
      </c>
      <c r="B281" s="136">
        <v>8</v>
      </c>
      <c r="C281" s="145">
        <v>2191</v>
      </c>
      <c r="D281" s="136">
        <v>1</v>
      </c>
      <c r="E281">
        <v>524</v>
      </c>
      <c r="F281" s="136">
        <v>58</v>
      </c>
      <c r="G281" s="145">
        <v>2782</v>
      </c>
    </row>
    <row r="282" spans="1:7" x14ac:dyDescent="0.25">
      <c r="A282" s="136" t="s">
        <v>311</v>
      </c>
      <c r="B282" s="136">
        <v>8</v>
      </c>
      <c r="C282" s="145">
        <v>3449</v>
      </c>
      <c r="E282" s="136">
        <v>736</v>
      </c>
      <c r="F282" s="136">
        <v>78</v>
      </c>
      <c r="G282" s="145">
        <v>4271</v>
      </c>
    </row>
    <row r="283" spans="1:7" x14ac:dyDescent="0.25">
      <c r="A283" s="136" t="s">
        <v>312</v>
      </c>
      <c r="B283" s="136">
        <v>11</v>
      </c>
      <c r="C283" s="145">
        <v>5963</v>
      </c>
      <c r="D283" s="136">
        <v>2</v>
      </c>
      <c r="E283" s="144">
        <v>1283</v>
      </c>
      <c r="F283" s="136">
        <v>153</v>
      </c>
      <c r="G283" s="145">
        <v>7412</v>
      </c>
    </row>
    <row r="284" spans="1:7" x14ac:dyDescent="0.25">
      <c r="A284" s="136" t="s">
        <v>313</v>
      </c>
      <c r="B284" s="136">
        <v>12</v>
      </c>
      <c r="C284" s="145">
        <v>4568</v>
      </c>
      <c r="D284" s="136">
        <v>3</v>
      </c>
      <c r="E284">
        <v>802</v>
      </c>
      <c r="F284" s="136">
        <v>132</v>
      </c>
      <c r="G284" s="145">
        <v>5517</v>
      </c>
    </row>
    <row r="285" spans="1:7" ht="30" x14ac:dyDescent="0.25">
      <c r="A285" s="136" t="s">
        <v>314</v>
      </c>
      <c r="B285" s="136">
        <v>8</v>
      </c>
      <c r="C285" s="145">
        <v>1647</v>
      </c>
      <c r="E285" s="136">
        <v>347</v>
      </c>
      <c r="F285" s="136">
        <v>55</v>
      </c>
      <c r="G285" s="145">
        <v>2057</v>
      </c>
    </row>
    <row r="286" spans="1:7" x14ac:dyDescent="0.25">
      <c r="A286" s="136" t="s">
        <v>315</v>
      </c>
      <c r="B286" s="136">
        <v>7</v>
      </c>
      <c r="C286" s="145">
        <v>1420</v>
      </c>
      <c r="E286" s="136">
        <v>341</v>
      </c>
      <c r="F286" s="136">
        <v>37</v>
      </c>
      <c r="G286" s="145">
        <v>1805</v>
      </c>
    </row>
    <row r="287" spans="1:7" x14ac:dyDescent="0.25">
      <c r="A287" s="136" t="s">
        <v>316</v>
      </c>
      <c r="B287" s="136">
        <v>3</v>
      </c>
      <c r="C287" s="145">
        <v>1547</v>
      </c>
      <c r="E287" s="136">
        <v>327</v>
      </c>
      <c r="F287" s="136">
        <v>40</v>
      </c>
      <c r="G287" s="145">
        <v>1917</v>
      </c>
    </row>
    <row r="288" spans="1:7" x14ac:dyDescent="0.25">
      <c r="A288" s="136" t="s">
        <v>317</v>
      </c>
      <c r="B288" s="136">
        <v>7</v>
      </c>
      <c r="C288" s="145">
        <v>1419</v>
      </c>
      <c r="E288" s="136">
        <v>252</v>
      </c>
      <c r="F288" s="136">
        <v>52</v>
      </c>
      <c r="G288" s="145">
        <v>1730</v>
      </c>
    </row>
    <row r="289" spans="1:7" ht="30" x14ac:dyDescent="0.25">
      <c r="A289" s="136" t="s">
        <v>318</v>
      </c>
      <c r="B289" s="136">
        <v>13</v>
      </c>
      <c r="C289" s="145">
        <v>6025</v>
      </c>
      <c r="D289" s="136">
        <v>3</v>
      </c>
      <c r="E289" s="144">
        <v>1140</v>
      </c>
      <c r="F289" s="136">
        <v>162</v>
      </c>
      <c r="G289" s="145">
        <v>7343</v>
      </c>
    </row>
    <row r="290" spans="1:7" ht="30" x14ac:dyDescent="0.25">
      <c r="A290" s="136" t="s">
        <v>319</v>
      </c>
      <c r="B290" s="136">
        <v>29</v>
      </c>
      <c r="C290" s="145">
        <v>9961</v>
      </c>
      <c r="D290" s="136">
        <v>2</v>
      </c>
      <c r="E290" s="144">
        <v>2042</v>
      </c>
      <c r="F290" s="136">
        <v>292</v>
      </c>
      <c r="G290" s="145">
        <v>12326</v>
      </c>
    </row>
    <row r="291" spans="1:7" ht="30" x14ac:dyDescent="0.25">
      <c r="A291" s="136" t="s">
        <v>320</v>
      </c>
      <c r="B291" s="136">
        <v>1</v>
      </c>
      <c r="C291" s="145">
        <v>1085</v>
      </c>
      <c r="E291" s="136">
        <v>210</v>
      </c>
      <c r="F291" s="136">
        <v>28</v>
      </c>
      <c r="G291" s="145">
        <v>1324</v>
      </c>
    </row>
    <row r="292" spans="1:7" ht="30" x14ac:dyDescent="0.25">
      <c r="A292" s="136" t="s">
        <v>321</v>
      </c>
      <c r="B292" s="136">
        <v>14</v>
      </c>
      <c r="C292" s="145">
        <v>4874</v>
      </c>
      <c r="D292" s="136">
        <v>2</v>
      </c>
      <c r="E292" s="144">
        <v>1116</v>
      </c>
      <c r="F292" s="136">
        <v>128</v>
      </c>
      <c r="G292" s="145">
        <v>6134</v>
      </c>
    </row>
    <row r="293" spans="1:7" x14ac:dyDescent="0.25">
      <c r="A293" s="136" t="s">
        <v>322</v>
      </c>
      <c r="B293" s="136">
        <v>9</v>
      </c>
      <c r="C293" s="145">
        <v>3663</v>
      </c>
      <c r="D293" s="136">
        <v>2</v>
      </c>
      <c r="E293">
        <v>783</v>
      </c>
      <c r="F293" s="136">
        <v>117</v>
      </c>
      <c r="G293" s="145">
        <v>4574</v>
      </c>
    </row>
    <row r="294" spans="1:7" x14ac:dyDescent="0.25">
      <c r="A294" s="136" t="s">
        <v>323</v>
      </c>
      <c r="B294" s="136"/>
      <c r="C294" s="145">
        <v>2403</v>
      </c>
      <c r="E294" s="136">
        <v>632</v>
      </c>
      <c r="F294" s="136">
        <v>70</v>
      </c>
      <c r="G294" s="145">
        <v>3105</v>
      </c>
    </row>
    <row r="295" spans="1:7" x14ac:dyDescent="0.25">
      <c r="A295" s="136" t="s">
        <v>324</v>
      </c>
      <c r="B295" s="136">
        <v>3</v>
      </c>
      <c r="C295" s="145">
        <v>1857</v>
      </c>
      <c r="D295" s="136">
        <v>1</v>
      </c>
      <c r="E295">
        <v>467</v>
      </c>
      <c r="F295" s="136">
        <v>69</v>
      </c>
      <c r="G295" s="145">
        <v>2397</v>
      </c>
    </row>
    <row r="296" spans="1:7" x14ac:dyDescent="0.25">
      <c r="A296" s="136" t="s">
        <v>325</v>
      </c>
      <c r="B296" s="136">
        <v>10</v>
      </c>
      <c r="C296" s="145">
        <v>2325</v>
      </c>
      <c r="E296" s="136">
        <v>503</v>
      </c>
      <c r="F296" s="136">
        <v>55</v>
      </c>
      <c r="G296" s="145">
        <v>2893</v>
      </c>
    </row>
    <row r="297" spans="1:7" x14ac:dyDescent="0.25">
      <c r="A297" s="136" t="s">
        <v>326</v>
      </c>
      <c r="B297" s="136">
        <v>141</v>
      </c>
      <c r="C297" s="145">
        <v>42674</v>
      </c>
      <c r="D297" s="136">
        <v>17</v>
      </c>
      <c r="E297" s="144">
        <v>9506</v>
      </c>
      <c r="F297" s="136">
        <v>940</v>
      </c>
      <c r="G297" s="145">
        <v>53278</v>
      </c>
    </row>
    <row r="298" spans="1:7" ht="30" x14ac:dyDescent="0.25">
      <c r="A298" s="136" t="s">
        <v>327</v>
      </c>
      <c r="B298" s="136">
        <v>10</v>
      </c>
      <c r="C298" s="145">
        <v>2865</v>
      </c>
      <c r="D298" s="136">
        <v>1</v>
      </c>
      <c r="E298">
        <v>557</v>
      </c>
      <c r="F298" s="136">
        <v>59</v>
      </c>
      <c r="G298" s="145">
        <v>3492</v>
      </c>
    </row>
    <row r="299" spans="1:7" x14ac:dyDescent="0.25">
      <c r="A299" s="136" t="s">
        <v>328</v>
      </c>
      <c r="B299" s="136">
        <v>6</v>
      </c>
      <c r="C299" s="145">
        <v>1911</v>
      </c>
      <c r="E299" s="136">
        <v>467</v>
      </c>
      <c r="F299" s="136">
        <v>51</v>
      </c>
      <c r="G299" s="145">
        <v>2435</v>
      </c>
    </row>
    <row r="300" spans="1:7" x14ac:dyDescent="0.25">
      <c r="A300" s="136" t="s">
        <v>329</v>
      </c>
      <c r="B300" s="136">
        <v>13</v>
      </c>
      <c r="C300" s="145">
        <v>4227</v>
      </c>
      <c r="D300" s="136">
        <v>2</v>
      </c>
      <c r="E300" s="144">
        <v>1039</v>
      </c>
      <c r="F300" s="136">
        <v>81</v>
      </c>
      <c r="G300" s="145">
        <v>5362</v>
      </c>
    </row>
    <row r="301" spans="1:7" x14ac:dyDescent="0.25">
      <c r="A301" s="136" t="s">
        <v>330</v>
      </c>
      <c r="B301" s="136">
        <v>27</v>
      </c>
      <c r="C301" s="145">
        <v>7246</v>
      </c>
      <c r="D301" s="136">
        <v>6</v>
      </c>
      <c r="E301" s="144">
        <v>1584</v>
      </c>
      <c r="F301" s="136">
        <v>165</v>
      </c>
      <c r="G301" s="145">
        <v>9028</v>
      </c>
    </row>
    <row r="302" spans="1:7" x14ac:dyDescent="0.25">
      <c r="A302" s="136" t="s">
        <v>331</v>
      </c>
      <c r="B302" s="136">
        <v>12</v>
      </c>
      <c r="C302" s="145">
        <v>4318</v>
      </c>
      <c r="D302" s="136">
        <v>1</v>
      </c>
      <c r="E302">
        <v>899</v>
      </c>
      <c r="F302" s="136">
        <v>115</v>
      </c>
      <c r="G302" s="145">
        <v>5345</v>
      </c>
    </row>
    <row r="303" spans="1:7" x14ac:dyDescent="0.25">
      <c r="A303" s="136" t="s">
        <v>332</v>
      </c>
      <c r="B303" s="136">
        <v>18</v>
      </c>
      <c r="C303" s="145">
        <v>10264</v>
      </c>
      <c r="D303" s="136">
        <v>4</v>
      </c>
      <c r="E303" s="144">
        <v>1970</v>
      </c>
      <c r="F303" s="136">
        <v>286</v>
      </c>
      <c r="G303" s="145">
        <v>12542</v>
      </c>
    </row>
    <row r="304" spans="1:7" x14ac:dyDescent="0.25">
      <c r="A304" s="136" t="s">
        <v>25</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2"/>
    </row>
    <row r="306" spans="1:7" x14ac:dyDescent="0.25">
      <c r="A306" s="136"/>
      <c r="B306" s="146"/>
      <c r="C306" s="146"/>
      <c r="D306" s="146"/>
      <c r="E306" s="146"/>
      <c r="F306" s="143"/>
    </row>
    <row r="308" spans="1:7" ht="45" x14ac:dyDescent="0.25">
      <c r="A308" s="136" t="s">
        <v>333</v>
      </c>
      <c r="B308" s="153"/>
      <c r="C308" s="153"/>
      <c r="D308" s="153"/>
      <c r="E308" s="154"/>
    </row>
    <row r="309" spans="1:7" x14ac:dyDescent="0.25">
      <c r="A309" s="136"/>
      <c r="B309" s="136"/>
      <c r="C309" s="136"/>
      <c r="E309" s="142"/>
    </row>
    <row r="310" spans="1:7" x14ac:dyDescent="0.25">
      <c r="A310" s="136"/>
      <c r="B310" s="136"/>
      <c r="C310" s="136"/>
      <c r="D310" s="153"/>
      <c r="E310" s="153"/>
      <c r="F310" s="153"/>
      <c r="G310" s="154"/>
    </row>
    <row r="311" spans="1:7" ht="30" x14ac:dyDescent="0.25">
      <c r="A311" s="136"/>
      <c r="B311" s="136"/>
      <c r="C311" s="136" t="s">
        <v>500</v>
      </c>
      <c r="D311" s="136"/>
      <c r="G311" s="142"/>
    </row>
    <row r="312" spans="1:7" x14ac:dyDescent="0.25">
      <c r="A312" s="136" t="s">
        <v>126</v>
      </c>
      <c r="B312" s="136" t="s">
        <v>479</v>
      </c>
      <c r="C312" s="136" t="s">
        <v>480</v>
      </c>
      <c r="D312" s="136" t="s">
        <v>481</v>
      </c>
      <c r="E312" t="s">
        <v>482</v>
      </c>
      <c r="F312" s="136" t="s">
        <v>25</v>
      </c>
      <c r="G312" s="142"/>
    </row>
    <row r="313" spans="1:7" x14ac:dyDescent="0.25">
      <c r="A313" s="136"/>
      <c r="B313" s="136"/>
      <c r="C313" s="136"/>
      <c r="G313" s="142"/>
    </row>
    <row r="314" spans="1:7" x14ac:dyDescent="0.25">
      <c r="A314" s="136" t="s">
        <v>334</v>
      </c>
      <c r="B314" s="136">
        <v>15</v>
      </c>
      <c r="C314" s="145">
        <v>7617</v>
      </c>
      <c r="D314" s="136">
        <v>7</v>
      </c>
      <c r="E314" s="144">
        <v>1476</v>
      </c>
      <c r="F314" s="145">
        <v>9277</v>
      </c>
      <c r="G314" s="142"/>
    </row>
    <row r="315" spans="1:7" x14ac:dyDescent="0.25">
      <c r="A315" s="136" t="s">
        <v>335</v>
      </c>
      <c r="B315" s="136">
        <v>17</v>
      </c>
      <c r="C315" s="145">
        <v>5174</v>
      </c>
      <c r="D315" s="136">
        <v>2</v>
      </c>
      <c r="E315">
        <v>959</v>
      </c>
      <c r="F315" s="145">
        <v>6285</v>
      </c>
      <c r="G315" s="142"/>
    </row>
    <row r="316" spans="1:7" x14ac:dyDescent="0.25">
      <c r="A316" s="136" t="s">
        <v>336</v>
      </c>
      <c r="B316" s="136">
        <v>16</v>
      </c>
      <c r="C316" s="145">
        <v>7188</v>
      </c>
      <c r="D316" s="136">
        <v>8</v>
      </c>
      <c r="E316" s="144">
        <v>1675</v>
      </c>
      <c r="F316" s="145">
        <v>9051</v>
      </c>
      <c r="G316" s="142"/>
    </row>
    <row r="317" spans="1:7" x14ac:dyDescent="0.25">
      <c r="A317" s="136" t="s">
        <v>337</v>
      </c>
      <c r="B317" s="136">
        <v>1</v>
      </c>
      <c r="C317" s="136">
        <v>540</v>
      </c>
      <c r="E317" s="136">
        <v>90</v>
      </c>
      <c r="F317" s="136">
        <v>647</v>
      </c>
      <c r="G317" s="142"/>
    </row>
    <row r="318" spans="1:7" x14ac:dyDescent="0.25">
      <c r="A318" s="136" t="s">
        <v>338</v>
      </c>
      <c r="B318" s="136">
        <v>9</v>
      </c>
      <c r="C318" s="145">
        <v>2331</v>
      </c>
      <c r="D318" s="136">
        <v>1</v>
      </c>
      <c r="E318">
        <v>386</v>
      </c>
      <c r="F318" s="145">
        <v>2768</v>
      </c>
      <c r="G318" s="142"/>
    </row>
    <row r="319" spans="1:7" x14ac:dyDescent="0.25">
      <c r="A319" s="136" t="s">
        <v>339</v>
      </c>
      <c r="B319" s="136">
        <v>2</v>
      </c>
      <c r="C319" s="136">
        <v>711</v>
      </c>
      <c r="D319" s="136">
        <v>1</v>
      </c>
      <c r="E319">
        <v>116</v>
      </c>
      <c r="F319" s="136">
        <v>846</v>
      </c>
      <c r="G319" s="142"/>
    </row>
    <row r="320" spans="1:7" ht="30" x14ac:dyDescent="0.25">
      <c r="A320" s="136" t="s">
        <v>340</v>
      </c>
      <c r="B320" s="136">
        <v>1</v>
      </c>
      <c r="C320" s="136">
        <v>675</v>
      </c>
      <c r="E320" s="136">
        <v>110</v>
      </c>
      <c r="F320" s="136">
        <v>802</v>
      </c>
      <c r="G320" s="142"/>
    </row>
    <row r="321" spans="1:7" x14ac:dyDescent="0.25">
      <c r="A321" s="136" t="s">
        <v>341</v>
      </c>
      <c r="B321" s="136">
        <v>4</v>
      </c>
      <c r="C321" s="145">
        <v>1923</v>
      </c>
      <c r="D321" s="136">
        <v>3</v>
      </c>
      <c r="E321">
        <v>322</v>
      </c>
      <c r="F321" s="145">
        <v>2306</v>
      </c>
      <c r="G321" s="142"/>
    </row>
    <row r="322" spans="1:7" x14ac:dyDescent="0.25">
      <c r="A322" s="136" t="s">
        <v>342</v>
      </c>
      <c r="B322" s="136">
        <v>12</v>
      </c>
      <c r="C322" s="145">
        <v>2347</v>
      </c>
      <c r="E322" s="136">
        <v>468</v>
      </c>
      <c r="F322" s="145">
        <v>2879</v>
      </c>
      <c r="G322" s="142"/>
    </row>
    <row r="323" spans="1:7" x14ac:dyDescent="0.25">
      <c r="A323" s="136" t="s">
        <v>343</v>
      </c>
      <c r="B323" s="136">
        <v>8</v>
      </c>
      <c r="C323" s="145">
        <v>3125</v>
      </c>
      <c r="D323" s="136">
        <v>2</v>
      </c>
      <c r="E323">
        <v>583</v>
      </c>
      <c r="F323" s="145">
        <v>3791</v>
      </c>
      <c r="G323" s="142"/>
    </row>
    <row r="324" spans="1:7" x14ac:dyDescent="0.25">
      <c r="A324" s="136" t="s">
        <v>344</v>
      </c>
      <c r="B324" s="136">
        <v>1</v>
      </c>
      <c r="C324" s="136">
        <v>410</v>
      </c>
      <c r="E324" s="136">
        <v>57</v>
      </c>
      <c r="F324" s="136">
        <v>479</v>
      </c>
      <c r="G324" s="142"/>
    </row>
    <row r="325" spans="1:7" x14ac:dyDescent="0.25">
      <c r="A325" s="136" t="s">
        <v>345</v>
      </c>
      <c r="B325" s="136">
        <v>5</v>
      </c>
      <c r="C325" s="145">
        <v>1234</v>
      </c>
      <c r="E325" s="136">
        <v>289</v>
      </c>
      <c r="F325" s="145">
        <v>1567</v>
      </c>
      <c r="G325" s="142"/>
    </row>
    <row r="326" spans="1:7" ht="30" x14ac:dyDescent="0.25">
      <c r="A326" s="136" t="s">
        <v>346</v>
      </c>
      <c r="B326" s="136">
        <v>6</v>
      </c>
      <c r="C326" s="145">
        <v>3044</v>
      </c>
      <c r="D326" s="136">
        <v>1</v>
      </c>
      <c r="E326">
        <v>704</v>
      </c>
      <c r="F326" s="145">
        <v>3820</v>
      </c>
      <c r="G326" s="142"/>
    </row>
    <row r="327" spans="1:7" ht="30" x14ac:dyDescent="0.25">
      <c r="A327" s="136" t="s">
        <v>347</v>
      </c>
      <c r="B327" s="136">
        <v>8</v>
      </c>
      <c r="C327" s="145">
        <v>3285</v>
      </c>
      <c r="D327" s="136">
        <v>1</v>
      </c>
      <c r="E327">
        <v>846</v>
      </c>
      <c r="F327" s="145">
        <v>4215</v>
      </c>
      <c r="G327" s="142"/>
    </row>
    <row r="328" spans="1:7" x14ac:dyDescent="0.25">
      <c r="A328" s="136" t="s">
        <v>348</v>
      </c>
      <c r="B328" s="136">
        <v>12</v>
      </c>
      <c r="C328" s="145">
        <v>2909</v>
      </c>
      <c r="D328" s="136">
        <v>1</v>
      </c>
      <c r="E328">
        <v>602</v>
      </c>
      <c r="F328" s="145">
        <v>3603</v>
      </c>
      <c r="G328" s="142"/>
    </row>
    <row r="329" spans="1:7" x14ac:dyDescent="0.25">
      <c r="A329" s="136" t="s">
        <v>349</v>
      </c>
      <c r="B329" s="136">
        <v>91</v>
      </c>
      <c r="C329" s="145">
        <v>29501</v>
      </c>
      <c r="D329" s="136">
        <v>5</v>
      </c>
      <c r="E329" s="144">
        <v>4407</v>
      </c>
      <c r="F329" s="145">
        <v>34740</v>
      </c>
      <c r="G329" s="142"/>
    </row>
    <row r="330" spans="1:7" x14ac:dyDescent="0.25">
      <c r="A330" s="136" t="s">
        <v>350</v>
      </c>
      <c r="B330" s="136">
        <v>2</v>
      </c>
      <c r="C330" s="136">
        <v>405</v>
      </c>
      <c r="D330" s="136">
        <v>1</v>
      </c>
      <c r="E330">
        <v>65</v>
      </c>
      <c r="F330" s="136">
        <v>482</v>
      </c>
      <c r="G330" s="142"/>
    </row>
    <row r="331" spans="1:7" ht="30" x14ac:dyDescent="0.25">
      <c r="A331" s="136" t="s">
        <v>351</v>
      </c>
      <c r="B331" s="136">
        <v>83</v>
      </c>
      <c r="C331" s="145">
        <v>30044</v>
      </c>
      <c r="D331" s="136">
        <v>11</v>
      </c>
      <c r="E331" s="144">
        <v>5777</v>
      </c>
      <c r="F331" s="145">
        <v>36694</v>
      </c>
      <c r="G331" s="142"/>
    </row>
    <row r="332" spans="1:7" ht="30" x14ac:dyDescent="0.25">
      <c r="A332" s="136" t="s">
        <v>352</v>
      </c>
      <c r="B332" s="136">
        <v>1</v>
      </c>
      <c r="C332" s="145">
        <v>1477</v>
      </c>
      <c r="E332" s="136">
        <v>248</v>
      </c>
      <c r="F332" s="145">
        <v>1766</v>
      </c>
      <c r="G332" s="142"/>
    </row>
    <row r="333" spans="1:7" ht="30" x14ac:dyDescent="0.25">
      <c r="A333" s="136" t="s">
        <v>353</v>
      </c>
      <c r="B333" s="136">
        <v>12</v>
      </c>
      <c r="C333" s="145">
        <v>5493</v>
      </c>
      <c r="D333" s="136">
        <v>6</v>
      </c>
      <c r="E333" s="144">
        <v>1168</v>
      </c>
      <c r="F333" s="145">
        <v>6845</v>
      </c>
      <c r="G333" s="142"/>
    </row>
    <row r="334" spans="1:7" ht="30" x14ac:dyDescent="0.25">
      <c r="A334" s="136" t="s">
        <v>354</v>
      </c>
      <c r="B334" s="136">
        <v>5</v>
      </c>
      <c r="C334" s="136">
        <v>717</v>
      </c>
      <c r="E334" s="136">
        <v>171</v>
      </c>
      <c r="F334" s="136">
        <v>906</v>
      </c>
      <c r="G334" s="142"/>
    </row>
    <row r="335" spans="1:7" ht="30" x14ac:dyDescent="0.25">
      <c r="A335" s="136" t="s">
        <v>355</v>
      </c>
      <c r="B335" s="136">
        <v>14</v>
      </c>
      <c r="C335" s="145">
        <v>4588</v>
      </c>
      <c r="E335" s="136">
        <v>603</v>
      </c>
      <c r="F335" s="145">
        <v>5321</v>
      </c>
      <c r="G335" s="142"/>
    </row>
    <row r="336" spans="1:7" x14ac:dyDescent="0.25">
      <c r="A336" s="136" t="s">
        <v>356</v>
      </c>
      <c r="B336" s="136">
        <v>4</v>
      </c>
      <c r="C336" s="145">
        <v>2166</v>
      </c>
      <c r="D336" s="136">
        <v>1</v>
      </c>
      <c r="E336">
        <v>380</v>
      </c>
      <c r="F336" s="145">
        <v>2617</v>
      </c>
      <c r="G336" s="142"/>
    </row>
    <row r="337" spans="1:7" x14ac:dyDescent="0.25">
      <c r="A337" s="136" t="s">
        <v>357</v>
      </c>
      <c r="B337" s="136">
        <v>4</v>
      </c>
      <c r="C337" s="136">
        <v>884</v>
      </c>
      <c r="D337" s="136">
        <v>1</v>
      </c>
      <c r="E337">
        <v>119</v>
      </c>
      <c r="F337" s="145">
        <v>1025</v>
      </c>
      <c r="G337" s="142"/>
    </row>
    <row r="338" spans="1:7" x14ac:dyDescent="0.25">
      <c r="A338" s="136" t="s">
        <v>358</v>
      </c>
      <c r="B338" s="136">
        <v>10</v>
      </c>
      <c r="C338" s="145">
        <v>3070</v>
      </c>
      <c r="D338" s="136">
        <v>2</v>
      </c>
      <c r="E338">
        <v>592</v>
      </c>
      <c r="F338" s="145">
        <v>3771</v>
      </c>
      <c r="G338" s="142"/>
    </row>
    <row r="339" spans="1:7" x14ac:dyDescent="0.25">
      <c r="A339" s="136" t="s">
        <v>359</v>
      </c>
      <c r="B339" s="136">
        <v>2</v>
      </c>
      <c r="C339" s="145">
        <v>1388</v>
      </c>
      <c r="D339" s="136">
        <v>1</v>
      </c>
      <c r="E339" s="144">
        <v>254</v>
      </c>
      <c r="F339" s="145">
        <v>1671</v>
      </c>
      <c r="G339" s="142"/>
    </row>
    <row r="340" spans="1:7" x14ac:dyDescent="0.25">
      <c r="A340" s="136" t="s">
        <v>360</v>
      </c>
      <c r="B340" s="136">
        <v>6</v>
      </c>
      <c r="C340" s="145">
        <v>1458</v>
      </c>
      <c r="D340" s="136">
        <v>1</v>
      </c>
      <c r="E340">
        <v>366</v>
      </c>
      <c r="F340" s="145">
        <v>1867</v>
      </c>
      <c r="G340" s="142"/>
    </row>
    <row r="341" spans="1:7" x14ac:dyDescent="0.25">
      <c r="A341" s="136" t="s">
        <v>361</v>
      </c>
      <c r="B341" s="136">
        <v>14</v>
      </c>
      <c r="C341" s="145">
        <v>2959</v>
      </c>
      <c r="D341" s="136">
        <v>2</v>
      </c>
      <c r="E341">
        <v>426</v>
      </c>
      <c r="F341" s="145">
        <v>3465</v>
      </c>
      <c r="G341" s="142"/>
    </row>
    <row r="342" spans="1:7" ht="45" x14ac:dyDescent="0.25">
      <c r="A342" s="136" t="s">
        <v>362</v>
      </c>
      <c r="B342" s="136">
        <v>9</v>
      </c>
      <c r="C342" s="145">
        <v>1697</v>
      </c>
      <c r="E342" s="136">
        <v>292</v>
      </c>
      <c r="F342" s="145">
        <v>2052</v>
      </c>
    </row>
    <row r="343" spans="1:7" x14ac:dyDescent="0.25">
      <c r="A343" s="136" t="s">
        <v>363</v>
      </c>
      <c r="B343" s="136">
        <v>8</v>
      </c>
      <c r="C343" s="145">
        <v>2247</v>
      </c>
      <c r="D343" s="136">
        <v>1</v>
      </c>
      <c r="E343" s="144">
        <v>300</v>
      </c>
      <c r="F343" s="145">
        <v>2627</v>
      </c>
      <c r="G343" s="142"/>
    </row>
    <row r="344" spans="1:7" x14ac:dyDescent="0.25">
      <c r="A344" s="136"/>
      <c r="G344" s="142"/>
    </row>
    <row r="345" spans="1:7" x14ac:dyDescent="0.25">
      <c r="A345" s="136" t="s">
        <v>25</v>
      </c>
      <c r="B345" s="137">
        <f>SUM(B314:B344)</f>
        <v>382</v>
      </c>
      <c r="C345" s="137">
        <f t="shared" ref="C345:F345" si="7">SUM(C314:C344)</f>
        <v>130607</v>
      </c>
      <c r="D345" s="137">
        <f t="shared" si="7"/>
        <v>59</v>
      </c>
      <c r="E345" s="137">
        <f t="shared" si="7"/>
        <v>23851</v>
      </c>
      <c r="F345" s="137">
        <f t="shared" si="7"/>
        <v>158185</v>
      </c>
      <c r="G345" s="142"/>
    </row>
    <row r="346" spans="1:7" x14ac:dyDescent="0.25">
      <c r="A346" s="136"/>
      <c r="B346" s="136"/>
      <c r="C346" s="136"/>
      <c r="D346" s="146"/>
      <c r="E346" s="146"/>
      <c r="F346" s="146"/>
      <c r="G346" s="143"/>
    </row>
    <row r="348" spans="1:7" ht="45" x14ac:dyDescent="0.25">
      <c r="A348" s="136" t="s">
        <v>501</v>
      </c>
      <c r="B348" s="136" t="s">
        <v>502</v>
      </c>
      <c r="C348" s="136">
        <v>11</v>
      </c>
      <c r="D348" s="153"/>
      <c r="E348" s="153"/>
      <c r="F348" s="154"/>
    </row>
    <row r="349" spans="1:7" x14ac:dyDescent="0.25">
      <c r="A349" s="136"/>
      <c r="B349" s="136"/>
      <c r="C349" s="136"/>
      <c r="D349" s="136"/>
      <c r="F349" s="142"/>
    </row>
    <row r="350" spans="1:7" ht="30" x14ac:dyDescent="0.25">
      <c r="A350" s="136"/>
      <c r="B350" s="136"/>
      <c r="C350" s="136" t="s">
        <v>500</v>
      </c>
      <c r="D350" s="136"/>
      <c r="F350" s="142"/>
    </row>
    <row r="351" spans="1:7" x14ac:dyDescent="0.25">
      <c r="A351" s="136" t="s">
        <v>126</v>
      </c>
      <c r="B351" s="136" t="s">
        <v>479</v>
      </c>
      <c r="C351" s="136" t="s">
        <v>480</v>
      </c>
      <c r="D351" s="136" t="s">
        <v>481</v>
      </c>
      <c r="E351" t="s">
        <v>482</v>
      </c>
      <c r="F351" s="136" t="s">
        <v>483</v>
      </c>
      <c r="G351" s="136" t="s">
        <v>25</v>
      </c>
    </row>
    <row r="352" spans="1:7" x14ac:dyDescent="0.25">
      <c r="A352" s="136"/>
      <c r="B352" s="136"/>
      <c r="C352" s="136"/>
      <c r="G352" s="142"/>
    </row>
    <row r="353" spans="1:7" ht="30" x14ac:dyDescent="0.25">
      <c r="A353" s="136" t="s">
        <v>364</v>
      </c>
      <c r="B353" s="136">
        <v>3</v>
      </c>
      <c r="C353" s="145">
        <v>1159</v>
      </c>
      <c r="D353" s="136">
        <v>1</v>
      </c>
      <c r="E353">
        <v>200</v>
      </c>
      <c r="F353" s="136">
        <v>33</v>
      </c>
      <c r="G353" s="145">
        <v>1396</v>
      </c>
    </row>
    <row r="354" spans="1:7" x14ac:dyDescent="0.25">
      <c r="A354" s="136" t="s">
        <v>365</v>
      </c>
      <c r="B354" s="136">
        <v>3</v>
      </c>
      <c r="C354" s="136">
        <v>644</v>
      </c>
      <c r="D354" s="136">
        <v>1</v>
      </c>
      <c r="E354">
        <v>143</v>
      </c>
      <c r="F354" s="136">
        <v>16</v>
      </c>
      <c r="G354" s="136">
        <v>807</v>
      </c>
    </row>
    <row r="355" spans="1:7" x14ac:dyDescent="0.25">
      <c r="A355" s="136" t="s">
        <v>366</v>
      </c>
      <c r="B355" s="136">
        <v>3</v>
      </c>
      <c r="C355" s="136">
        <v>473</v>
      </c>
      <c r="D355" s="136">
        <v>2</v>
      </c>
      <c r="E355">
        <v>89</v>
      </c>
      <c r="F355" s="136">
        <v>15</v>
      </c>
      <c r="G355" s="136">
        <v>582</v>
      </c>
    </row>
    <row r="356" spans="1:7" x14ac:dyDescent="0.25">
      <c r="A356" s="136" t="s">
        <v>367</v>
      </c>
      <c r="B356" s="136">
        <v>26</v>
      </c>
      <c r="C356" s="145">
        <v>7403</v>
      </c>
      <c r="D356" s="136">
        <v>4</v>
      </c>
      <c r="E356" s="144">
        <v>1966</v>
      </c>
      <c r="F356" s="136">
        <v>194</v>
      </c>
      <c r="G356" s="145">
        <v>9593</v>
      </c>
    </row>
    <row r="357" spans="1:7" x14ac:dyDescent="0.25">
      <c r="A357" s="136" t="s">
        <v>368</v>
      </c>
      <c r="B357" s="136"/>
      <c r="C357" s="136">
        <v>153</v>
      </c>
      <c r="E357" s="136">
        <v>27</v>
      </c>
      <c r="F357" s="136">
        <v>3</v>
      </c>
      <c r="G357" s="136">
        <v>183</v>
      </c>
    </row>
    <row r="358" spans="1:7" ht="30" x14ac:dyDescent="0.25">
      <c r="A358" s="136" t="s">
        <v>369</v>
      </c>
      <c r="B358" s="136"/>
      <c r="C358" s="136">
        <v>158</v>
      </c>
      <c r="E358" s="136">
        <v>17</v>
      </c>
      <c r="F358" s="136">
        <v>3</v>
      </c>
      <c r="G358" s="136">
        <v>178</v>
      </c>
    </row>
    <row r="359" spans="1:7" x14ac:dyDescent="0.25">
      <c r="A359" s="136" t="s">
        <v>370</v>
      </c>
      <c r="B359" s="136"/>
      <c r="C359" s="136">
        <v>44</v>
      </c>
      <c r="E359" s="136">
        <v>5</v>
      </c>
      <c r="F359" s="136">
        <v>1</v>
      </c>
      <c r="G359" s="136">
        <v>50</v>
      </c>
    </row>
    <row r="360" spans="1:7" ht="30" x14ac:dyDescent="0.25">
      <c r="A360" s="136" t="s">
        <v>371</v>
      </c>
      <c r="B360" s="136">
        <v>7</v>
      </c>
      <c r="C360" s="145">
        <v>3013</v>
      </c>
      <c r="D360" s="136">
        <v>3</v>
      </c>
      <c r="E360">
        <v>662</v>
      </c>
      <c r="F360" s="136">
        <v>54</v>
      </c>
      <c r="G360" s="145">
        <v>3739</v>
      </c>
    </row>
    <row r="361" spans="1:7" x14ac:dyDescent="0.25">
      <c r="A361" s="136" t="s">
        <v>496</v>
      </c>
      <c r="B361" s="136">
        <v>2</v>
      </c>
      <c r="C361" s="136">
        <v>469</v>
      </c>
      <c r="E361" s="136">
        <v>83</v>
      </c>
      <c r="F361" s="136">
        <v>13</v>
      </c>
      <c r="G361" s="136">
        <v>567</v>
      </c>
    </row>
    <row r="362" spans="1:7" x14ac:dyDescent="0.25">
      <c r="A362" s="136" t="s">
        <v>372</v>
      </c>
      <c r="B362" s="136"/>
      <c r="C362" s="136">
        <v>41</v>
      </c>
      <c r="E362" s="136">
        <v>7</v>
      </c>
      <c r="F362" s="136">
        <v>1</v>
      </c>
      <c r="G362" s="136">
        <v>49</v>
      </c>
    </row>
    <row r="363" spans="1:7" x14ac:dyDescent="0.25">
      <c r="A363" s="136" t="s">
        <v>25</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6"/>
      <c r="E364" s="146"/>
      <c r="F364" s="143"/>
    </row>
    <row r="368" spans="1:7" ht="45" x14ac:dyDescent="0.25">
      <c r="A368" s="136" t="s">
        <v>501</v>
      </c>
      <c r="B368" s="136" t="s">
        <v>502</v>
      </c>
      <c r="C368" s="136">
        <v>12</v>
      </c>
      <c r="D368" s="153"/>
      <c r="E368" s="153"/>
      <c r="F368" s="153"/>
      <c r="G368" s="154"/>
    </row>
    <row r="369" spans="1:9" x14ac:dyDescent="0.25">
      <c r="A369" s="136"/>
      <c r="B369" s="136"/>
      <c r="C369" s="136"/>
      <c r="D369" s="136"/>
      <c r="G369" s="142"/>
    </row>
    <row r="370" spans="1:9" x14ac:dyDescent="0.25">
      <c r="A370" s="136"/>
      <c r="B370" s="136"/>
      <c r="C370" s="136"/>
      <c r="D370" s="153"/>
      <c r="E370" s="153"/>
      <c r="F370" s="154"/>
      <c r="G370" s="142"/>
    </row>
    <row r="371" spans="1:9" ht="30" x14ac:dyDescent="0.25">
      <c r="A371" s="155"/>
      <c r="B371" s="155" t="s">
        <v>500</v>
      </c>
      <c r="C371" s="155"/>
      <c r="F371" s="142"/>
      <c r="G371" s="155"/>
    </row>
    <row r="372" spans="1:9" x14ac:dyDescent="0.25">
      <c r="A372" s="158" t="s">
        <v>126</v>
      </c>
      <c r="B372" s="158" t="s">
        <v>479</v>
      </c>
      <c r="C372" s="158" t="s">
        <v>480</v>
      </c>
      <c r="D372" s="158" t="s">
        <v>481</v>
      </c>
      <c r="E372" s="151" t="s">
        <v>482</v>
      </c>
      <c r="F372" s="158" t="s">
        <v>483</v>
      </c>
      <c r="G372" s="158" t="s">
        <v>25</v>
      </c>
    </row>
    <row r="373" spans="1:9" x14ac:dyDescent="0.25">
      <c r="A373" s="158"/>
      <c r="B373" s="158"/>
      <c r="C373" s="158"/>
      <c r="D373" s="151"/>
      <c r="E373" s="151"/>
      <c r="F373" s="151"/>
      <c r="G373" s="151"/>
      <c r="H373" s="157"/>
    </row>
    <row r="374" spans="1:9" ht="30" x14ac:dyDescent="0.25">
      <c r="A374" s="158" t="s">
        <v>373</v>
      </c>
      <c r="B374" s="158">
        <v>1</v>
      </c>
      <c r="C374" s="158">
        <v>101</v>
      </c>
      <c r="D374" s="151"/>
      <c r="E374" s="158">
        <v>33</v>
      </c>
      <c r="F374" s="158">
        <v>4</v>
      </c>
      <c r="G374" s="158">
        <v>139</v>
      </c>
    </row>
    <row r="375" spans="1:9" ht="30" x14ac:dyDescent="0.25">
      <c r="A375" s="158" t="s">
        <v>374</v>
      </c>
      <c r="C375" s="158">
        <v>4</v>
      </c>
      <c r="D375" s="151"/>
      <c r="E375" s="151"/>
      <c r="F375" s="151"/>
      <c r="G375" s="158">
        <v>4</v>
      </c>
    </row>
    <row r="376" spans="1:9" ht="30" x14ac:dyDescent="0.25">
      <c r="A376" s="158" t="s">
        <v>375</v>
      </c>
      <c r="C376" s="158">
        <v>19</v>
      </c>
      <c r="E376" s="158">
        <v>4</v>
      </c>
      <c r="F376" s="158">
        <v>2</v>
      </c>
      <c r="G376" s="158">
        <v>25</v>
      </c>
      <c r="H376" s="170"/>
    </row>
    <row r="377" spans="1:9" x14ac:dyDescent="0.25">
      <c r="A377" s="158" t="s">
        <v>376</v>
      </c>
      <c r="B377" s="158">
        <v>7</v>
      </c>
      <c r="C377" s="171">
        <v>4322</v>
      </c>
      <c r="D377" s="158">
        <v>7</v>
      </c>
      <c r="E377" s="151">
        <v>872</v>
      </c>
      <c r="F377" s="158">
        <v>107</v>
      </c>
      <c r="G377" s="174">
        <v>5315</v>
      </c>
      <c r="H377" s="170"/>
    </row>
    <row r="378" spans="1:9" x14ac:dyDescent="0.25">
      <c r="A378" s="158" t="s">
        <v>377</v>
      </c>
      <c r="B378" s="158">
        <v>3</v>
      </c>
      <c r="C378" s="158">
        <v>918</v>
      </c>
      <c r="E378" s="158">
        <v>182</v>
      </c>
      <c r="F378" s="158">
        <v>17</v>
      </c>
      <c r="G378" s="174">
        <v>1120</v>
      </c>
    </row>
    <row r="379" spans="1:9" ht="30" x14ac:dyDescent="0.25">
      <c r="A379" s="158" t="s">
        <v>378</v>
      </c>
      <c r="B379" s="158"/>
      <c r="C379" s="158">
        <v>65</v>
      </c>
      <c r="E379" s="158">
        <v>13</v>
      </c>
      <c r="F379" s="158">
        <v>2</v>
      </c>
      <c r="G379" s="175">
        <v>80</v>
      </c>
      <c r="I379" s="170"/>
    </row>
    <row r="380" spans="1:9" ht="30" x14ac:dyDescent="0.25">
      <c r="A380" s="158" t="s">
        <v>379</v>
      </c>
      <c r="B380" s="158">
        <v>71</v>
      </c>
      <c r="C380" s="171">
        <v>19979</v>
      </c>
      <c r="D380" s="158">
        <v>32</v>
      </c>
      <c r="E380" s="172">
        <v>4673</v>
      </c>
      <c r="F380" s="158">
        <v>454</v>
      </c>
      <c r="G380" s="174">
        <v>25209</v>
      </c>
    </row>
    <row r="381" spans="1:9" x14ac:dyDescent="0.25">
      <c r="A381" s="158" t="s">
        <v>380</v>
      </c>
      <c r="B381" s="158"/>
      <c r="C381" s="158">
        <v>15</v>
      </c>
      <c r="F381" s="158">
        <v>1</v>
      </c>
      <c r="G381" s="175">
        <v>16</v>
      </c>
    </row>
    <row r="382" spans="1:9" ht="30" x14ac:dyDescent="0.25">
      <c r="A382" s="158" t="s">
        <v>381</v>
      </c>
      <c r="B382" s="158"/>
      <c r="C382" s="158">
        <v>28</v>
      </c>
      <c r="E382" s="158">
        <v>7</v>
      </c>
      <c r="G382" s="175">
        <v>35</v>
      </c>
    </row>
    <row r="383" spans="1:9" x14ac:dyDescent="0.25">
      <c r="A383" s="158" t="s">
        <v>382</v>
      </c>
      <c r="B383" s="158"/>
      <c r="C383" s="158">
        <v>3</v>
      </c>
      <c r="D383" s="158"/>
      <c r="E383" s="158"/>
      <c r="F383" s="158">
        <v>1</v>
      </c>
      <c r="G383" s="175">
        <v>4</v>
      </c>
    </row>
    <row r="384" spans="1:9" ht="30" x14ac:dyDescent="0.25">
      <c r="A384" s="158" t="s">
        <v>383</v>
      </c>
      <c r="B384" s="158"/>
      <c r="C384" s="158">
        <v>4</v>
      </c>
      <c r="D384" s="158"/>
      <c r="E384" s="158">
        <v>2</v>
      </c>
      <c r="G384" s="175">
        <v>6</v>
      </c>
    </row>
    <row r="385" spans="1:8" x14ac:dyDescent="0.25">
      <c r="A385" s="158"/>
      <c r="B385" s="151"/>
      <c r="C385" s="151"/>
      <c r="D385" s="151"/>
      <c r="E385" s="151"/>
      <c r="F385" s="151"/>
      <c r="G385" s="152"/>
      <c r="H385" s="170"/>
    </row>
    <row r="386" spans="1:8" x14ac:dyDescent="0.25">
      <c r="A386" s="158" t="s">
        <v>25</v>
      </c>
      <c r="B386" s="173">
        <f>SUM(B374:B385)</f>
        <v>82</v>
      </c>
      <c r="C386" s="173">
        <f t="shared" ref="C386:G386" si="9">SUM(C374:C385)</f>
        <v>25458</v>
      </c>
      <c r="D386" s="173">
        <f t="shared" si="9"/>
        <v>39</v>
      </c>
      <c r="E386" s="173">
        <f t="shared" si="9"/>
        <v>5786</v>
      </c>
      <c r="F386" s="173">
        <f t="shared" si="9"/>
        <v>588</v>
      </c>
      <c r="G386" s="176">
        <f t="shared" si="9"/>
        <v>31953</v>
      </c>
    </row>
    <row r="387" spans="1:8" x14ac:dyDescent="0.25">
      <c r="A387" s="156"/>
      <c r="B387" s="156"/>
      <c r="C387" s="156"/>
      <c r="D387" s="146"/>
      <c r="E387" s="146"/>
      <c r="F387" s="143"/>
    </row>
    <row r="390" spans="1:8" ht="45" x14ac:dyDescent="0.25">
      <c r="A390" s="136" t="s">
        <v>384</v>
      </c>
      <c r="B390" s="153"/>
      <c r="C390" s="153"/>
      <c r="D390" s="153"/>
      <c r="E390" s="153"/>
      <c r="F390" s="154"/>
    </row>
    <row r="391" spans="1:8" x14ac:dyDescent="0.25">
      <c r="A391" s="136"/>
      <c r="B391" s="136"/>
      <c r="C391" s="136"/>
      <c r="F391" s="142"/>
    </row>
    <row r="392" spans="1:8" ht="30" x14ac:dyDescent="0.25">
      <c r="A392" s="136"/>
      <c r="B392" s="136" t="s">
        <v>500</v>
      </c>
      <c r="C392" s="136"/>
      <c r="F392" s="142"/>
    </row>
    <row r="393" spans="1:8" x14ac:dyDescent="0.25">
      <c r="A393" s="136" t="s">
        <v>126</v>
      </c>
      <c r="B393" s="136" t="s">
        <v>479</v>
      </c>
      <c r="C393" s="136" t="s">
        <v>480</v>
      </c>
      <c r="D393" s="136" t="s">
        <v>481</v>
      </c>
      <c r="E393" t="s">
        <v>482</v>
      </c>
      <c r="F393" s="136" t="s">
        <v>483</v>
      </c>
      <c r="G393" s="136" t="s">
        <v>25</v>
      </c>
    </row>
    <row r="394" spans="1:8" x14ac:dyDescent="0.25">
      <c r="A394" s="136"/>
      <c r="B394" s="136"/>
      <c r="C394" s="136"/>
      <c r="G394" s="142"/>
    </row>
    <row r="395" spans="1:8" x14ac:dyDescent="0.25">
      <c r="A395" s="136" t="s">
        <v>385</v>
      </c>
      <c r="B395" s="136">
        <v>1</v>
      </c>
      <c r="C395" s="136">
        <v>924</v>
      </c>
      <c r="D395" s="136">
        <v>1</v>
      </c>
      <c r="E395">
        <v>119</v>
      </c>
      <c r="F395" s="136">
        <v>21</v>
      </c>
      <c r="G395" s="145">
        <v>1066</v>
      </c>
    </row>
    <row r="396" spans="1:8" x14ac:dyDescent="0.25">
      <c r="A396" s="136" t="s">
        <v>386</v>
      </c>
      <c r="B396" s="136">
        <v>17</v>
      </c>
      <c r="C396" s="145">
        <v>12230</v>
      </c>
      <c r="D396" s="136">
        <v>9</v>
      </c>
      <c r="E396" s="144">
        <v>1993</v>
      </c>
      <c r="F396" s="136">
        <v>282</v>
      </c>
      <c r="G396" s="145">
        <v>14531</v>
      </c>
    </row>
    <row r="397" spans="1:8" ht="30" x14ac:dyDescent="0.25">
      <c r="A397" s="136" t="s">
        <v>387</v>
      </c>
      <c r="B397" s="136">
        <v>6</v>
      </c>
      <c r="C397" s="145">
        <v>2917</v>
      </c>
      <c r="D397" s="136">
        <v>1</v>
      </c>
      <c r="E397">
        <v>571</v>
      </c>
      <c r="F397" s="136">
        <v>86</v>
      </c>
      <c r="G397" s="145">
        <v>3581</v>
      </c>
    </row>
    <row r="398" spans="1:8" x14ac:dyDescent="0.25">
      <c r="A398" s="136" t="s">
        <v>388</v>
      </c>
      <c r="B398" s="136">
        <v>38</v>
      </c>
      <c r="C398" s="145">
        <v>13179</v>
      </c>
      <c r="D398" s="136">
        <v>5</v>
      </c>
      <c r="E398" s="144">
        <v>2692</v>
      </c>
      <c r="F398" s="136">
        <v>261</v>
      </c>
      <c r="G398" s="145">
        <v>16175</v>
      </c>
    </row>
    <row r="399" spans="1:8" ht="30" x14ac:dyDescent="0.25">
      <c r="A399" s="136" t="s">
        <v>389</v>
      </c>
      <c r="B399" s="136">
        <v>62</v>
      </c>
      <c r="C399" s="145">
        <v>25815</v>
      </c>
      <c r="D399" s="136">
        <v>11</v>
      </c>
      <c r="E399" s="144">
        <v>3671</v>
      </c>
      <c r="F399" s="136">
        <v>485</v>
      </c>
      <c r="G399" s="145">
        <v>30044</v>
      </c>
    </row>
    <row r="400" spans="1:8" x14ac:dyDescent="0.25">
      <c r="A400" s="136" t="s">
        <v>390</v>
      </c>
      <c r="B400" s="136">
        <v>29</v>
      </c>
      <c r="C400" s="145">
        <v>12648</v>
      </c>
      <c r="D400" s="136">
        <v>7</v>
      </c>
      <c r="E400" s="144">
        <v>2490</v>
      </c>
      <c r="F400" s="136">
        <v>406</v>
      </c>
      <c r="G400" s="145">
        <v>15580</v>
      </c>
    </row>
    <row r="401" spans="1:7" x14ac:dyDescent="0.25">
      <c r="A401" s="136" t="s">
        <v>391</v>
      </c>
      <c r="B401" s="136">
        <v>66</v>
      </c>
      <c r="C401" s="145">
        <v>25984</v>
      </c>
      <c r="D401" s="136">
        <v>9</v>
      </c>
      <c r="E401" s="144">
        <v>4636</v>
      </c>
      <c r="F401" s="136">
        <v>488</v>
      </c>
      <c r="G401" s="145">
        <v>31183</v>
      </c>
    </row>
    <row r="402" spans="1:7" x14ac:dyDescent="0.25">
      <c r="A402" s="136" t="s">
        <v>392</v>
      </c>
      <c r="B402" s="136">
        <v>4</v>
      </c>
      <c r="C402" s="145">
        <v>5170</v>
      </c>
      <c r="D402" s="136">
        <v>1</v>
      </c>
      <c r="E402">
        <v>887</v>
      </c>
      <c r="F402" s="136">
        <v>158</v>
      </c>
      <c r="G402" s="145">
        <v>6220</v>
      </c>
    </row>
    <row r="403" spans="1:7" x14ac:dyDescent="0.25">
      <c r="A403" s="136" t="s">
        <v>393</v>
      </c>
      <c r="B403" s="136">
        <v>60</v>
      </c>
      <c r="C403" s="145">
        <v>28734</v>
      </c>
      <c r="D403" s="136">
        <v>22</v>
      </c>
      <c r="E403" s="144">
        <v>4750</v>
      </c>
      <c r="F403" s="136">
        <v>584</v>
      </c>
      <c r="G403" s="145">
        <v>34150</v>
      </c>
    </row>
    <row r="404" spans="1:7" x14ac:dyDescent="0.25">
      <c r="A404" s="136" t="s">
        <v>394</v>
      </c>
      <c r="B404" s="136">
        <v>16</v>
      </c>
      <c r="C404" s="145">
        <v>5174</v>
      </c>
      <c r="D404" s="136">
        <v>2</v>
      </c>
      <c r="E404">
        <v>822</v>
      </c>
      <c r="F404" s="136">
        <v>144</v>
      </c>
      <c r="G404" s="145">
        <v>6158</v>
      </c>
    </row>
    <row r="405" spans="1:7" ht="30" x14ac:dyDescent="0.25">
      <c r="A405" s="136" t="s">
        <v>395</v>
      </c>
      <c r="B405" s="136">
        <v>58</v>
      </c>
      <c r="C405" s="145">
        <v>24111</v>
      </c>
      <c r="D405" s="136">
        <v>18</v>
      </c>
      <c r="E405" s="144">
        <v>4393</v>
      </c>
      <c r="F405" s="136">
        <v>550</v>
      </c>
      <c r="G405" s="145">
        <v>29130</v>
      </c>
    </row>
    <row r="406" spans="1:7" ht="30" x14ac:dyDescent="0.25">
      <c r="A406" s="136" t="s">
        <v>396</v>
      </c>
      <c r="B406" s="136">
        <v>39</v>
      </c>
      <c r="C406" s="145">
        <v>12333</v>
      </c>
      <c r="D406" s="136">
        <v>7</v>
      </c>
      <c r="E406" s="144">
        <v>2733</v>
      </c>
      <c r="F406" s="136">
        <v>301</v>
      </c>
      <c r="G406" s="145">
        <v>15413</v>
      </c>
    </row>
    <row r="407" spans="1:7" ht="30" x14ac:dyDescent="0.25">
      <c r="A407" s="136" t="s">
        <v>397</v>
      </c>
      <c r="B407" s="136">
        <v>33</v>
      </c>
      <c r="C407" s="145">
        <v>14458</v>
      </c>
      <c r="D407" s="136">
        <v>11</v>
      </c>
      <c r="E407" s="144">
        <v>2637</v>
      </c>
      <c r="F407" s="136">
        <v>377</v>
      </c>
      <c r="G407" s="145">
        <v>17516</v>
      </c>
    </row>
    <row r="408" spans="1:7" ht="30" x14ac:dyDescent="0.25">
      <c r="A408" s="136" t="s">
        <v>398</v>
      </c>
      <c r="B408" s="136">
        <v>7</v>
      </c>
      <c r="C408" s="145">
        <v>5267</v>
      </c>
      <c r="D408" s="136">
        <v>2</v>
      </c>
      <c r="E408">
        <v>771</v>
      </c>
      <c r="F408" s="136">
        <v>127</v>
      </c>
      <c r="G408" s="145">
        <v>6174</v>
      </c>
    </row>
    <row r="409" spans="1:7" ht="30" x14ac:dyDescent="0.25">
      <c r="A409" s="136" t="s">
        <v>399</v>
      </c>
      <c r="B409" s="136">
        <v>40</v>
      </c>
      <c r="C409" s="145">
        <v>16217</v>
      </c>
      <c r="D409" s="136">
        <v>5</v>
      </c>
      <c r="E409" s="144">
        <v>2774</v>
      </c>
      <c r="F409" s="136">
        <v>315</v>
      </c>
      <c r="G409" s="145">
        <v>19351</v>
      </c>
    </row>
    <row r="410" spans="1:7" x14ac:dyDescent="0.25">
      <c r="A410" s="136" t="s">
        <v>400</v>
      </c>
      <c r="B410" s="136">
        <v>143</v>
      </c>
      <c r="C410" s="145">
        <v>60425</v>
      </c>
      <c r="D410" s="136">
        <v>33</v>
      </c>
      <c r="E410" s="144">
        <v>13569</v>
      </c>
      <c r="F410" s="145">
        <v>1419</v>
      </c>
      <c r="G410" s="145">
        <v>75589</v>
      </c>
    </row>
    <row r="411" spans="1:7" x14ac:dyDescent="0.25">
      <c r="A411" s="136" t="s">
        <v>401</v>
      </c>
      <c r="B411" s="136">
        <v>56</v>
      </c>
      <c r="C411" s="145">
        <v>22154</v>
      </c>
      <c r="D411" s="136">
        <v>8</v>
      </c>
      <c r="E411" s="144">
        <v>3556</v>
      </c>
      <c r="F411" s="136">
        <v>449</v>
      </c>
      <c r="G411" s="145">
        <v>26223</v>
      </c>
    </row>
    <row r="412" spans="1:7" ht="30" x14ac:dyDescent="0.25">
      <c r="A412" s="136" t="s">
        <v>402</v>
      </c>
      <c r="B412" s="136">
        <v>74</v>
      </c>
      <c r="C412" s="145">
        <v>28470</v>
      </c>
      <c r="D412" s="136">
        <v>6</v>
      </c>
      <c r="E412" s="144">
        <v>3852</v>
      </c>
      <c r="F412" s="136">
        <v>642</v>
      </c>
      <c r="G412" s="145">
        <v>33044</v>
      </c>
    </row>
    <row r="413" spans="1:7" x14ac:dyDescent="0.25">
      <c r="A413" s="136" t="s">
        <v>403</v>
      </c>
      <c r="B413" s="136">
        <v>18</v>
      </c>
      <c r="C413" s="145">
        <v>10581</v>
      </c>
      <c r="D413" s="136">
        <v>3</v>
      </c>
      <c r="E413" s="144">
        <v>2744</v>
      </c>
      <c r="F413" s="136">
        <v>327</v>
      </c>
      <c r="G413" s="145">
        <v>13673</v>
      </c>
    </row>
    <row r="414" spans="1:7" x14ac:dyDescent="0.25">
      <c r="A414" s="136" t="s">
        <v>404</v>
      </c>
      <c r="B414" s="136">
        <v>22</v>
      </c>
      <c r="C414" s="145">
        <v>8601</v>
      </c>
      <c r="D414" s="136">
        <v>4</v>
      </c>
      <c r="E414" s="144">
        <v>1394</v>
      </c>
      <c r="F414" s="136">
        <v>378</v>
      </c>
      <c r="G414" s="145">
        <v>10399</v>
      </c>
    </row>
    <row r="415" spans="1:7" ht="30" x14ac:dyDescent="0.25">
      <c r="A415" s="136" t="s">
        <v>405</v>
      </c>
      <c r="B415" s="136">
        <v>47</v>
      </c>
      <c r="C415" s="145">
        <v>25934</v>
      </c>
      <c r="D415" s="136">
        <v>19</v>
      </c>
      <c r="E415" s="144">
        <v>11809</v>
      </c>
      <c r="F415" s="136">
        <v>995</v>
      </c>
      <c r="G415" s="145">
        <v>38804</v>
      </c>
    </row>
    <row r="416" spans="1:7" ht="45" x14ac:dyDescent="0.25">
      <c r="A416" s="136" t="s">
        <v>406</v>
      </c>
      <c r="B416" s="136">
        <v>13</v>
      </c>
      <c r="C416" s="145">
        <v>5898</v>
      </c>
      <c r="D416" s="136">
        <v>3</v>
      </c>
      <c r="E416" s="144">
        <v>1373</v>
      </c>
      <c r="F416" s="136">
        <v>225</v>
      </c>
      <c r="G416" s="145">
        <v>7512</v>
      </c>
    </row>
    <row r="417" spans="1:7" x14ac:dyDescent="0.25">
      <c r="A417" s="136" t="s">
        <v>407</v>
      </c>
      <c r="B417" s="136">
        <v>66</v>
      </c>
      <c r="C417" s="145">
        <v>19232</v>
      </c>
      <c r="D417" s="136">
        <v>7</v>
      </c>
      <c r="E417" s="144">
        <v>2796</v>
      </c>
      <c r="F417" s="136">
        <v>398</v>
      </c>
      <c r="G417" s="145">
        <v>22499</v>
      </c>
    </row>
    <row r="418" spans="1:7" x14ac:dyDescent="0.25">
      <c r="A418" s="136" t="s">
        <v>408</v>
      </c>
      <c r="B418" s="136">
        <v>56</v>
      </c>
      <c r="C418" s="145">
        <v>19634</v>
      </c>
      <c r="D418" s="136">
        <v>8</v>
      </c>
      <c r="E418" s="144">
        <v>3323</v>
      </c>
      <c r="F418" s="136">
        <v>387</v>
      </c>
      <c r="G418" s="145">
        <v>23408</v>
      </c>
    </row>
    <row r="419" spans="1:7" x14ac:dyDescent="0.25">
      <c r="A419" s="136" t="s">
        <v>409</v>
      </c>
      <c r="B419" s="136">
        <v>39</v>
      </c>
      <c r="C419" s="145">
        <v>20899</v>
      </c>
      <c r="D419" s="136">
        <v>11</v>
      </c>
      <c r="E419" s="144">
        <v>3948</v>
      </c>
      <c r="F419" s="136">
        <v>426</v>
      </c>
      <c r="G419" s="145">
        <v>25323</v>
      </c>
    </row>
    <row r="420" spans="1:7" x14ac:dyDescent="0.25">
      <c r="A420" s="136" t="s">
        <v>410</v>
      </c>
      <c r="B420" s="136">
        <v>181</v>
      </c>
      <c r="C420" s="145">
        <v>72617</v>
      </c>
      <c r="D420" s="136">
        <v>61</v>
      </c>
      <c r="E420" s="144">
        <v>16053</v>
      </c>
      <c r="F420" s="145">
        <v>1674</v>
      </c>
      <c r="G420" s="145">
        <v>90586</v>
      </c>
    </row>
    <row r="421" spans="1:7" ht="30" x14ac:dyDescent="0.25">
      <c r="A421" s="136" t="s">
        <v>411</v>
      </c>
      <c r="B421" s="136">
        <v>8</v>
      </c>
      <c r="C421" s="145">
        <v>2095</v>
      </c>
      <c r="E421" s="136">
        <v>515</v>
      </c>
      <c r="F421" s="136">
        <v>49</v>
      </c>
      <c r="G421" s="145">
        <v>2667</v>
      </c>
    </row>
    <row r="422" spans="1:7" x14ac:dyDescent="0.25">
      <c r="A422" s="136" t="s">
        <v>412</v>
      </c>
      <c r="B422" s="136">
        <v>54</v>
      </c>
      <c r="C422" s="145">
        <v>21093</v>
      </c>
      <c r="D422" s="136">
        <v>13</v>
      </c>
      <c r="E422" s="144">
        <v>3862</v>
      </c>
      <c r="F422" s="136">
        <v>467</v>
      </c>
      <c r="G422" s="145">
        <v>25489</v>
      </c>
    </row>
    <row r="423" spans="1:7" ht="30" x14ac:dyDescent="0.25">
      <c r="A423" s="136" t="s">
        <v>413</v>
      </c>
      <c r="B423" s="136">
        <v>20</v>
      </c>
      <c r="C423" s="145">
        <v>8171</v>
      </c>
      <c r="D423" s="136">
        <v>2</v>
      </c>
      <c r="E423" s="144">
        <v>1386</v>
      </c>
      <c r="F423" s="136">
        <v>233</v>
      </c>
      <c r="G423" s="145">
        <v>9812</v>
      </c>
    </row>
    <row r="424" spans="1:7" x14ac:dyDescent="0.25">
      <c r="A424" s="136" t="s">
        <v>414</v>
      </c>
      <c r="B424" s="136">
        <v>24</v>
      </c>
      <c r="C424" s="145">
        <v>9511</v>
      </c>
      <c r="D424" s="136">
        <v>2</v>
      </c>
      <c r="E424" s="144">
        <v>1446</v>
      </c>
      <c r="F424" s="136">
        <v>258</v>
      </c>
      <c r="G424" s="145">
        <v>11241</v>
      </c>
    </row>
    <row r="425" spans="1:7" ht="45" x14ac:dyDescent="0.25">
      <c r="A425" s="136" t="s">
        <v>415</v>
      </c>
      <c r="B425" s="136">
        <v>49</v>
      </c>
      <c r="C425" s="145">
        <v>22381</v>
      </c>
      <c r="D425" s="136">
        <v>17</v>
      </c>
      <c r="E425" s="144">
        <v>3608</v>
      </c>
      <c r="F425" s="136">
        <v>479</v>
      </c>
      <c r="G425" s="145">
        <v>26534</v>
      </c>
    </row>
    <row r="426" spans="1:7" x14ac:dyDescent="0.25">
      <c r="A426" s="136" t="s">
        <v>497</v>
      </c>
      <c r="B426" s="136">
        <v>22</v>
      </c>
      <c r="C426" s="145">
        <v>13162</v>
      </c>
      <c r="D426" s="136">
        <v>7</v>
      </c>
      <c r="E426" s="144">
        <v>2639</v>
      </c>
      <c r="F426" s="136">
        <v>275</v>
      </c>
      <c r="G426" s="145">
        <v>16105</v>
      </c>
    </row>
    <row r="427" spans="1:7" x14ac:dyDescent="0.25">
      <c r="A427" s="136" t="s">
        <v>498</v>
      </c>
      <c r="B427" s="136">
        <v>78</v>
      </c>
      <c r="C427" s="145">
        <v>34107</v>
      </c>
      <c r="D427" s="136">
        <v>13</v>
      </c>
      <c r="E427" s="144">
        <v>5884</v>
      </c>
      <c r="F427" s="136">
        <v>805</v>
      </c>
      <c r="G427" s="145">
        <v>40887</v>
      </c>
    </row>
    <row r="428" spans="1:7" x14ac:dyDescent="0.25">
      <c r="A428" s="136" t="s">
        <v>416</v>
      </c>
      <c r="B428" s="136">
        <v>7</v>
      </c>
      <c r="C428" s="145">
        <v>3175</v>
      </c>
      <c r="D428" s="136">
        <v>1</v>
      </c>
      <c r="E428">
        <v>611</v>
      </c>
      <c r="F428" s="136">
        <v>103</v>
      </c>
      <c r="G428" s="145">
        <v>3897</v>
      </c>
    </row>
    <row r="429" spans="1:7" ht="30" x14ac:dyDescent="0.25">
      <c r="A429" s="136" t="s">
        <v>417</v>
      </c>
      <c r="B429" s="136">
        <v>22</v>
      </c>
      <c r="C429" s="145">
        <v>12602</v>
      </c>
      <c r="D429" s="136">
        <v>7</v>
      </c>
      <c r="E429" s="144">
        <v>4503</v>
      </c>
      <c r="F429" s="136">
        <v>493</v>
      </c>
      <c r="G429" s="145">
        <v>17627</v>
      </c>
    </row>
    <row r="430" spans="1:7" x14ac:dyDescent="0.25">
      <c r="A430" s="136" t="s">
        <v>418</v>
      </c>
      <c r="B430" s="136">
        <v>82</v>
      </c>
      <c r="C430" s="145">
        <v>31452</v>
      </c>
      <c r="D430" s="136">
        <v>25</v>
      </c>
      <c r="E430" s="144">
        <v>5262</v>
      </c>
      <c r="F430" s="136">
        <v>839</v>
      </c>
      <c r="G430" s="145">
        <v>37660</v>
      </c>
    </row>
    <row r="431" spans="1:7" ht="30" x14ac:dyDescent="0.25">
      <c r="A431" s="136" t="s">
        <v>419</v>
      </c>
      <c r="B431" s="136">
        <v>139</v>
      </c>
      <c r="C431" s="145">
        <v>71068</v>
      </c>
      <c r="D431" s="136">
        <v>25</v>
      </c>
      <c r="E431" s="144">
        <v>11252</v>
      </c>
      <c r="F431" s="145">
        <v>1837</v>
      </c>
      <c r="G431" s="145">
        <v>84321</v>
      </c>
    </row>
    <row r="432" spans="1:7" x14ac:dyDescent="0.25">
      <c r="A432" s="136" t="s">
        <v>420</v>
      </c>
      <c r="B432" s="136">
        <v>46</v>
      </c>
      <c r="C432" s="145">
        <v>18143</v>
      </c>
      <c r="D432" s="136">
        <v>6</v>
      </c>
      <c r="E432" s="144">
        <v>3143</v>
      </c>
      <c r="F432" s="136">
        <v>568</v>
      </c>
      <c r="G432" s="145">
        <v>21906</v>
      </c>
    </row>
    <row r="433" spans="1:7" ht="30" x14ac:dyDescent="0.25">
      <c r="A433" s="136" t="s">
        <v>421</v>
      </c>
      <c r="B433" s="136">
        <v>49</v>
      </c>
      <c r="C433" s="145">
        <v>21030</v>
      </c>
      <c r="D433" s="136">
        <v>4</v>
      </c>
      <c r="E433" s="144">
        <v>3207</v>
      </c>
      <c r="F433" s="136">
        <v>438</v>
      </c>
      <c r="G433" s="145">
        <v>24728</v>
      </c>
    </row>
    <row r="434" spans="1:7" x14ac:dyDescent="0.25">
      <c r="A434" s="136" t="s">
        <v>422</v>
      </c>
      <c r="B434" s="136">
        <v>89</v>
      </c>
      <c r="C434" s="145">
        <v>28084</v>
      </c>
      <c r="D434" s="136">
        <v>6</v>
      </c>
      <c r="E434" s="144">
        <v>4734</v>
      </c>
      <c r="F434" s="136">
        <v>625</v>
      </c>
      <c r="G434" s="145">
        <v>33538</v>
      </c>
    </row>
    <row r="435" spans="1:7" x14ac:dyDescent="0.25">
      <c r="A435" s="136" t="s">
        <v>423</v>
      </c>
      <c r="B435" s="136">
        <v>50</v>
      </c>
      <c r="C435" s="145">
        <v>23517</v>
      </c>
      <c r="D435" s="136">
        <v>10</v>
      </c>
      <c r="E435" s="144">
        <v>3534</v>
      </c>
      <c r="F435" s="136">
        <v>544</v>
      </c>
      <c r="G435" s="145">
        <v>27655</v>
      </c>
    </row>
    <row r="436" spans="1:7" ht="30" x14ac:dyDescent="0.25">
      <c r="A436" s="136" t="s">
        <v>424</v>
      </c>
      <c r="B436" s="136">
        <v>87</v>
      </c>
      <c r="C436" s="145">
        <v>40881</v>
      </c>
      <c r="D436" s="136">
        <v>25</v>
      </c>
      <c r="E436" s="144">
        <v>6718</v>
      </c>
      <c r="F436" s="145">
        <v>1025</v>
      </c>
      <c r="G436" s="145">
        <v>48736</v>
      </c>
    </row>
    <row r="437" spans="1:7" ht="30" x14ac:dyDescent="0.25">
      <c r="A437" s="136" t="s">
        <v>425</v>
      </c>
      <c r="B437" s="136">
        <v>50</v>
      </c>
      <c r="C437" s="145">
        <v>19809</v>
      </c>
      <c r="D437" s="136">
        <v>8</v>
      </c>
      <c r="E437" s="144">
        <v>2971</v>
      </c>
      <c r="F437" s="136">
        <v>448</v>
      </c>
      <c r="G437" s="145">
        <v>23286</v>
      </c>
    </row>
    <row r="438" spans="1:7" ht="30" x14ac:dyDescent="0.25">
      <c r="A438" s="136" t="s">
        <v>426</v>
      </c>
      <c r="B438" s="136">
        <v>3</v>
      </c>
      <c r="C438" s="145">
        <v>2383</v>
      </c>
      <c r="D438" s="136">
        <v>1</v>
      </c>
      <c r="E438">
        <v>492</v>
      </c>
      <c r="F438" s="136">
        <v>53</v>
      </c>
      <c r="G438" s="145">
        <v>2932</v>
      </c>
    </row>
    <row r="439" spans="1:7" ht="30" x14ac:dyDescent="0.25">
      <c r="A439" s="136" t="s">
        <v>427</v>
      </c>
      <c r="B439" s="136">
        <v>49</v>
      </c>
      <c r="C439" s="145">
        <v>16683</v>
      </c>
      <c r="D439" s="136">
        <v>5</v>
      </c>
      <c r="E439" s="144">
        <v>3202</v>
      </c>
      <c r="F439" s="136">
        <v>431</v>
      </c>
      <c r="G439" s="145">
        <v>20370</v>
      </c>
    </row>
    <row r="440" spans="1:7" x14ac:dyDescent="0.25">
      <c r="A440" s="136" t="s">
        <v>428</v>
      </c>
      <c r="B440" s="136">
        <v>6</v>
      </c>
      <c r="C440" s="145">
        <v>1653</v>
      </c>
      <c r="D440" s="136">
        <v>2</v>
      </c>
      <c r="E440">
        <v>321</v>
      </c>
      <c r="F440" s="136">
        <v>47</v>
      </c>
      <c r="G440" s="145">
        <v>2029</v>
      </c>
    </row>
    <row r="441" spans="1:7" ht="30" x14ac:dyDescent="0.25">
      <c r="A441" s="136" t="s">
        <v>429</v>
      </c>
      <c r="B441" s="136">
        <v>45</v>
      </c>
      <c r="C441" s="145">
        <v>17432</v>
      </c>
      <c r="D441" s="136">
        <v>5</v>
      </c>
      <c r="E441" s="144">
        <v>2147</v>
      </c>
      <c r="F441" s="136">
        <v>292</v>
      </c>
      <c r="G441" s="145">
        <v>19921</v>
      </c>
    </row>
    <row r="442" spans="1:7" x14ac:dyDescent="0.25">
      <c r="A442" s="136" t="s">
        <v>430</v>
      </c>
      <c r="B442" s="136">
        <v>420</v>
      </c>
      <c r="C442" s="145">
        <v>53928</v>
      </c>
      <c r="D442" s="136">
        <v>14</v>
      </c>
      <c r="E442" s="144">
        <v>10554</v>
      </c>
      <c r="F442" s="145">
        <v>1765</v>
      </c>
      <c r="G442" s="145">
        <v>66681</v>
      </c>
    </row>
    <row r="443" spans="1:7" x14ac:dyDescent="0.25">
      <c r="A443" s="136" t="s">
        <v>431</v>
      </c>
      <c r="B443" s="136">
        <v>22</v>
      </c>
      <c r="C443" s="145">
        <v>10410</v>
      </c>
      <c r="D443" s="136">
        <v>10</v>
      </c>
      <c r="E443" s="144">
        <v>1956</v>
      </c>
      <c r="F443" s="136">
        <v>255</v>
      </c>
      <c r="G443" s="145">
        <v>12653</v>
      </c>
    </row>
    <row r="444" spans="1:7" x14ac:dyDescent="0.25">
      <c r="A444" s="136" t="s">
        <v>432</v>
      </c>
      <c r="B444" s="136">
        <v>6</v>
      </c>
      <c r="C444" s="145">
        <v>2581</v>
      </c>
      <c r="E444" s="136">
        <v>416</v>
      </c>
      <c r="F444" s="136">
        <v>58</v>
      </c>
      <c r="G444" s="145">
        <v>3061</v>
      </c>
    </row>
    <row r="445" spans="1:7" x14ac:dyDescent="0.25">
      <c r="A445" s="136" t="s">
        <v>433</v>
      </c>
      <c r="B445" s="136">
        <v>7</v>
      </c>
      <c r="C445" s="145">
        <v>4977</v>
      </c>
      <c r="E445" s="145">
        <v>2219</v>
      </c>
      <c r="F445" s="136">
        <v>223</v>
      </c>
      <c r="G445" s="145">
        <v>7426</v>
      </c>
    </row>
    <row r="446" spans="1:7" x14ac:dyDescent="0.25">
      <c r="A446" s="136" t="s">
        <v>499</v>
      </c>
      <c r="B446" s="136">
        <v>56</v>
      </c>
      <c r="C446" s="145">
        <v>28379</v>
      </c>
      <c r="D446" s="136">
        <v>13</v>
      </c>
      <c r="E446" s="144">
        <v>7415</v>
      </c>
      <c r="F446" s="136">
        <v>772</v>
      </c>
      <c r="G446" s="145">
        <v>36635</v>
      </c>
    </row>
    <row r="447" spans="1:7" x14ac:dyDescent="0.25">
      <c r="A447" s="136"/>
      <c r="G447" s="142"/>
    </row>
    <row r="448" spans="1:7" x14ac:dyDescent="0.25">
      <c r="A448" s="136" t="s">
        <v>25</v>
      </c>
      <c r="B448" s="145">
        <f>SUM(B395:B447)</f>
        <v>2681</v>
      </c>
      <c r="C448" s="145">
        <f t="shared" ref="C448:G448" si="10">SUM(C395:C447)</f>
        <v>1018313</v>
      </c>
      <c r="D448" s="145">
        <f t="shared" si="10"/>
        <v>495</v>
      </c>
      <c r="E448" s="145">
        <f t="shared" si="10"/>
        <v>194353</v>
      </c>
      <c r="F448" s="145">
        <f t="shared" si="10"/>
        <v>25287</v>
      </c>
      <c r="G448" s="145">
        <f t="shared" si="10"/>
        <v>1241129</v>
      </c>
    </row>
    <row r="449" spans="1:7" x14ac:dyDescent="0.25">
      <c r="A449" s="136"/>
      <c r="B449" s="136"/>
      <c r="C449" s="136"/>
      <c r="D449" s="146"/>
      <c r="F449" s="146"/>
      <c r="G449" s="143"/>
    </row>
    <row r="454" spans="1:7" ht="45" x14ac:dyDescent="0.25">
      <c r="A454" s="136" t="s">
        <v>434</v>
      </c>
      <c r="B454" s="153"/>
      <c r="C454" s="153"/>
      <c r="D454" s="153"/>
      <c r="E454" s="153"/>
      <c r="F454" s="154"/>
    </row>
    <row r="455" spans="1:7" x14ac:dyDescent="0.25">
      <c r="A455" s="136"/>
      <c r="B455" s="136"/>
      <c r="C455" s="136"/>
      <c r="F455" s="142"/>
    </row>
    <row r="456" spans="1:7" ht="30" x14ac:dyDescent="0.25">
      <c r="A456" s="136"/>
      <c r="B456" s="136" t="s">
        <v>500</v>
      </c>
      <c r="C456" s="136"/>
      <c r="F456" s="142"/>
    </row>
    <row r="457" spans="1:7" x14ac:dyDescent="0.25">
      <c r="A457" s="136" t="s">
        <v>126</v>
      </c>
      <c r="B457" s="136" t="s">
        <v>479</v>
      </c>
      <c r="C457" s="136" t="s">
        <v>480</v>
      </c>
      <c r="D457" s="136" t="s">
        <v>481</v>
      </c>
      <c r="E457" s="136" t="s">
        <v>482</v>
      </c>
      <c r="F457" s="136" t="s">
        <v>483</v>
      </c>
      <c r="G457" s="136" t="s">
        <v>25</v>
      </c>
    </row>
    <row r="458" spans="1:7" x14ac:dyDescent="0.25">
      <c r="A458" s="136"/>
      <c r="B458" s="136"/>
      <c r="C458" s="136"/>
      <c r="G458" s="142"/>
    </row>
    <row r="459" spans="1:7" x14ac:dyDescent="0.25">
      <c r="A459" s="136" t="s">
        <v>435</v>
      </c>
      <c r="B459" s="136">
        <v>2</v>
      </c>
      <c r="C459" s="145">
        <v>1040</v>
      </c>
      <c r="D459" s="136">
        <v>1</v>
      </c>
      <c r="E459" s="136">
        <v>159</v>
      </c>
      <c r="F459" s="136">
        <v>13</v>
      </c>
      <c r="G459" s="145">
        <v>1215</v>
      </c>
    </row>
    <row r="460" spans="1:7" x14ac:dyDescent="0.25">
      <c r="A460" s="136" t="s">
        <v>436</v>
      </c>
      <c r="B460" s="136">
        <v>9</v>
      </c>
      <c r="C460" s="145">
        <v>2600</v>
      </c>
      <c r="D460" s="136">
        <v>2</v>
      </c>
      <c r="E460" s="136">
        <v>421</v>
      </c>
      <c r="F460" s="136">
        <v>81</v>
      </c>
      <c r="G460" s="145">
        <v>3113</v>
      </c>
    </row>
    <row r="461" spans="1:7" x14ac:dyDescent="0.25">
      <c r="A461" s="136" t="s">
        <v>437</v>
      </c>
      <c r="B461" s="136">
        <v>22</v>
      </c>
      <c r="C461" s="145">
        <v>8352</v>
      </c>
      <c r="D461" s="136">
        <v>8</v>
      </c>
      <c r="E461" s="145">
        <v>1465</v>
      </c>
      <c r="F461" s="136">
        <v>187</v>
      </c>
      <c r="G461" s="145">
        <v>10034</v>
      </c>
    </row>
    <row r="462" spans="1:7" ht="30" x14ac:dyDescent="0.25">
      <c r="A462" s="136" t="s">
        <v>438</v>
      </c>
      <c r="B462" s="136">
        <v>5</v>
      </c>
      <c r="C462" s="145">
        <v>1993</v>
      </c>
      <c r="D462" s="136">
        <v>1</v>
      </c>
      <c r="E462" s="136">
        <v>282</v>
      </c>
      <c r="F462" s="136">
        <v>48</v>
      </c>
      <c r="G462" s="145">
        <v>2329</v>
      </c>
    </row>
    <row r="463" spans="1:7" x14ac:dyDescent="0.25">
      <c r="A463" s="136" t="s">
        <v>439</v>
      </c>
      <c r="B463" s="136">
        <v>17</v>
      </c>
      <c r="C463" s="145">
        <v>3454</v>
      </c>
      <c r="D463" s="136">
        <v>5</v>
      </c>
      <c r="E463" s="136">
        <v>556</v>
      </c>
      <c r="F463" s="136">
        <v>66</v>
      </c>
      <c r="G463" s="145">
        <v>4098</v>
      </c>
    </row>
    <row r="464" spans="1:7" x14ac:dyDescent="0.25">
      <c r="A464" s="136" t="s">
        <v>440</v>
      </c>
      <c r="B464" s="136">
        <v>10</v>
      </c>
      <c r="C464" s="145">
        <v>3912</v>
      </c>
      <c r="D464" s="136">
        <v>2</v>
      </c>
      <c r="E464" s="136">
        <v>567</v>
      </c>
      <c r="F464" s="136">
        <v>98</v>
      </c>
      <c r="G464" s="145">
        <v>4589</v>
      </c>
    </row>
    <row r="465" spans="1:7" x14ac:dyDescent="0.25">
      <c r="A465" s="136" t="s">
        <v>441</v>
      </c>
      <c r="B465" s="136">
        <v>7</v>
      </c>
      <c r="C465" s="145">
        <v>1486</v>
      </c>
      <c r="D465" s="136">
        <v>1</v>
      </c>
      <c r="E465" s="136">
        <v>250</v>
      </c>
      <c r="F465" s="136">
        <v>24</v>
      </c>
      <c r="G465" s="145">
        <v>1768</v>
      </c>
    </row>
    <row r="466" spans="1:7" x14ac:dyDescent="0.25">
      <c r="A466" s="136" t="s">
        <v>442</v>
      </c>
      <c r="B466" s="136">
        <v>19</v>
      </c>
      <c r="C466" s="145">
        <v>4468</v>
      </c>
      <c r="D466" s="136">
        <v>2</v>
      </c>
      <c r="E466" s="136">
        <v>955</v>
      </c>
      <c r="F466" s="136">
        <v>104</v>
      </c>
      <c r="G466" s="145">
        <v>5548</v>
      </c>
    </row>
    <row r="467" spans="1:7" ht="30" x14ac:dyDescent="0.25">
      <c r="A467" s="136" t="s">
        <v>443</v>
      </c>
      <c r="B467" s="136">
        <v>12</v>
      </c>
      <c r="C467" s="145">
        <v>6294</v>
      </c>
      <c r="D467" s="136">
        <v>5</v>
      </c>
      <c r="E467" s="145">
        <v>1104</v>
      </c>
      <c r="F467" s="136">
        <v>155</v>
      </c>
      <c r="G467" s="145">
        <v>7570</v>
      </c>
    </row>
    <row r="468" spans="1:7" x14ac:dyDescent="0.25">
      <c r="A468" s="136" t="s">
        <v>444</v>
      </c>
      <c r="B468" s="136">
        <v>20</v>
      </c>
      <c r="C468" s="145">
        <v>6998</v>
      </c>
      <c r="D468" s="136">
        <v>11</v>
      </c>
      <c r="E468" s="145">
        <v>1159</v>
      </c>
      <c r="F468" s="136">
        <v>156</v>
      </c>
      <c r="G468" s="145">
        <v>8344</v>
      </c>
    </row>
    <row r="469" spans="1:7" ht="60" x14ac:dyDescent="0.25">
      <c r="A469" s="136" t="s">
        <v>503</v>
      </c>
      <c r="B469" s="136">
        <v>13</v>
      </c>
      <c r="C469" s="145">
        <v>3804</v>
      </c>
      <c r="D469" s="136">
        <v>1</v>
      </c>
      <c r="E469" s="136">
        <v>560</v>
      </c>
      <c r="F469" s="136">
        <v>88</v>
      </c>
      <c r="G469" s="145">
        <v>4466</v>
      </c>
    </row>
    <row r="470" spans="1:7" x14ac:dyDescent="0.25">
      <c r="A470" s="136" t="s">
        <v>446</v>
      </c>
      <c r="B470" s="136">
        <v>97</v>
      </c>
      <c r="C470" s="145">
        <v>27778</v>
      </c>
      <c r="D470" s="136">
        <v>29</v>
      </c>
      <c r="E470" s="145">
        <v>4913</v>
      </c>
      <c r="F470" s="136">
        <v>600</v>
      </c>
      <c r="G470" s="145">
        <v>33417</v>
      </c>
    </row>
    <row r="471" spans="1:7" x14ac:dyDescent="0.25">
      <c r="A471" s="136"/>
      <c r="G471" s="142"/>
    </row>
    <row r="472" spans="1:7" x14ac:dyDescent="0.25">
      <c r="A472" s="136" t="s">
        <v>25</v>
      </c>
      <c r="B472" s="136">
        <v>233</v>
      </c>
      <c r="C472" s="145">
        <v>72179</v>
      </c>
      <c r="D472" s="136">
        <v>68</v>
      </c>
      <c r="E472" s="145">
        <v>12391</v>
      </c>
      <c r="F472" s="145">
        <v>1620</v>
      </c>
      <c r="G472" s="145">
        <v>86491</v>
      </c>
    </row>
    <row r="473" spans="1:7" x14ac:dyDescent="0.25">
      <c r="A473" s="136"/>
      <c r="B473" s="136"/>
      <c r="C473" s="136"/>
      <c r="F473" s="142"/>
    </row>
    <row r="474" spans="1:7" x14ac:dyDescent="0.25">
      <c r="A474" s="136"/>
      <c r="B474" s="146"/>
      <c r="C474" s="146"/>
      <c r="D474" s="146"/>
      <c r="E474" s="146"/>
      <c r="F474" s="143"/>
    </row>
    <row r="478" spans="1:7" ht="45" x14ac:dyDescent="0.25">
      <c r="A478" s="136" t="s">
        <v>501</v>
      </c>
      <c r="B478" s="136" t="s">
        <v>502</v>
      </c>
      <c r="C478" s="136">
        <v>15</v>
      </c>
      <c r="D478" s="153"/>
      <c r="E478" s="153"/>
      <c r="F478" s="154"/>
    </row>
    <row r="479" spans="1:7" x14ac:dyDescent="0.25">
      <c r="A479" s="136"/>
      <c r="B479" s="136"/>
      <c r="C479" s="136"/>
      <c r="D479" s="136"/>
      <c r="F479" s="142"/>
    </row>
    <row r="480" spans="1:7" ht="30" x14ac:dyDescent="0.25">
      <c r="A480" s="136"/>
      <c r="B480" s="136"/>
      <c r="C480" s="136" t="s">
        <v>500</v>
      </c>
      <c r="D480" s="136"/>
      <c r="F480" s="142"/>
    </row>
    <row r="481" spans="1:7" x14ac:dyDescent="0.25">
      <c r="A481" s="136" t="s">
        <v>126</v>
      </c>
      <c r="B481" s="136" t="s">
        <v>479</v>
      </c>
      <c r="C481" s="136" t="s">
        <v>480</v>
      </c>
      <c r="D481" s="136" t="s">
        <v>481</v>
      </c>
      <c r="E481" s="136" t="s">
        <v>482</v>
      </c>
      <c r="F481" s="136" t="s">
        <v>483</v>
      </c>
      <c r="G481" s="136" t="s">
        <v>25</v>
      </c>
    </row>
    <row r="482" spans="1:7" x14ac:dyDescent="0.25">
      <c r="A482" s="136"/>
      <c r="B482" s="136"/>
      <c r="C482" s="136"/>
      <c r="G482" s="142"/>
    </row>
    <row r="483" spans="1:7" x14ac:dyDescent="0.25">
      <c r="A483" s="136" t="s">
        <v>447</v>
      </c>
      <c r="B483" s="136">
        <v>109</v>
      </c>
      <c r="C483" s="145">
        <v>34285</v>
      </c>
      <c r="D483" s="136">
        <v>16</v>
      </c>
      <c r="E483" s="145">
        <v>5811</v>
      </c>
      <c r="F483" s="136">
        <v>828</v>
      </c>
      <c r="G483" s="145">
        <v>41049</v>
      </c>
    </row>
    <row r="484" spans="1:7" ht="30" x14ac:dyDescent="0.25">
      <c r="A484" s="136" t="s">
        <v>448</v>
      </c>
      <c r="B484" s="136"/>
      <c r="C484" s="136">
        <v>75</v>
      </c>
      <c r="E484" s="136">
        <v>15</v>
      </c>
      <c r="F484" s="136">
        <v>1</v>
      </c>
      <c r="G484" s="136">
        <v>91</v>
      </c>
    </row>
    <row r="485" spans="1:7" ht="30" x14ac:dyDescent="0.25">
      <c r="A485" s="136" t="s">
        <v>449</v>
      </c>
      <c r="B485" s="136">
        <v>1</v>
      </c>
      <c r="C485" s="136">
        <v>62</v>
      </c>
      <c r="E485" s="136">
        <v>21</v>
      </c>
      <c r="G485" s="136">
        <v>84</v>
      </c>
    </row>
    <row r="486" spans="1:7" x14ac:dyDescent="0.25">
      <c r="A486" s="136" t="s">
        <v>450</v>
      </c>
      <c r="B486" s="136"/>
      <c r="C486" s="136">
        <v>218</v>
      </c>
      <c r="E486" s="136">
        <v>58</v>
      </c>
      <c r="F486" s="136">
        <v>8</v>
      </c>
      <c r="G486" s="136">
        <v>284</v>
      </c>
    </row>
    <row r="487" spans="1:7" x14ac:dyDescent="0.25">
      <c r="A487" s="136" t="s">
        <v>25</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6"/>
      <c r="E488" s="146"/>
      <c r="F488" s="143"/>
    </row>
    <row r="492" spans="1:7" ht="45" x14ac:dyDescent="0.25">
      <c r="A492" s="136" t="s">
        <v>501</v>
      </c>
      <c r="B492" s="136" t="s">
        <v>502</v>
      </c>
      <c r="C492" s="136">
        <v>16</v>
      </c>
      <c r="D492" s="153"/>
      <c r="E492" s="153"/>
      <c r="F492" s="154"/>
    </row>
    <row r="493" spans="1:7" x14ac:dyDescent="0.25">
      <c r="A493" s="136"/>
      <c r="B493" s="136"/>
      <c r="C493" s="136"/>
      <c r="D493" s="136"/>
      <c r="F493" s="142"/>
    </row>
    <row r="494" spans="1:7" ht="30" x14ac:dyDescent="0.25">
      <c r="A494" s="136"/>
      <c r="B494" s="136"/>
      <c r="C494" s="136" t="s">
        <v>500</v>
      </c>
      <c r="D494" s="136"/>
      <c r="F494" s="142"/>
    </row>
    <row r="495" spans="1:7" x14ac:dyDescent="0.25">
      <c r="A495" s="136" t="s">
        <v>126</v>
      </c>
      <c r="B495" s="136" t="s">
        <v>479</v>
      </c>
      <c r="C495" s="136" t="s">
        <v>480</v>
      </c>
      <c r="D495" s="136" t="s">
        <v>481</v>
      </c>
      <c r="E495" s="136" t="s">
        <v>482</v>
      </c>
      <c r="F495" s="136" t="s">
        <v>483</v>
      </c>
      <c r="G495" s="136" t="s">
        <v>25</v>
      </c>
    </row>
    <row r="496" spans="1:7" x14ac:dyDescent="0.25">
      <c r="A496" s="136"/>
      <c r="B496" s="136"/>
      <c r="C496" s="136"/>
      <c r="G496" s="142"/>
    </row>
    <row r="497" spans="1:7" x14ac:dyDescent="0.25">
      <c r="A497" s="136" t="s">
        <v>451</v>
      </c>
      <c r="B497" s="136">
        <v>13</v>
      </c>
      <c r="C497" s="145">
        <v>4610</v>
      </c>
      <c r="D497" s="136">
        <v>1</v>
      </c>
      <c r="E497" s="145">
        <v>1258</v>
      </c>
      <c r="F497" s="136">
        <v>132</v>
      </c>
      <c r="G497" s="145">
        <v>6014</v>
      </c>
    </row>
    <row r="498" spans="1:7" x14ac:dyDescent="0.25">
      <c r="A498" s="136" t="s">
        <v>452</v>
      </c>
      <c r="B498" s="136">
        <v>107</v>
      </c>
      <c r="C498" s="145">
        <v>35823</v>
      </c>
      <c r="D498" s="136">
        <v>9</v>
      </c>
      <c r="E498" s="145">
        <v>8805</v>
      </c>
      <c r="F498" s="136">
        <v>912</v>
      </c>
      <c r="G498" s="145">
        <v>45656</v>
      </c>
    </row>
    <row r="499" spans="1:7" ht="30" x14ac:dyDescent="0.25">
      <c r="A499" s="136" t="s">
        <v>453</v>
      </c>
      <c r="B499" s="136">
        <v>18</v>
      </c>
      <c r="C499" s="145">
        <v>4008</v>
      </c>
      <c r="E499" s="136">
        <v>891</v>
      </c>
      <c r="F499" s="136">
        <v>106</v>
      </c>
      <c r="G499" s="145">
        <v>5023</v>
      </c>
    </row>
    <row r="500" spans="1:7" ht="30" x14ac:dyDescent="0.25">
      <c r="A500" s="136" t="s">
        <v>454</v>
      </c>
      <c r="B500" s="136">
        <v>5</v>
      </c>
      <c r="C500" s="145">
        <v>1172</v>
      </c>
      <c r="E500" s="136">
        <v>277</v>
      </c>
      <c r="F500" s="136">
        <v>24</v>
      </c>
      <c r="G500" s="145">
        <v>1478</v>
      </c>
    </row>
    <row r="501" spans="1:7" x14ac:dyDescent="0.25">
      <c r="A501" s="136" t="s">
        <v>455</v>
      </c>
      <c r="B501" s="136">
        <v>5</v>
      </c>
      <c r="C501" s="145">
        <v>3897</v>
      </c>
      <c r="E501" s="136">
        <v>822</v>
      </c>
      <c r="F501" s="136">
        <v>74</v>
      </c>
      <c r="G501" s="145">
        <v>4798</v>
      </c>
    </row>
    <row r="502" spans="1:7" x14ac:dyDescent="0.25">
      <c r="A502" s="136" t="s">
        <v>456</v>
      </c>
      <c r="B502" s="136">
        <v>18</v>
      </c>
      <c r="C502" s="145">
        <v>4370</v>
      </c>
      <c r="D502" s="136">
        <v>1</v>
      </c>
      <c r="E502" s="145">
        <v>1431</v>
      </c>
      <c r="F502" s="136">
        <v>147</v>
      </c>
      <c r="G502" s="145">
        <v>5967</v>
      </c>
    </row>
    <row r="503" spans="1:7" x14ac:dyDescent="0.25">
      <c r="A503" s="136" t="s">
        <v>457</v>
      </c>
      <c r="B503" s="136">
        <v>10</v>
      </c>
      <c r="C503" s="145">
        <v>2703</v>
      </c>
      <c r="D503" s="136">
        <v>1</v>
      </c>
      <c r="E503" s="136">
        <v>848</v>
      </c>
      <c r="F503" s="136">
        <v>73</v>
      </c>
      <c r="G503" s="145">
        <v>3635</v>
      </c>
    </row>
    <row r="504" spans="1:7" x14ac:dyDescent="0.25">
      <c r="A504" s="136" t="s">
        <v>458</v>
      </c>
      <c r="B504" s="136">
        <v>3</v>
      </c>
      <c r="C504" s="145">
        <v>1384</v>
      </c>
      <c r="E504" s="136">
        <v>494</v>
      </c>
      <c r="F504" s="136">
        <v>28</v>
      </c>
      <c r="G504" s="145">
        <v>1909</v>
      </c>
    </row>
    <row r="505" spans="1:7" x14ac:dyDescent="0.25">
      <c r="A505" s="136" t="s">
        <v>459</v>
      </c>
      <c r="B505" s="136">
        <v>2</v>
      </c>
      <c r="C505" s="145">
        <v>1686</v>
      </c>
      <c r="E505" s="136">
        <v>551</v>
      </c>
      <c r="F505" s="136">
        <v>51</v>
      </c>
      <c r="G505" s="145">
        <v>2290</v>
      </c>
    </row>
    <row r="506" spans="1:7" x14ac:dyDescent="0.25">
      <c r="A506" s="136" t="s">
        <v>460</v>
      </c>
      <c r="B506" s="136">
        <v>5</v>
      </c>
      <c r="C506" s="145">
        <v>2316</v>
      </c>
      <c r="E506" s="136">
        <v>695</v>
      </c>
      <c r="F506" s="136">
        <v>81</v>
      </c>
      <c r="G506" s="145">
        <v>3097</v>
      </c>
    </row>
    <row r="507" spans="1:7" ht="30" x14ac:dyDescent="0.25">
      <c r="A507" s="136" t="s">
        <v>461</v>
      </c>
      <c r="B507" s="136">
        <v>4</v>
      </c>
      <c r="C507" s="145">
        <v>1278</v>
      </c>
      <c r="E507" s="136">
        <v>260</v>
      </c>
      <c r="F507" s="136">
        <v>26</v>
      </c>
      <c r="G507" s="145">
        <v>1568</v>
      </c>
    </row>
    <row r="508" spans="1:7" x14ac:dyDescent="0.25">
      <c r="A508" s="136" t="s">
        <v>462</v>
      </c>
      <c r="B508" s="136">
        <v>15</v>
      </c>
      <c r="C508" s="145">
        <v>4075</v>
      </c>
      <c r="D508" s="136">
        <v>3</v>
      </c>
      <c r="E508" s="136">
        <v>910</v>
      </c>
      <c r="F508" s="136">
        <v>132</v>
      </c>
      <c r="G508" s="145">
        <v>5135</v>
      </c>
    </row>
    <row r="509" spans="1:7" x14ac:dyDescent="0.25">
      <c r="A509" s="136" t="s">
        <v>463</v>
      </c>
      <c r="B509" s="136">
        <v>9</v>
      </c>
      <c r="C509" s="145">
        <v>2735</v>
      </c>
      <c r="E509" s="136">
        <v>605</v>
      </c>
      <c r="F509" s="136">
        <v>57</v>
      </c>
      <c r="G509" s="145">
        <v>3406</v>
      </c>
    </row>
    <row r="510" spans="1:7" x14ac:dyDescent="0.25">
      <c r="A510" s="136" t="s">
        <v>464</v>
      </c>
      <c r="B510" s="136">
        <v>4</v>
      </c>
      <c r="C510" s="145">
        <v>1532</v>
      </c>
      <c r="D510" s="136">
        <v>1</v>
      </c>
      <c r="E510" s="136">
        <v>322</v>
      </c>
      <c r="F510" s="136">
        <v>37</v>
      </c>
      <c r="G510" s="145">
        <v>1896</v>
      </c>
    </row>
    <row r="511" spans="1:7" ht="30" x14ac:dyDescent="0.25">
      <c r="A511" s="136" t="s">
        <v>465</v>
      </c>
      <c r="B511" s="136">
        <v>34</v>
      </c>
      <c r="C511" s="145">
        <v>11662</v>
      </c>
      <c r="D511" s="136">
        <v>6</v>
      </c>
      <c r="E511" s="145">
        <v>2801</v>
      </c>
      <c r="F511" s="136">
        <v>253</v>
      </c>
      <c r="G511" s="145">
        <v>14756</v>
      </c>
    </row>
    <row r="512" spans="1:7" ht="30" x14ac:dyDescent="0.25">
      <c r="A512" s="136" t="s">
        <v>466</v>
      </c>
      <c r="B512" s="136">
        <v>2</v>
      </c>
      <c r="C512" s="136">
        <v>915</v>
      </c>
      <c r="E512" s="136">
        <v>208</v>
      </c>
      <c r="F512" s="136">
        <v>24</v>
      </c>
      <c r="G512" s="145">
        <v>1149</v>
      </c>
    </row>
    <row r="513" spans="1:7" ht="30" x14ac:dyDescent="0.25">
      <c r="A513" s="136" t="s">
        <v>467</v>
      </c>
      <c r="B513" s="136">
        <v>16</v>
      </c>
      <c r="C513" s="145">
        <v>3685</v>
      </c>
      <c r="E513" s="145">
        <v>1109</v>
      </c>
      <c r="F513" s="136">
        <v>141</v>
      </c>
      <c r="G513" s="145">
        <v>4951</v>
      </c>
    </row>
    <row r="514" spans="1:7" ht="30" x14ac:dyDescent="0.25">
      <c r="A514" s="136" t="s">
        <v>468</v>
      </c>
      <c r="B514" s="136">
        <v>10</v>
      </c>
      <c r="C514" s="145">
        <v>2256</v>
      </c>
      <c r="D514" s="136">
        <v>1</v>
      </c>
      <c r="E514" s="136">
        <v>614</v>
      </c>
      <c r="F514" s="136">
        <v>62</v>
      </c>
      <c r="G514" s="145">
        <v>2943</v>
      </c>
    </row>
    <row r="515" spans="1:7" x14ac:dyDescent="0.25">
      <c r="A515" s="136" t="s">
        <v>469</v>
      </c>
      <c r="B515" s="136">
        <v>5</v>
      </c>
      <c r="C515" s="145">
        <v>1271</v>
      </c>
      <c r="D515" s="136">
        <v>1</v>
      </c>
      <c r="E515" s="136">
        <v>240</v>
      </c>
      <c r="F515" s="136">
        <v>33</v>
      </c>
      <c r="G515" s="145">
        <v>1550</v>
      </c>
    </row>
    <row r="516" spans="1:7" x14ac:dyDescent="0.25">
      <c r="A516" s="136" t="s">
        <v>470</v>
      </c>
      <c r="B516" s="136">
        <v>11</v>
      </c>
      <c r="C516" s="145">
        <v>3744</v>
      </c>
      <c r="E516" s="136">
        <v>854</v>
      </c>
      <c r="F516" s="136">
        <v>95</v>
      </c>
      <c r="G516" s="145">
        <v>4704</v>
      </c>
    </row>
    <row r="517" spans="1:7" x14ac:dyDescent="0.25">
      <c r="A517" s="136" t="s">
        <v>471</v>
      </c>
      <c r="B517" s="136">
        <v>3</v>
      </c>
      <c r="C517" s="145">
        <v>2785</v>
      </c>
      <c r="D517" s="136">
        <v>1</v>
      </c>
      <c r="E517" s="136">
        <v>811</v>
      </c>
      <c r="F517" s="136">
        <v>75</v>
      </c>
      <c r="G517" s="145">
        <v>3675</v>
      </c>
    </row>
    <row r="518" spans="1:7" x14ac:dyDescent="0.25">
      <c r="A518" s="136" t="s">
        <v>25</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6"/>
      <c r="E519" s="146"/>
      <c r="F519" s="146"/>
      <c r="G519" s="1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5"/>
  <sheetViews>
    <sheetView showGridLines="0" workbookViewId="0"/>
    <sheetView showGridLines="0" workbookViewId="1"/>
  </sheetViews>
  <sheetFormatPr baseColWidth="10" defaultRowHeight="15" x14ac:dyDescent="0.25"/>
  <cols>
    <col min="1" max="1" width="14.42578125" customWidth="1"/>
  </cols>
  <sheetData>
    <row r="1" spans="2:13" x14ac:dyDescent="0.25">
      <c r="B1" s="406" t="s">
        <v>691</v>
      </c>
      <c r="C1" s="407"/>
      <c r="D1" s="407"/>
      <c r="E1" s="407"/>
      <c r="F1" s="407"/>
      <c r="G1" s="407"/>
      <c r="H1" s="407"/>
      <c r="I1" s="407"/>
      <c r="J1" s="407"/>
      <c r="K1" s="407"/>
      <c r="L1" s="407"/>
      <c r="M1" s="407"/>
    </row>
    <row r="2" spans="2:13" x14ac:dyDescent="0.25">
      <c r="B2" s="407"/>
      <c r="C2" s="407"/>
      <c r="D2" s="407"/>
      <c r="E2" s="407"/>
      <c r="F2" s="407"/>
      <c r="G2" s="407"/>
      <c r="H2" s="407"/>
      <c r="I2" s="407"/>
      <c r="J2" s="407"/>
      <c r="K2" s="407"/>
      <c r="L2" s="407"/>
      <c r="M2" s="407"/>
    </row>
    <row r="3" spans="2:13" x14ac:dyDescent="0.25">
      <c r="B3" s="407"/>
      <c r="C3" s="407"/>
      <c r="D3" s="407"/>
      <c r="E3" s="407"/>
      <c r="F3" s="407"/>
      <c r="G3" s="407"/>
      <c r="H3" s="407"/>
      <c r="I3" s="407"/>
      <c r="J3" s="407"/>
      <c r="K3" s="407"/>
      <c r="L3" s="407"/>
      <c r="M3" s="407"/>
    </row>
    <row r="4" spans="2:13" x14ac:dyDescent="0.25">
      <c r="B4" s="407"/>
      <c r="C4" s="407"/>
      <c r="D4" s="407"/>
      <c r="E4" s="407"/>
      <c r="F4" s="407"/>
      <c r="G4" s="407"/>
      <c r="H4" s="407"/>
      <c r="I4" s="407"/>
      <c r="J4" s="407"/>
      <c r="K4" s="407"/>
      <c r="L4" s="407"/>
      <c r="M4" s="407"/>
    </row>
    <row r="5" spans="2:13" x14ac:dyDescent="0.25">
      <c r="B5" s="407"/>
      <c r="C5" s="407"/>
      <c r="D5" s="407"/>
      <c r="E5" s="407"/>
      <c r="F5" s="407"/>
      <c r="G5" s="407"/>
      <c r="H5" s="407"/>
      <c r="I5" s="407"/>
      <c r="J5" s="407"/>
      <c r="K5" s="407"/>
      <c r="L5" s="407"/>
      <c r="M5" s="407"/>
    </row>
    <row r="6" spans="2:13" ht="15.75" x14ac:dyDescent="0.25">
      <c r="B6" s="225"/>
      <c r="C6" s="225"/>
      <c r="D6" s="225"/>
      <c r="E6" s="225"/>
      <c r="F6" s="225"/>
      <c r="G6" s="225"/>
      <c r="H6" s="225"/>
      <c r="I6" s="225"/>
      <c r="J6" s="225"/>
      <c r="K6" s="225"/>
      <c r="L6" s="225"/>
      <c r="M6" s="225"/>
    </row>
    <row r="8" spans="2:13" ht="15.75" thickBot="1" x14ac:dyDescent="0.3"/>
    <row r="9" spans="2:13" ht="21.75" thickBot="1" x14ac:dyDescent="0.4">
      <c r="B9" s="445" t="s">
        <v>690</v>
      </c>
      <c r="C9" s="446"/>
      <c r="D9" s="446"/>
      <c r="E9" s="446"/>
      <c r="F9" s="446"/>
      <c r="G9" s="446"/>
      <c r="H9" s="446"/>
      <c r="I9" s="446"/>
      <c r="J9" s="446"/>
      <c r="K9" s="446"/>
      <c r="L9" s="446"/>
      <c r="M9" s="447"/>
    </row>
    <row r="10" spans="2:13" ht="15.75" x14ac:dyDescent="0.25">
      <c r="B10" s="412" t="s">
        <v>911</v>
      </c>
      <c r="C10" s="412"/>
      <c r="D10" s="412"/>
      <c r="E10" s="412"/>
      <c r="F10" s="412"/>
      <c r="G10" s="412"/>
      <c r="H10" s="412"/>
      <c r="I10" s="412"/>
      <c r="J10" s="412"/>
      <c r="K10" s="412"/>
      <c r="L10" s="412"/>
      <c r="M10" s="412"/>
    </row>
    <row r="11" spans="2:13" x14ac:dyDescent="0.25">
      <c r="B11" s="408"/>
      <c r="C11" s="408"/>
      <c r="D11" s="408"/>
      <c r="E11" s="408"/>
      <c r="F11" s="408"/>
      <c r="G11" s="408"/>
      <c r="H11" s="408"/>
      <c r="I11" s="408"/>
      <c r="J11" s="408"/>
      <c r="K11" s="408"/>
      <c r="L11" s="408"/>
      <c r="M11" s="408"/>
    </row>
    <row r="12" spans="2:13" ht="15.75" x14ac:dyDescent="0.25">
      <c r="B12" s="404" t="s">
        <v>744</v>
      </c>
      <c r="C12" s="404"/>
      <c r="D12" s="404"/>
      <c r="E12" s="404"/>
      <c r="F12" s="404"/>
      <c r="G12" s="404"/>
      <c r="H12" s="404"/>
      <c r="I12" s="404"/>
      <c r="J12" s="404"/>
      <c r="K12" s="404"/>
      <c r="L12" s="404"/>
      <c r="M12" s="404"/>
    </row>
    <row r="13" spans="2:13" x14ac:dyDescent="0.25">
      <c r="B13" s="405" t="s">
        <v>779</v>
      </c>
      <c r="C13" s="405"/>
      <c r="D13" s="405"/>
      <c r="E13" s="405"/>
      <c r="F13" s="405"/>
      <c r="G13" s="405"/>
      <c r="H13" s="405"/>
      <c r="I13" s="405"/>
      <c r="J13" s="405"/>
      <c r="K13" s="405"/>
      <c r="L13" s="405"/>
      <c r="M13" s="405"/>
    </row>
    <row r="14" spans="2:13" x14ac:dyDescent="0.25">
      <c r="B14" s="405" t="s">
        <v>780</v>
      </c>
      <c r="C14" s="405"/>
      <c r="D14" s="405"/>
      <c r="E14" s="405"/>
      <c r="F14" s="405"/>
      <c r="G14" s="405"/>
      <c r="H14" s="405"/>
      <c r="I14" s="405"/>
      <c r="J14" s="405"/>
      <c r="K14" s="405"/>
      <c r="L14" s="405"/>
      <c r="M14" s="405"/>
    </row>
    <row r="15" spans="2:13" x14ac:dyDescent="0.25">
      <c r="B15" s="254"/>
      <c r="C15" s="254"/>
      <c r="D15" s="254"/>
      <c r="E15" s="254"/>
      <c r="F15" s="254"/>
      <c r="G15" s="254"/>
      <c r="H15" s="254"/>
      <c r="I15" s="254"/>
      <c r="J15" s="254"/>
      <c r="K15" s="254"/>
      <c r="L15" s="254"/>
      <c r="M15" s="254"/>
    </row>
    <row r="16" spans="2:13" ht="15.75" x14ac:dyDescent="0.25">
      <c r="B16" s="404" t="s">
        <v>745</v>
      </c>
      <c r="C16" s="404"/>
      <c r="D16" s="404"/>
      <c r="E16" s="404"/>
      <c r="F16" s="404"/>
      <c r="G16" s="404"/>
      <c r="H16" s="404"/>
      <c r="I16" s="404"/>
      <c r="J16" s="404"/>
      <c r="K16" s="404"/>
      <c r="L16" s="404"/>
      <c r="M16" s="404"/>
    </row>
    <row r="17" spans="2:13" x14ac:dyDescent="0.25">
      <c r="B17" s="405" t="s">
        <v>781</v>
      </c>
      <c r="C17" s="405"/>
      <c r="D17" s="405"/>
      <c r="E17" s="405"/>
      <c r="F17" s="405"/>
      <c r="G17" s="405"/>
      <c r="H17" s="405"/>
      <c r="I17" s="405"/>
      <c r="J17" s="405"/>
      <c r="K17" s="405"/>
      <c r="L17" s="405"/>
      <c r="M17" s="405"/>
    </row>
    <row r="18" spans="2:13" x14ac:dyDescent="0.25">
      <c r="B18" s="405" t="s">
        <v>782</v>
      </c>
      <c r="C18" s="405"/>
      <c r="D18" s="405"/>
      <c r="E18" s="405"/>
      <c r="F18" s="405"/>
      <c r="G18" s="405"/>
      <c r="H18" s="405"/>
      <c r="I18" s="405"/>
      <c r="J18" s="405"/>
      <c r="K18" s="405"/>
      <c r="L18" s="405"/>
      <c r="M18" s="405"/>
    </row>
    <row r="19" spans="2:13" x14ac:dyDescent="0.25">
      <c r="B19" s="444" t="s">
        <v>804</v>
      </c>
      <c r="C19" s="444"/>
      <c r="D19" s="444"/>
      <c r="E19" s="444"/>
      <c r="F19" s="444"/>
      <c r="G19" s="444"/>
      <c r="H19" s="444"/>
      <c r="I19" s="444"/>
      <c r="J19" s="444"/>
      <c r="K19" s="444"/>
      <c r="L19" s="444"/>
      <c r="M19" s="444"/>
    </row>
    <row r="20" spans="2:13" x14ac:dyDescent="0.25">
      <c r="B20" s="444" t="s">
        <v>805</v>
      </c>
      <c r="C20" s="444"/>
      <c r="D20" s="444"/>
      <c r="E20" s="444"/>
      <c r="F20" s="444"/>
      <c r="G20" s="444"/>
      <c r="H20" s="444"/>
      <c r="I20" s="444"/>
      <c r="J20" s="444"/>
      <c r="K20" s="444"/>
      <c r="L20" s="444"/>
      <c r="M20" s="444"/>
    </row>
    <row r="21" spans="2:13" x14ac:dyDescent="0.25">
      <c r="B21" s="444" t="s">
        <v>806</v>
      </c>
      <c r="C21" s="444"/>
      <c r="D21" s="444"/>
      <c r="E21" s="444"/>
      <c r="F21" s="444"/>
      <c r="G21" s="444"/>
      <c r="H21" s="444"/>
      <c r="I21" s="444"/>
      <c r="J21" s="444"/>
      <c r="K21" s="444"/>
      <c r="L21" s="444"/>
      <c r="M21" s="444"/>
    </row>
    <row r="22" spans="2:13" x14ac:dyDescent="0.25">
      <c r="B22" s="444" t="s">
        <v>807</v>
      </c>
      <c r="C22" s="444"/>
      <c r="D22" s="444"/>
      <c r="E22" s="444"/>
      <c r="F22" s="444"/>
      <c r="G22" s="444"/>
      <c r="H22" s="444"/>
      <c r="I22" s="444"/>
      <c r="J22" s="444"/>
      <c r="K22" s="444"/>
      <c r="L22" s="444"/>
      <c r="M22" s="444"/>
    </row>
    <row r="23" spans="2:13" x14ac:dyDescent="0.25">
      <c r="B23" s="444" t="s">
        <v>808</v>
      </c>
      <c r="C23" s="444"/>
      <c r="D23" s="444"/>
      <c r="E23" s="444"/>
      <c r="F23" s="444"/>
      <c r="G23" s="444"/>
      <c r="H23" s="444"/>
      <c r="I23" s="444"/>
      <c r="J23" s="444"/>
      <c r="K23" s="444"/>
      <c r="L23" s="444"/>
      <c r="M23" s="444"/>
    </row>
    <row r="24" spans="2:13" x14ac:dyDescent="0.25">
      <c r="B24" s="444" t="s">
        <v>809</v>
      </c>
      <c r="C24" s="444"/>
      <c r="D24" s="444"/>
      <c r="E24" s="444"/>
      <c r="F24" s="444"/>
      <c r="G24" s="444"/>
      <c r="H24" s="444"/>
      <c r="I24" s="444"/>
      <c r="J24" s="444"/>
      <c r="K24" s="444"/>
      <c r="L24" s="444"/>
      <c r="M24" s="444"/>
    </row>
    <row r="25" spans="2:13" x14ac:dyDescent="0.25">
      <c r="B25" s="444" t="s">
        <v>810</v>
      </c>
      <c r="C25" s="444"/>
      <c r="D25" s="444"/>
      <c r="E25" s="444"/>
      <c r="F25" s="444"/>
      <c r="G25" s="444"/>
      <c r="H25" s="444"/>
      <c r="I25" s="444"/>
      <c r="J25" s="444"/>
      <c r="K25" s="444"/>
      <c r="L25" s="444"/>
      <c r="M25" s="444"/>
    </row>
    <row r="26" spans="2:13" x14ac:dyDescent="0.25">
      <c r="B26" s="444" t="s">
        <v>811</v>
      </c>
      <c r="C26" s="444"/>
      <c r="D26" s="444"/>
      <c r="E26" s="444"/>
      <c r="F26" s="444"/>
      <c r="G26" s="444"/>
      <c r="H26" s="444"/>
      <c r="I26" s="444"/>
      <c r="J26" s="444"/>
      <c r="K26" s="444"/>
      <c r="L26" s="444"/>
      <c r="M26" s="444"/>
    </row>
    <row r="27" spans="2:13" x14ac:dyDescent="0.25">
      <c r="B27" s="444" t="s">
        <v>812</v>
      </c>
      <c r="C27" s="444"/>
      <c r="D27" s="444"/>
      <c r="E27" s="444"/>
      <c r="F27" s="444"/>
      <c r="G27" s="444"/>
      <c r="H27" s="444"/>
      <c r="I27" s="444"/>
      <c r="J27" s="444"/>
      <c r="K27" s="444"/>
      <c r="L27" s="444"/>
      <c r="M27" s="444"/>
    </row>
    <row r="28" spans="2:13" x14ac:dyDescent="0.25">
      <c r="B28" s="444" t="s">
        <v>813</v>
      </c>
      <c r="C28" s="444"/>
      <c r="D28" s="444"/>
      <c r="E28" s="444"/>
      <c r="F28" s="444"/>
      <c r="G28" s="444"/>
      <c r="H28" s="444"/>
      <c r="I28" s="444"/>
      <c r="J28" s="444"/>
      <c r="K28" s="444"/>
      <c r="L28" s="444"/>
      <c r="M28" s="444"/>
    </row>
    <row r="29" spans="2:13" x14ac:dyDescent="0.25">
      <c r="B29" s="444" t="s">
        <v>909</v>
      </c>
      <c r="C29" s="444"/>
      <c r="D29" s="444"/>
      <c r="E29" s="444"/>
      <c r="F29" s="444"/>
      <c r="G29" s="444"/>
      <c r="H29" s="444"/>
      <c r="I29" s="444"/>
      <c r="J29" s="444"/>
      <c r="K29" s="444"/>
      <c r="L29" s="444"/>
      <c r="M29" s="444"/>
    </row>
    <row r="30" spans="2:13" x14ac:dyDescent="0.25">
      <c r="B30" s="444" t="s">
        <v>814</v>
      </c>
      <c r="C30" s="444"/>
      <c r="D30" s="444"/>
      <c r="E30" s="444"/>
      <c r="F30" s="444"/>
      <c r="G30" s="444"/>
      <c r="H30" s="444"/>
      <c r="I30" s="444"/>
      <c r="J30" s="444"/>
      <c r="K30" s="444"/>
      <c r="L30" s="444"/>
      <c r="M30" s="444"/>
    </row>
    <row r="31" spans="2:13" x14ac:dyDescent="0.25">
      <c r="B31" s="444" t="s">
        <v>815</v>
      </c>
      <c r="C31" s="444"/>
      <c r="D31" s="444"/>
      <c r="E31" s="444"/>
      <c r="F31" s="444"/>
      <c r="G31" s="444"/>
      <c r="H31" s="444"/>
      <c r="I31" s="444"/>
      <c r="J31" s="444"/>
      <c r="K31" s="444"/>
      <c r="L31" s="444"/>
      <c r="M31" s="444"/>
    </row>
    <row r="32" spans="2:13" x14ac:dyDescent="0.25">
      <c r="B32" s="444" t="s">
        <v>816</v>
      </c>
      <c r="C32" s="444"/>
      <c r="D32" s="444"/>
      <c r="E32" s="444"/>
      <c r="F32" s="444"/>
      <c r="G32" s="444"/>
      <c r="H32" s="444"/>
      <c r="I32" s="444"/>
      <c r="J32" s="444"/>
      <c r="K32" s="444"/>
      <c r="L32" s="444"/>
      <c r="M32" s="444"/>
    </row>
    <row r="33" spans="2:13" x14ac:dyDescent="0.25">
      <c r="B33" s="444" t="s">
        <v>817</v>
      </c>
      <c r="C33" s="444"/>
      <c r="D33" s="444"/>
      <c r="E33" s="444"/>
      <c r="F33" s="444"/>
      <c r="G33" s="444"/>
      <c r="H33" s="444"/>
      <c r="I33" s="444"/>
      <c r="J33" s="444"/>
      <c r="K33" s="444"/>
      <c r="L33" s="444"/>
      <c r="M33" s="444"/>
    </row>
    <row r="34" spans="2:13" x14ac:dyDescent="0.25">
      <c r="B34" s="444" t="s">
        <v>818</v>
      </c>
      <c r="C34" s="444"/>
      <c r="D34" s="444"/>
      <c r="E34" s="444"/>
      <c r="F34" s="444"/>
      <c r="G34" s="444"/>
      <c r="H34" s="444"/>
      <c r="I34" s="444"/>
      <c r="J34" s="444"/>
      <c r="K34" s="444"/>
      <c r="L34" s="444"/>
      <c r="M34" s="444"/>
    </row>
    <row r="35" spans="2:13" x14ac:dyDescent="0.25">
      <c r="B35" s="254"/>
      <c r="C35" s="254"/>
      <c r="D35" s="254"/>
      <c r="E35" s="254"/>
      <c r="F35" s="254"/>
      <c r="G35" s="254"/>
      <c r="H35" s="254"/>
      <c r="I35" s="254"/>
      <c r="J35" s="254"/>
      <c r="K35" s="254"/>
      <c r="L35" s="254"/>
      <c r="M35" s="254"/>
    </row>
    <row r="36" spans="2:13" ht="15.75" x14ac:dyDescent="0.25">
      <c r="B36" s="404" t="s">
        <v>746</v>
      </c>
      <c r="C36" s="404"/>
      <c r="D36" s="404"/>
      <c r="E36" s="404"/>
      <c r="F36" s="404"/>
      <c r="G36" s="404"/>
      <c r="H36" s="404"/>
      <c r="I36" s="404"/>
      <c r="J36" s="404"/>
      <c r="K36" s="404"/>
      <c r="L36" s="404"/>
      <c r="M36" s="404"/>
    </row>
    <row r="37" spans="2:13" x14ac:dyDescent="0.25">
      <c r="B37" s="405" t="s">
        <v>783</v>
      </c>
      <c r="C37" s="405"/>
      <c r="D37" s="405"/>
      <c r="E37" s="405"/>
      <c r="F37" s="405"/>
      <c r="G37" s="405"/>
      <c r="H37" s="405"/>
      <c r="I37" s="405"/>
      <c r="J37" s="405"/>
      <c r="K37" s="405"/>
      <c r="L37" s="405"/>
      <c r="M37" s="405"/>
    </row>
    <row r="38" spans="2:13" x14ac:dyDescent="0.25">
      <c r="B38" s="405" t="s">
        <v>784</v>
      </c>
      <c r="C38" s="405"/>
      <c r="D38" s="405"/>
      <c r="E38" s="405"/>
      <c r="F38" s="405"/>
      <c r="G38" s="405"/>
      <c r="H38" s="405"/>
      <c r="I38" s="405"/>
      <c r="J38" s="405"/>
      <c r="K38" s="405"/>
      <c r="L38" s="405"/>
      <c r="M38" s="405"/>
    </row>
    <row r="39" spans="2:13" x14ac:dyDescent="0.25">
      <c r="B39" s="254"/>
      <c r="C39" s="254"/>
      <c r="D39" s="254"/>
      <c r="E39" s="254"/>
      <c r="F39" s="254"/>
      <c r="G39" s="254"/>
      <c r="H39" s="254"/>
      <c r="I39" s="254"/>
      <c r="J39" s="254"/>
      <c r="K39" s="254"/>
      <c r="L39" s="254"/>
      <c r="M39" s="254"/>
    </row>
    <row r="40" spans="2:13" ht="15.75" x14ac:dyDescent="0.25">
      <c r="B40" s="404" t="s">
        <v>747</v>
      </c>
      <c r="C40" s="404"/>
      <c r="D40" s="404"/>
      <c r="E40" s="404"/>
      <c r="F40" s="404"/>
      <c r="G40" s="404"/>
      <c r="H40" s="404"/>
      <c r="I40" s="404"/>
      <c r="J40" s="404"/>
      <c r="K40" s="404"/>
      <c r="L40" s="404"/>
      <c r="M40" s="404"/>
    </row>
    <row r="41" spans="2:13" x14ac:dyDescent="0.25">
      <c r="B41" s="405" t="s">
        <v>785</v>
      </c>
      <c r="C41" s="405"/>
      <c r="D41" s="405"/>
      <c r="E41" s="405"/>
      <c r="F41" s="405"/>
      <c r="G41" s="405"/>
      <c r="H41" s="405"/>
      <c r="I41" s="405"/>
      <c r="J41" s="405"/>
      <c r="K41" s="405"/>
      <c r="L41" s="405"/>
      <c r="M41" s="405"/>
    </row>
    <row r="42" spans="2:13" x14ac:dyDescent="0.25">
      <c r="B42" s="405" t="s">
        <v>786</v>
      </c>
      <c r="C42" s="405"/>
      <c r="D42" s="405"/>
      <c r="E42" s="405"/>
      <c r="F42" s="405"/>
      <c r="G42" s="405"/>
      <c r="H42" s="405"/>
      <c r="I42" s="405"/>
      <c r="J42" s="405"/>
      <c r="K42" s="405"/>
      <c r="L42" s="405"/>
      <c r="M42" s="405"/>
    </row>
    <row r="43" spans="2:13" x14ac:dyDescent="0.25">
      <c r="B43" s="444" t="s">
        <v>804</v>
      </c>
      <c r="C43" s="444"/>
      <c r="D43" s="444"/>
      <c r="E43" s="444"/>
      <c r="F43" s="444"/>
      <c r="G43" s="444"/>
      <c r="H43" s="444"/>
      <c r="I43" s="444"/>
      <c r="J43" s="444"/>
      <c r="K43" s="444"/>
      <c r="L43" s="444"/>
      <c r="M43" s="444"/>
    </row>
    <row r="44" spans="2:13" x14ac:dyDescent="0.25">
      <c r="B44" s="444" t="s">
        <v>805</v>
      </c>
      <c r="C44" s="444"/>
      <c r="D44" s="444"/>
      <c r="E44" s="444"/>
      <c r="F44" s="444"/>
      <c r="G44" s="444"/>
      <c r="H44" s="444"/>
      <c r="I44" s="444"/>
      <c r="J44" s="444"/>
      <c r="K44" s="444"/>
      <c r="L44" s="444"/>
      <c r="M44" s="444"/>
    </row>
    <row r="45" spans="2:13" x14ac:dyDescent="0.25">
      <c r="B45" s="444" t="s">
        <v>806</v>
      </c>
      <c r="C45" s="444"/>
      <c r="D45" s="444"/>
      <c r="E45" s="444"/>
      <c r="F45" s="444"/>
      <c r="G45" s="444"/>
      <c r="H45" s="444"/>
      <c r="I45" s="444"/>
      <c r="J45" s="444"/>
      <c r="K45" s="444"/>
      <c r="L45" s="444"/>
      <c r="M45" s="444"/>
    </row>
    <row r="46" spans="2:13" x14ac:dyDescent="0.25">
      <c r="B46" s="444" t="s">
        <v>807</v>
      </c>
      <c r="C46" s="444"/>
      <c r="D46" s="444"/>
      <c r="E46" s="444"/>
      <c r="F46" s="444"/>
      <c r="G46" s="444"/>
      <c r="H46" s="444"/>
      <c r="I46" s="444"/>
      <c r="J46" s="444"/>
      <c r="K46" s="444"/>
      <c r="L46" s="444"/>
      <c r="M46" s="444"/>
    </row>
    <row r="47" spans="2:13" x14ac:dyDescent="0.25">
      <c r="B47" s="444" t="s">
        <v>808</v>
      </c>
      <c r="C47" s="444"/>
      <c r="D47" s="444"/>
      <c r="E47" s="444"/>
      <c r="F47" s="444"/>
      <c r="G47" s="444"/>
      <c r="H47" s="444"/>
      <c r="I47" s="444"/>
      <c r="J47" s="444"/>
      <c r="K47" s="444"/>
      <c r="L47" s="444"/>
      <c r="M47" s="444"/>
    </row>
    <row r="48" spans="2:13" x14ac:dyDescent="0.25">
      <c r="B48" s="444" t="s">
        <v>809</v>
      </c>
      <c r="C48" s="444"/>
      <c r="D48" s="444"/>
      <c r="E48" s="444"/>
      <c r="F48" s="444"/>
      <c r="G48" s="444"/>
      <c r="H48" s="444"/>
      <c r="I48" s="444"/>
      <c r="J48" s="444"/>
      <c r="K48" s="444"/>
      <c r="L48" s="444"/>
      <c r="M48" s="444"/>
    </row>
    <row r="49" spans="2:13" x14ac:dyDescent="0.25">
      <c r="B49" s="444" t="s">
        <v>810</v>
      </c>
      <c r="C49" s="444"/>
      <c r="D49" s="444"/>
      <c r="E49" s="444"/>
      <c r="F49" s="444"/>
      <c r="G49" s="444"/>
      <c r="H49" s="444"/>
      <c r="I49" s="444"/>
      <c r="J49" s="444"/>
      <c r="K49" s="444"/>
      <c r="L49" s="444"/>
      <c r="M49" s="444"/>
    </row>
    <row r="50" spans="2:13" x14ac:dyDescent="0.25">
      <c r="B50" s="444" t="s">
        <v>811</v>
      </c>
      <c r="C50" s="444"/>
      <c r="D50" s="444"/>
      <c r="E50" s="444"/>
      <c r="F50" s="444"/>
      <c r="G50" s="444"/>
      <c r="H50" s="444"/>
      <c r="I50" s="444"/>
      <c r="J50" s="444"/>
      <c r="K50" s="444"/>
      <c r="L50" s="444"/>
      <c r="M50" s="444"/>
    </row>
    <row r="51" spans="2:13" x14ac:dyDescent="0.25">
      <c r="B51" s="444" t="s">
        <v>812</v>
      </c>
      <c r="C51" s="444"/>
      <c r="D51" s="444"/>
      <c r="E51" s="444"/>
      <c r="F51" s="444"/>
      <c r="G51" s="444"/>
      <c r="H51" s="444"/>
      <c r="I51" s="444"/>
      <c r="J51" s="444"/>
      <c r="K51" s="444"/>
      <c r="L51" s="444"/>
      <c r="M51" s="444"/>
    </row>
    <row r="52" spans="2:13" x14ac:dyDescent="0.25">
      <c r="B52" s="444" t="s">
        <v>813</v>
      </c>
      <c r="C52" s="444"/>
      <c r="D52" s="444"/>
      <c r="E52" s="444"/>
      <c r="F52" s="444"/>
      <c r="G52" s="444"/>
      <c r="H52" s="444"/>
      <c r="I52" s="444"/>
      <c r="J52" s="444"/>
      <c r="K52" s="444"/>
      <c r="L52" s="444"/>
      <c r="M52" s="444"/>
    </row>
    <row r="53" spans="2:13" x14ac:dyDescent="0.25">
      <c r="B53" s="444" t="s">
        <v>909</v>
      </c>
      <c r="C53" s="444"/>
      <c r="D53" s="444"/>
      <c r="E53" s="444"/>
      <c r="F53" s="444"/>
      <c r="G53" s="444"/>
      <c r="H53" s="444"/>
      <c r="I53" s="444"/>
      <c r="J53" s="444"/>
      <c r="K53" s="444"/>
      <c r="L53" s="444"/>
      <c r="M53" s="444"/>
    </row>
    <row r="54" spans="2:13" x14ac:dyDescent="0.25">
      <c r="B54" s="444" t="s">
        <v>814</v>
      </c>
      <c r="C54" s="444"/>
      <c r="D54" s="444"/>
      <c r="E54" s="444"/>
      <c r="F54" s="444"/>
      <c r="G54" s="444"/>
      <c r="H54" s="444"/>
      <c r="I54" s="444"/>
      <c r="J54" s="444"/>
      <c r="K54" s="444"/>
      <c r="L54" s="444"/>
      <c r="M54" s="444"/>
    </row>
    <row r="55" spans="2:13" x14ac:dyDescent="0.25">
      <c r="B55" s="444" t="s">
        <v>815</v>
      </c>
      <c r="C55" s="444"/>
      <c r="D55" s="444"/>
      <c r="E55" s="444"/>
      <c r="F55" s="444"/>
      <c r="G55" s="444"/>
      <c r="H55" s="444"/>
      <c r="I55" s="444"/>
      <c r="J55" s="444"/>
      <c r="K55" s="444"/>
      <c r="L55" s="444"/>
      <c r="M55" s="444"/>
    </row>
    <row r="56" spans="2:13" x14ac:dyDescent="0.25">
      <c r="B56" s="444" t="s">
        <v>816</v>
      </c>
      <c r="C56" s="444"/>
      <c r="D56" s="444"/>
      <c r="E56" s="444"/>
      <c r="F56" s="444"/>
      <c r="G56" s="444"/>
      <c r="H56" s="444"/>
      <c r="I56" s="444"/>
      <c r="J56" s="444"/>
      <c r="K56" s="444"/>
      <c r="L56" s="444"/>
      <c r="M56" s="444"/>
    </row>
    <row r="57" spans="2:13" x14ac:dyDescent="0.25">
      <c r="B57" s="444" t="s">
        <v>817</v>
      </c>
      <c r="C57" s="444"/>
      <c r="D57" s="444"/>
      <c r="E57" s="444"/>
      <c r="F57" s="444"/>
      <c r="G57" s="444"/>
      <c r="H57" s="444"/>
      <c r="I57" s="444"/>
      <c r="J57" s="444"/>
      <c r="K57" s="444"/>
      <c r="L57" s="444"/>
      <c r="M57" s="444"/>
    </row>
    <row r="58" spans="2:13" x14ac:dyDescent="0.25">
      <c r="B58" s="444" t="s">
        <v>818</v>
      </c>
      <c r="C58" s="444"/>
      <c r="D58" s="444"/>
      <c r="E58" s="444"/>
      <c r="F58" s="444"/>
      <c r="G58" s="444"/>
      <c r="H58" s="444"/>
      <c r="I58" s="444"/>
      <c r="J58" s="444"/>
      <c r="K58" s="444"/>
      <c r="L58" s="444"/>
      <c r="M58" s="444"/>
    </row>
    <row r="59" spans="2:13" x14ac:dyDescent="0.25">
      <c r="B59" s="254"/>
      <c r="C59" s="254"/>
      <c r="D59" s="254"/>
      <c r="E59" s="254"/>
      <c r="F59" s="254"/>
      <c r="G59" s="254"/>
      <c r="H59" s="254"/>
      <c r="I59" s="254"/>
      <c r="J59" s="254"/>
      <c r="K59" s="254"/>
      <c r="L59" s="254"/>
      <c r="M59" s="254"/>
    </row>
    <row r="60" spans="2:13" ht="15.75" x14ac:dyDescent="0.25">
      <c r="B60" s="404" t="s">
        <v>748</v>
      </c>
      <c r="C60" s="404"/>
      <c r="D60" s="404"/>
      <c r="E60" s="404"/>
      <c r="F60" s="404"/>
      <c r="G60" s="404"/>
      <c r="H60" s="404"/>
      <c r="I60" s="404"/>
      <c r="J60" s="404"/>
      <c r="K60" s="404"/>
      <c r="L60" s="404"/>
      <c r="M60" s="404"/>
    </row>
    <row r="61" spans="2:13" x14ac:dyDescent="0.25">
      <c r="B61" s="405" t="s">
        <v>787</v>
      </c>
      <c r="C61" s="405"/>
      <c r="D61" s="405"/>
      <c r="E61" s="405"/>
      <c r="F61" s="405"/>
      <c r="G61" s="405"/>
      <c r="H61" s="405"/>
      <c r="I61" s="405"/>
      <c r="J61" s="405"/>
      <c r="K61" s="405"/>
      <c r="L61" s="405"/>
      <c r="M61" s="405"/>
    </row>
    <row r="62" spans="2:13" x14ac:dyDescent="0.25">
      <c r="B62" s="444" t="s">
        <v>788</v>
      </c>
      <c r="C62" s="444"/>
      <c r="D62" s="444"/>
      <c r="E62" s="444"/>
      <c r="F62" s="444"/>
      <c r="G62" s="444"/>
      <c r="H62" s="444"/>
      <c r="I62" s="444"/>
      <c r="J62" s="444"/>
      <c r="K62" s="444"/>
      <c r="L62" s="444"/>
      <c r="M62" s="444"/>
    </row>
    <row r="63" spans="2:13" x14ac:dyDescent="0.25">
      <c r="B63" s="254"/>
      <c r="C63" s="254"/>
      <c r="D63" s="254"/>
      <c r="E63" s="254"/>
      <c r="F63" s="254"/>
      <c r="G63" s="254"/>
      <c r="H63" s="254"/>
      <c r="I63" s="254"/>
      <c r="J63" s="254"/>
      <c r="K63" s="254"/>
      <c r="L63" s="254"/>
      <c r="M63" s="254"/>
    </row>
    <row r="64" spans="2:13" ht="15.75" x14ac:dyDescent="0.25">
      <c r="B64" s="404" t="s">
        <v>749</v>
      </c>
      <c r="C64" s="404"/>
      <c r="D64" s="404"/>
      <c r="E64" s="404"/>
      <c r="F64" s="404"/>
      <c r="G64" s="404"/>
      <c r="H64" s="404"/>
      <c r="I64" s="404"/>
      <c r="J64" s="404"/>
      <c r="K64" s="404"/>
      <c r="L64" s="404"/>
      <c r="M64" s="404"/>
    </row>
    <row r="65" spans="2:13" ht="15" customHeight="1" x14ac:dyDescent="0.25">
      <c r="B65" s="405" t="s">
        <v>881</v>
      </c>
      <c r="C65" s="405"/>
      <c r="D65" s="405"/>
      <c r="E65" s="405"/>
      <c r="F65" s="405"/>
      <c r="G65" s="405"/>
      <c r="H65" s="405"/>
      <c r="I65" s="405"/>
      <c r="J65" s="405"/>
      <c r="K65" s="405"/>
      <c r="L65" s="405"/>
      <c r="M65" s="405"/>
    </row>
  </sheetData>
  <mergeCells count="53">
    <mergeCell ref="B1:M5"/>
    <mergeCell ref="B9:M9"/>
    <mergeCell ref="B10:M10"/>
    <mergeCell ref="B11:M11"/>
    <mergeCell ref="B13:M13"/>
    <mergeCell ref="B14:M14"/>
    <mergeCell ref="B65:M65"/>
    <mergeCell ref="B12:M12"/>
    <mergeCell ref="B16:M16"/>
    <mergeCell ref="B36:M36"/>
    <mergeCell ref="B40:M40"/>
    <mergeCell ref="B60:M60"/>
    <mergeCell ref="B17:M17"/>
    <mergeCell ref="B18:M18"/>
    <mergeCell ref="B37:M37"/>
    <mergeCell ref="B38:M38"/>
    <mergeCell ref="B41:M41"/>
    <mergeCell ref="B42:M42"/>
    <mergeCell ref="B61:M61"/>
    <mergeCell ref="B62:M62"/>
    <mergeCell ref="B64:M64"/>
    <mergeCell ref="B19:M19"/>
    <mergeCell ref="B43:M43"/>
    <mergeCell ref="B20:M20"/>
    <mergeCell ref="B21:M21"/>
    <mergeCell ref="B22:M22"/>
    <mergeCell ref="B23:M23"/>
    <mergeCell ref="B24:M24"/>
    <mergeCell ref="B25:M25"/>
    <mergeCell ref="B26:M26"/>
    <mergeCell ref="B27:M27"/>
    <mergeCell ref="B28:M28"/>
    <mergeCell ref="B29:M29"/>
    <mergeCell ref="B30:M30"/>
    <mergeCell ref="B31:M31"/>
    <mergeCell ref="B32:M32"/>
    <mergeCell ref="B33:M33"/>
    <mergeCell ref="B34:M34"/>
    <mergeCell ref="B44:M44"/>
    <mergeCell ref="B45:M45"/>
    <mergeCell ref="B46:M46"/>
    <mergeCell ref="B47:M47"/>
    <mergeCell ref="B48:M48"/>
    <mergeCell ref="B49:M49"/>
    <mergeCell ref="B50:M50"/>
    <mergeCell ref="B51:M51"/>
    <mergeCell ref="B57:M57"/>
    <mergeCell ref="B58:M58"/>
    <mergeCell ref="B52:M52"/>
    <mergeCell ref="B53:M53"/>
    <mergeCell ref="B54:M54"/>
    <mergeCell ref="B55:M55"/>
    <mergeCell ref="B56:M56"/>
  </mergeCells>
  <hyperlinks>
    <hyperlink ref="B12:M12" location="'2.1'!A1" display="1. Solicitudes del Pilar No Contributivo a nivel nacional" xr:uid="{57F59DAC-3902-41F3-9770-4B0ED943C89E}"/>
    <hyperlink ref="B16:M16" location="'2.2'!A1" display="2. Solicitudes del Pilar No Contributivo a nivel regional y comunal" xr:uid="{45CC1711-9ABD-4007-9553-62DFB03F7245}"/>
    <hyperlink ref="B36:M36" location="'2.3'!A1" display="3. Solicitudes concedidas del Pilar No Contributivo a nivel nacional" xr:uid="{7CE5D2BA-7C91-4330-B238-AF4E0EE78743}"/>
    <hyperlink ref="B40:M40" location="'2.4'!A1" display="4. Solicitudes concedidas del Pilar No Contributivo a nivel regional y comunal" xr:uid="{E56D016A-8076-40A1-80A8-4EA3227523EA}"/>
    <hyperlink ref="B60:M60" location="'2.5'!A1" display="5. Solicitudes Rechazadas del Pilar No Contributivo" xr:uid="{83C49FFB-6E46-44BD-AFD1-E5F3CB64B25B}"/>
    <hyperlink ref="B64:M64" location="'2.6'!A1" display="6. Tasas de concesión de solicitudes" xr:uid="{B4D06D5B-C45D-4A86-91AB-6FEC64F6FC8F}"/>
    <hyperlink ref="B13:M13" location="'2.1'!B4" display="i. Resumen trimestral de número y estado de solicitudes, según tipo de beneficio y sexo" xr:uid="{35980DFF-395C-425F-B2B2-426099A611C4}"/>
    <hyperlink ref="B14:M14" location="'2.1'!B30" display="ii. Serie resumen de solicitudes de beneficios, por tipo de beneficio y sexo" xr:uid="{4013FCF6-AF21-490E-8AA2-D1230380EC74}"/>
    <hyperlink ref="B17:M17" location="'2.2'!B4" display="i. Resumen trimestral de solicitudes por región, según tipo de beneficio y sexo" xr:uid="{21E32E03-21BE-451D-927F-2513ED813C7F}"/>
    <hyperlink ref="B18:M18" location="'2.2'!B29" display="ii. Número de solicitudes trimestrales por comuna, según tipo de beneficio y sexo" xr:uid="{9AC18C7E-CE0A-42B0-90B9-6AEDBE8DEB04}"/>
    <hyperlink ref="B37:M37" location="'2.4'!B4" display="i. Resumen trimestral de concesiones de beneficios del Pilar No Contributivo" xr:uid="{0E6B654A-7BBA-4174-A3E7-9F5BEEE76060}"/>
    <hyperlink ref="B38:M38" location="'2.3'!B17" display="ii. Serie resumen de solicitudes concedidas de beneficios, por tipo de beneficio y sexo" xr:uid="{5A94AE8E-6531-45C2-A932-CD474E113D79}"/>
    <hyperlink ref="B41:M41" location="'2.4'!B4" display="i. Resumen trimestral de solicitudes concedidas por región, según tipo de beneficio y sexo" xr:uid="{DB4D3256-3380-4CE7-9B75-B6A2563DD330}"/>
    <hyperlink ref="B42:M42" location="'2.4'!B29" display="ii. Número de solicitudes concedidas trimestrales por comuna, según tipo de beneficio y sexo" xr:uid="{C58BBB88-2CBF-4C77-9C34-9E3BCB3DB46C}"/>
    <hyperlink ref="B61:M61" location="'2.5'!B4" display="i. Resumen trimestral de solicitudes de beneficios rechazadas" xr:uid="{B3A5BABD-711D-411C-9527-B5B2697693AC}"/>
    <hyperlink ref="B65:M65" location="'2.6'!B4" display="i. Serie resumen de tasas de concesión de solicitudes por tipo de beneficio y sexo" xr:uid="{F75E0A8D-79F2-4E16-BDDA-5BF733233EAE}"/>
    <hyperlink ref="B19:M19" location="'2.2'!B32" display="   Región de Arica y Parinacota" xr:uid="{B006A254-66F0-4B61-8B2B-780291A6876A}"/>
    <hyperlink ref="B43:M43" location="'2.4'!B32" display="   Región de Arica y Parinacota" xr:uid="{E5CEB43D-1DF8-4AEA-8F18-BF4A35EB3072}"/>
    <hyperlink ref="B44:M44" location="'2.4'!B43" display="   Región de Tarapacá" xr:uid="{8794AC48-5A4C-49A9-AB42-A75466B0DD75}"/>
    <hyperlink ref="B62:M62" location="'2.5'!B29" display="ii. Serie resumen de solicitudes de beneficios rechazadas, por tipo de beneficio y sexo" xr:uid="{9A34FB4F-60BA-421B-B0EE-A0100E3ABEA0}"/>
    <hyperlink ref="B20:M20" location="'2.2'!B43" display="   Región de Tarapacá" xr:uid="{E8797544-C808-4384-A251-61474ABA699F}"/>
    <hyperlink ref="B21:M21" location="'2.2'!B58" display="   Región de Antofagasta" xr:uid="{AA0D5666-6AAA-42B1-B06E-3AD1DC006BEE}"/>
    <hyperlink ref="B22:M22" location="'2.2'!B74" display="   Región de Atacama" xr:uid="{8A4285BC-AFA4-4F12-B1A8-E55DFFD882FE}"/>
    <hyperlink ref="B23:M23" location="'2.2'!B91" display="   Región de Coquimbo" xr:uid="{00DD8EEC-D953-4F2F-AD50-29297E528C45}"/>
    <hyperlink ref="B24:M24" location="'2.2'!B114" display="   Región de Valparaíso" xr:uid="{71863576-2782-4F56-888A-ADEC7D10D069}"/>
    <hyperlink ref="B25:M25" location="'2.2'!B160" display="   Región Metropolitana de Santiago" xr:uid="{81C9F573-690C-4FC0-94E8-14BDE0F3CAA3}"/>
    <hyperlink ref="B26:M26" location="'2.2'!B220" display="   Región del Libertador General Bernardo O’Higgins" xr:uid="{53CEA139-E19F-4C68-929E-F3E8B24F241B}"/>
    <hyperlink ref="B27:M27" location="'2.2'!B261" display="   Región del Maule" xr:uid="{A7022C96-4525-4DC0-A420-768D184FEEFD}"/>
    <hyperlink ref="B28:M28" location="'2.2'!B300" display="   Región del Ñuble" xr:uid="{32321A19-7CA9-4C3F-B966-C50F62BCBFA2}"/>
    <hyperlink ref="B29:M29" location="'2.2'!B330" display="   Región del Biobío" xr:uid="{11C6C291-1E00-40E7-B781-26A766FAECDB}"/>
    <hyperlink ref="B30:M30" location="'2.2'!B371" display="   Región de La Araucanía" xr:uid="{8F3B6149-F4E2-4756-82BF-5E16C8B34D83}"/>
    <hyperlink ref="B31:M31" location="'2.2'!B412" display="   Región de Los Ríos" xr:uid="{47CDA6A2-2D47-4170-B95B-A4B39C695CEC}"/>
    <hyperlink ref="B32:M32" location="'2.2'!B433" display="   Región de Los Lagos" xr:uid="{8B1B4D12-F35A-48C0-9892-ADA46E7D12C5}"/>
    <hyperlink ref="B33:M33" location="'2.2'!B471" display="   Región Aysén del General Carlos Ibáñez del Campo" xr:uid="{860C034F-401F-4913-BF95-7C836F6BDC48}"/>
    <hyperlink ref="B34:M34" location="'2.2'!B489" display="   Región de Magallanes y Antártica Chilena" xr:uid="{83527B02-F680-423D-B7E1-34F7138BC04F}"/>
    <hyperlink ref="B45:M45" location="'2.4'!B57" display="   Región de Antofagasta" xr:uid="{A9791C5C-3EC8-435D-8C7F-3C9282BCA2A9}"/>
    <hyperlink ref="B46:M46" location="'2.4'!B72" display="   Región de Atacama" xr:uid="{75E08CF1-D3B6-46D1-9617-943E96B2CECC}"/>
    <hyperlink ref="B47:M47" location="'2.4'!B89" display="   Región de Coquimbo" xr:uid="{412109EE-6505-4C36-AD65-1CA204547AA5}"/>
    <hyperlink ref="B48:M48" location="'2.4'!B112" display="   Región de Valparaíso" xr:uid="{EDC115D3-4B22-4FE6-A15C-3760A40E7161}"/>
    <hyperlink ref="B49:M49" location="'2.4'!B158" display="   Región Metropolitana de Santiago" xr:uid="{ECF7CA47-244F-4824-8957-DCE2908557C5}"/>
    <hyperlink ref="B50:M50" location="'2.4'!B219" display="   Región del Libertador General Bernardo O’Higgins" xr:uid="{609CA6B4-8A2F-4635-9A61-462F257F44A3}"/>
    <hyperlink ref="B51:M51" location="'2.4'!B260" display="   Región del Maule" xr:uid="{28EE5A7D-DD16-4B2E-B579-5047E5782EF3}"/>
    <hyperlink ref="B52:M52" location="'2.4'!B299" display="   Región del Ñuble" xr:uid="{1776E19F-1023-4096-9377-1062BD50F6D0}"/>
    <hyperlink ref="B53:M53" location="'2.4'!B329" display="   Región del Biobío" xr:uid="{0BE66597-C268-4A8B-A59D-1A278AA12CE3}"/>
    <hyperlink ref="B54:M54" location="'2.4'!B370" display="   Región de La Araucanía" xr:uid="{6B5CDE43-70DA-4B6A-A342-AE39EF199F69}"/>
    <hyperlink ref="B55:M55" location="'2.4'!B411" display="   Región de Los Ríos" xr:uid="{9B603514-4881-4AAC-B6F8-83101A0C8CC6}"/>
    <hyperlink ref="B56:M56" location="'2.4'!B432" display="   Región de Los Lagos" xr:uid="{D68C8412-4358-40DA-88E5-ACBDCE70F493}"/>
    <hyperlink ref="B57:M57" location="'2.4'!B470" display="   Región Aysén del General Carlos Ibáñez del Campo" xr:uid="{EFEE7215-5F11-4DE6-B2C9-B8D63D31B5B1}"/>
    <hyperlink ref="B58:M58" location="'2.4'!B488" display="   Región de Magallanes y Antártica Chilena" xr:uid="{2D6CB4AA-D564-42C7-9303-7FCBC2F6B0B4}"/>
  </hyperlink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79"/>
  <sheetViews>
    <sheetView showGridLines="0" workbookViewId="0">
      <selection activeCell="B30" sqref="B30"/>
    </sheetView>
    <sheetView showGridLines="0" workbookViewId="1"/>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4.7109375" style="7"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697</v>
      </c>
    </row>
    <row r="4" spans="2:20" ht="18.75" x14ac:dyDescent="0.3">
      <c r="B4" s="2" t="s">
        <v>768</v>
      </c>
      <c r="C4" s="8"/>
      <c r="D4" s="8"/>
      <c r="E4" s="8"/>
      <c r="F4" s="8"/>
      <c r="G4" s="8"/>
      <c r="H4" s="8"/>
    </row>
    <row r="5" spans="2:20" x14ac:dyDescent="0.25">
      <c r="B5" s="3" t="s">
        <v>912</v>
      </c>
    </row>
    <row r="6" spans="2:20" x14ac:dyDescent="0.25">
      <c r="B6" s="15"/>
    </row>
    <row r="7" spans="2:20" x14ac:dyDescent="0.25">
      <c r="B7" s="460" t="s">
        <v>477</v>
      </c>
      <c r="C7" s="431" t="s">
        <v>589</v>
      </c>
      <c r="D7" s="459" t="s">
        <v>867</v>
      </c>
      <c r="E7" s="459"/>
      <c r="F7" s="459"/>
      <c r="G7" s="459"/>
      <c r="H7" s="459"/>
      <c r="I7" s="459"/>
      <c r="J7" s="459"/>
      <c r="K7" s="459"/>
      <c r="L7" s="459"/>
      <c r="M7" s="459"/>
      <c r="N7" s="459"/>
      <c r="O7" s="459"/>
      <c r="P7" s="13"/>
    </row>
    <row r="8" spans="2:20" x14ac:dyDescent="0.25">
      <c r="B8" s="461"/>
      <c r="C8" s="431"/>
      <c r="D8" s="463" t="s">
        <v>14</v>
      </c>
      <c r="E8" s="463"/>
      <c r="F8" s="463" t="s">
        <v>15</v>
      </c>
      <c r="G8" s="463"/>
      <c r="H8" s="463" t="s">
        <v>727</v>
      </c>
      <c r="I8" s="463"/>
      <c r="J8" s="463" t="s">
        <v>16</v>
      </c>
      <c r="K8" s="463"/>
      <c r="L8" s="463" t="s">
        <v>926</v>
      </c>
      <c r="M8" s="463"/>
      <c r="N8" s="464" t="s">
        <v>486</v>
      </c>
      <c r="O8" s="464"/>
      <c r="P8" s="13"/>
      <c r="Q8" s="13"/>
      <c r="R8" s="13"/>
      <c r="S8" s="13"/>
      <c r="T8" s="13"/>
    </row>
    <row r="9" spans="2:20" x14ac:dyDescent="0.25">
      <c r="B9" s="462"/>
      <c r="C9" s="431"/>
      <c r="D9" s="264" t="s">
        <v>1</v>
      </c>
      <c r="E9" s="264" t="s">
        <v>7</v>
      </c>
      <c r="F9" s="264" t="s">
        <v>1</v>
      </c>
      <c r="G9" s="264" t="s">
        <v>7</v>
      </c>
      <c r="H9" s="264" t="s">
        <v>1</v>
      </c>
      <c r="I9" s="264" t="s">
        <v>7</v>
      </c>
      <c r="J9" s="264" t="s">
        <v>1</v>
      </c>
      <c r="K9" s="264" t="s">
        <v>7</v>
      </c>
      <c r="L9" s="264" t="s">
        <v>1</v>
      </c>
      <c r="M9" s="264" t="s">
        <v>7</v>
      </c>
      <c r="N9" s="274" t="s">
        <v>1</v>
      </c>
      <c r="O9" s="274" t="s">
        <v>7</v>
      </c>
      <c r="P9" s="13"/>
      <c r="Q9" s="13"/>
      <c r="R9" s="13"/>
      <c r="S9" s="13"/>
      <c r="T9" s="13"/>
    </row>
    <row r="10" spans="2:20" x14ac:dyDescent="0.25">
      <c r="B10" s="426" t="s">
        <v>857</v>
      </c>
      <c r="C10" s="296" t="s">
        <v>73</v>
      </c>
      <c r="D10" s="284">
        <v>9714</v>
      </c>
      <c r="E10" s="299">
        <v>0.52986417934871544</v>
      </c>
      <c r="F10" s="284">
        <v>1042</v>
      </c>
      <c r="G10" s="299">
        <v>5.6837397043582608E-2</v>
      </c>
      <c r="H10" s="284">
        <v>7474</v>
      </c>
      <c r="I10" s="299">
        <v>0.40768013963890248</v>
      </c>
      <c r="J10" s="284">
        <v>55</v>
      </c>
      <c r="K10" s="299">
        <v>3.0000545464462991E-3</v>
      </c>
      <c r="L10" s="284">
        <v>48</v>
      </c>
      <c r="M10" s="299">
        <v>2.6182294223531331E-3</v>
      </c>
      <c r="N10" s="285">
        <v>18333</v>
      </c>
      <c r="O10" s="300">
        <v>1</v>
      </c>
      <c r="P10" s="13"/>
      <c r="Q10" s="13"/>
      <c r="R10" s="13"/>
      <c r="S10" s="13"/>
      <c r="T10" s="13"/>
    </row>
    <row r="11" spans="2:20" x14ac:dyDescent="0.25">
      <c r="B11" s="427"/>
      <c r="C11" s="296" t="s">
        <v>74</v>
      </c>
      <c r="D11" s="284">
        <v>9739</v>
      </c>
      <c r="E11" s="299">
        <v>0.55297524415171473</v>
      </c>
      <c r="F11" s="284">
        <v>884</v>
      </c>
      <c r="G11" s="299">
        <v>5.019305019305019E-2</v>
      </c>
      <c r="H11" s="284">
        <v>6953</v>
      </c>
      <c r="I11" s="299">
        <v>0.39478764478764478</v>
      </c>
      <c r="J11" s="284">
        <v>28</v>
      </c>
      <c r="K11" s="299">
        <v>1.589825119236884E-3</v>
      </c>
      <c r="L11" s="284">
        <v>8</v>
      </c>
      <c r="M11" s="299">
        <v>4.5423574835339541E-4</v>
      </c>
      <c r="N11" s="285">
        <v>17612</v>
      </c>
      <c r="O11" s="300">
        <v>1</v>
      </c>
      <c r="P11" s="13"/>
      <c r="Q11" s="13"/>
      <c r="R11" s="13"/>
      <c r="S11" s="13"/>
      <c r="T11" s="13"/>
    </row>
    <row r="12" spans="2:20" x14ac:dyDescent="0.25">
      <c r="B12" s="428"/>
      <c r="C12" s="296" t="s">
        <v>588</v>
      </c>
      <c r="D12" s="284">
        <v>19453</v>
      </c>
      <c r="E12" s="299">
        <v>0.54118792599805254</v>
      </c>
      <c r="F12" s="284">
        <v>1926</v>
      </c>
      <c r="G12" s="299">
        <v>5.3581861176797883E-2</v>
      </c>
      <c r="H12" s="284">
        <v>14427</v>
      </c>
      <c r="I12" s="299">
        <v>0.40136319376825708</v>
      </c>
      <c r="J12" s="284">
        <v>83</v>
      </c>
      <c r="K12" s="299">
        <v>2.30908332174155E-3</v>
      </c>
      <c r="L12" s="284">
        <v>56</v>
      </c>
      <c r="M12" s="299">
        <v>1.557935735150925E-3</v>
      </c>
      <c r="N12" s="285">
        <v>35945</v>
      </c>
      <c r="O12" s="300">
        <v>1</v>
      </c>
      <c r="P12" s="13"/>
      <c r="Q12" s="13"/>
      <c r="R12" s="13"/>
      <c r="S12" s="13"/>
      <c r="T12" s="13"/>
    </row>
    <row r="13" spans="2:20" x14ac:dyDescent="0.25">
      <c r="B13" s="426" t="s">
        <v>858</v>
      </c>
      <c r="C13" s="296" t="s">
        <v>73</v>
      </c>
      <c r="D13" s="301">
        <v>8664</v>
      </c>
      <c r="E13" s="299">
        <v>0.56369551073519841</v>
      </c>
      <c r="F13" s="284">
        <v>1140</v>
      </c>
      <c r="G13" s="299">
        <v>7.41704619388419E-2</v>
      </c>
      <c r="H13" s="284">
        <v>5543</v>
      </c>
      <c r="I13" s="299">
        <v>0.36063760572543918</v>
      </c>
      <c r="J13" s="284">
        <v>19</v>
      </c>
      <c r="K13" s="299">
        <v>1.2361743656473651E-3</v>
      </c>
      <c r="L13" s="284">
        <v>4</v>
      </c>
      <c r="M13" s="299">
        <v>2.6024723487312948E-4</v>
      </c>
      <c r="N13" s="285">
        <v>15370</v>
      </c>
      <c r="O13" s="300">
        <v>1</v>
      </c>
      <c r="P13" s="13"/>
      <c r="Q13" s="13"/>
      <c r="R13" s="13"/>
      <c r="S13" s="13"/>
      <c r="T13" s="13"/>
    </row>
    <row r="14" spans="2:20" x14ac:dyDescent="0.25">
      <c r="B14" s="427"/>
      <c r="C14" s="296" t="s">
        <v>74</v>
      </c>
      <c r="D14" s="301">
        <v>5589</v>
      </c>
      <c r="E14" s="299">
        <v>0.50197592958505477</v>
      </c>
      <c r="F14" s="284">
        <v>1289</v>
      </c>
      <c r="G14" s="299">
        <v>0.1157715106879828</v>
      </c>
      <c r="H14" s="284">
        <v>4221</v>
      </c>
      <c r="I14" s="299">
        <v>0.37910903538710261</v>
      </c>
      <c r="J14" s="284">
        <v>35</v>
      </c>
      <c r="K14" s="299">
        <v>3.143524339859888E-3</v>
      </c>
      <c r="L14" s="284">
        <v>0</v>
      </c>
      <c r="M14" s="299">
        <v>0</v>
      </c>
      <c r="N14" s="285">
        <v>11134</v>
      </c>
      <c r="O14" s="300">
        <v>1</v>
      </c>
      <c r="P14" s="13"/>
      <c r="Q14" s="13"/>
      <c r="R14" s="13"/>
      <c r="S14" s="13"/>
      <c r="T14" s="13"/>
    </row>
    <row r="15" spans="2:20" x14ac:dyDescent="0.25">
      <c r="B15" s="428"/>
      <c r="C15" s="296" t="s">
        <v>588</v>
      </c>
      <c r="D15" s="301">
        <v>14253</v>
      </c>
      <c r="E15" s="299">
        <v>0.53776788409296705</v>
      </c>
      <c r="F15" s="284">
        <v>2429</v>
      </c>
      <c r="G15" s="299">
        <v>9.1646543917899184E-2</v>
      </c>
      <c r="H15" s="284">
        <v>9764</v>
      </c>
      <c r="I15" s="299">
        <v>0.36839722306067008</v>
      </c>
      <c r="J15" s="284">
        <v>54</v>
      </c>
      <c r="K15" s="299">
        <v>2.0374283127075161E-3</v>
      </c>
      <c r="L15" s="284">
        <v>4</v>
      </c>
      <c r="M15" s="299">
        <v>1.509206157561123E-4</v>
      </c>
      <c r="N15" s="285">
        <v>26504</v>
      </c>
      <c r="O15" s="300">
        <v>1</v>
      </c>
      <c r="P15" s="13"/>
      <c r="Q15" s="13"/>
      <c r="R15" s="13"/>
      <c r="S15" s="13"/>
      <c r="T15" s="13"/>
    </row>
    <row r="16" spans="2:20" x14ac:dyDescent="0.25">
      <c r="B16" s="426" t="s">
        <v>3</v>
      </c>
      <c r="C16" s="296" t="s">
        <v>73</v>
      </c>
      <c r="D16" s="284">
        <v>298</v>
      </c>
      <c r="E16" s="299">
        <v>4.0210497908514373E-2</v>
      </c>
      <c r="F16" s="284">
        <v>191</v>
      </c>
      <c r="G16" s="299">
        <v>2.5772500337336392E-2</v>
      </c>
      <c r="H16" s="284">
        <v>6657</v>
      </c>
      <c r="I16" s="299">
        <v>0.8982593442180542</v>
      </c>
      <c r="J16" s="284">
        <v>149</v>
      </c>
      <c r="K16" s="299">
        <v>2.010524895425719E-2</v>
      </c>
      <c r="L16" s="284">
        <v>116</v>
      </c>
      <c r="M16" s="299">
        <v>1.565240858183781E-2</v>
      </c>
      <c r="N16" s="285">
        <v>7411</v>
      </c>
      <c r="O16" s="300">
        <v>1</v>
      </c>
      <c r="P16" s="13"/>
      <c r="Q16" s="13"/>
      <c r="R16" s="13"/>
      <c r="S16" s="13"/>
      <c r="T16" s="13"/>
    </row>
    <row r="17" spans="2:30" x14ac:dyDescent="0.25">
      <c r="B17" s="427"/>
      <c r="C17" s="296" t="s">
        <v>74</v>
      </c>
      <c r="D17" s="284">
        <v>248</v>
      </c>
      <c r="E17" s="299">
        <v>9.8962490023942543E-2</v>
      </c>
      <c r="F17" s="284">
        <v>53</v>
      </c>
      <c r="G17" s="299">
        <v>2.1149241819632882E-2</v>
      </c>
      <c r="H17" s="284">
        <v>2187</v>
      </c>
      <c r="I17" s="299">
        <v>0.87270550678371905</v>
      </c>
      <c r="J17" s="284">
        <v>12</v>
      </c>
      <c r="K17" s="299">
        <v>4.7885075818036712E-3</v>
      </c>
      <c r="L17" s="284">
        <v>6</v>
      </c>
      <c r="M17" s="299">
        <v>2.394253790901836E-3</v>
      </c>
      <c r="N17" s="285">
        <v>2506</v>
      </c>
      <c r="O17" s="300">
        <v>1</v>
      </c>
      <c r="P17" s="13"/>
      <c r="Q17" s="13"/>
      <c r="R17" s="13"/>
      <c r="S17" s="13"/>
      <c r="T17" s="13"/>
    </row>
    <row r="18" spans="2:30" x14ac:dyDescent="0.25">
      <c r="B18" s="428"/>
      <c r="C18" s="296" t="s">
        <v>588</v>
      </c>
      <c r="D18" s="284">
        <v>546</v>
      </c>
      <c r="E18" s="299">
        <v>5.5056972874861353E-2</v>
      </c>
      <c r="F18" s="284">
        <v>244</v>
      </c>
      <c r="G18" s="299">
        <v>2.4604214984370269E-2</v>
      </c>
      <c r="H18" s="284">
        <v>8844</v>
      </c>
      <c r="I18" s="299">
        <v>0.89180195623676517</v>
      </c>
      <c r="J18" s="284">
        <v>161</v>
      </c>
      <c r="K18" s="299">
        <v>1.623474841181809E-2</v>
      </c>
      <c r="L18" s="284">
        <v>122</v>
      </c>
      <c r="M18" s="299">
        <v>1.2302107492185139E-2</v>
      </c>
      <c r="N18" s="285">
        <v>9917</v>
      </c>
      <c r="O18" s="300">
        <v>1</v>
      </c>
      <c r="P18" s="13"/>
      <c r="Q18" s="13"/>
      <c r="R18" s="13"/>
      <c r="S18" s="13"/>
      <c r="T18" s="13"/>
    </row>
    <row r="19" spans="2:30" x14ac:dyDescent="0.25">
      <c r="B19" s="426" t="s">
        <v>5</v>
      </c>
      <c r="C19" s="296" t="s">
        <v>73</v>
      </c>
      <c r="D19" s="284">
        <v>694</v>
      </c>
      <c r="E19" s="299">
        <v>0.2330423102753526</v>
      </c>
      <c r="F19" s="284">
        <v>59</v>
      </c>
      <c r="G19" s="299">
        <v>1.9811954331766291E-2</v>
      </c>
      <c r="H19" s="302">
        <v>2213</v>
      </c>
      <c r="I19" s="299">
        <v>0.74311618535930157</v>
      </c>
      <c r="J19" s="284">
        <v>6</v>
      </c>
      <c r="K19" s="299">
        <v>2.0147750167897921E-3</v>
      </c>
      <c r="L19" s="284">
        <v>6</v>
      </c>
      <c r="M19" s="299">
        <v>2.0147750167897921E-3</v>
      </c>
      <c r="N19" s="285">
        <v>2978</v>
      </c>
      <c r="O19" s="300">
        <v>1</v>
      </c>
      <c r="P19" s="13"/>
      <c r="Q19" s="13"/>
      <c r="R19" s="13"/>
      <c r="S19" s="13"/>
      <c r="T19" s="13"/>
      <c r="U19" s="13"/>
      <c r="V19" s="222"/>
      <c r="W19" s="222"/>
      <c r="X19" s="90"/>
      <c r="Y19" s="224"/>
      <c r="Z19" s="224"/>
      <c r="AA19" s="224"/>
      <c r="AB19" s="224"/>
      <c r="AC19" s="224"/>
      <c r="AD19" s="224"/>
    </row>
    <row r="20" spans="2:30" x14ac:dyDescent="0.25">
      <c r="B20" s="427"/>
      <c r="C20" s="296" t="s">
        <v>74</v>
      </c>
      <c r="D20" s="284">
        <v>1057</v>
      </c>
      <c r="E20" s="299">
        <v>0.32205971968312003</v>
      </c>
      <c r="F20" s="284">
        <v>58</v>
      </c>
      <c r="G20" s="299">
        <v>1.7672151127361369E-2</v>
      </c>
      <c r="H20" s="284">
        <v>2161</v>
      </c>
      <c r="I20" s="299">
        <v>0.65843997562461909</v>
      </c>
      <c r="J20" s="284">
        <v>5</v>
      </c>
      <c r="K20" s="299">
        <v>1.5234613040828759E-3</v>
      </c>
      <c r="L20" s="284">
        <v>1</v>
      </c>
      <c r="M20" s="299">
        <v>3.0469226081657528E-4</v>
      </c>
      <c r="N20" s="285">
        <v>3282</v>
      </c>
      <c r="O20" s="300">
        <v>1</v>
      </c>
      <c r="P20" s="13"/>
      <c r="Q20" s="13"/>
      <c r="R20" s="13"/>
      <c r="S20" s="13"/>
      <c r="T20" s="13"/>
      <c r="U20" s="13"/>
      <c r="V20" s="222"/>
      <c r="W20" s="222"/>
      <c r="X20" s="90"/>
      <c r="Y20" s="224"/>
      <c r="Z20" s="224"/>
      <c r="AA20" s="224"/>
      <c r="AB20" s="224"/>
      <c r="AC20" s="224"/>
      <c r="AD20" s="224"/>
    </row>
    <row r="21" spans="2:30" x14ac:dyDescent="0.25">
      <c r="B21" s="428"/>
      <c r="C21" s="296" t="s">
        <v>588</v>
      </c>
      <c r="D21" s="284">
        <v>1751</v>
      </c>
      <c r="E21" s="299">
        <v>0.27971246006389783</v>
      </c>
      <c r="F21" s="284">
        <v>117</v>
      </c>
      <c r="G21" s="299">
        <v>1.8690095846645369E-2</v>
      </c>
      <c r="H21" s="284">
        <v>4374</v>
      </c>
      <c r="I21" s="299">
        <v>0.69872204472843447</v>
      </c>
      <c r="J21" s="284">
        <v>11</v>
      </c>
      <c r="K21" s="299">
        <v>1.757188498402556E-3</v>
      </c>
      <c r="L21" s="284">
        <v>7</v>
      </c>
      <c r="M21" s="299">
        <v>1.118210862619808E-3</v>
      </c>
      <c r="N21" s="285">
        <v>6260</v>
      </c>
      <c r="O21" s="300">
        <v>1</v>
      </c>
      <c r="P21" s="13"/>
      <c r="Q21" s="13"/>
      <c r="R21" s="13"/>
      <c r="S21" s="13"/>
      <c r="T21" s="13"/>
      <c r="U21" s="13"/>
      <c r="V21" s="222"/>
      <c r="W21" s="222"/>
      <c r="X21" s="90"/>
      <c r="Y21" s="224"/>
      <c r="Z21" s="224"/>
      <c r="AA21" s="224"/>
      <c r="AB21" s="224"/>
      <c r="AC21" s="224"/>
      <c r="AD21" s="224"/>
    </row>
    <row r="22" spans="2:30" x14ac:dyDescent="0.25">
      <c r="B22" s="426" t="s">
        <v>859</v>
      </c>
      <c r="C22" s="296" t="s">
        <v>73</v>
      </c>
      <c r="D22" s="284">
        <v>6</v>
      </c>
      <c r="E22" s="299">
        <v>0.66666666666666663</v>
      </c>
      <c r="F22" s="284">
        <v>0</v>
      </c>
      <c r="G22" s="299">
        <v>0</v>
      </c>
      <c r="H22" s="284">
        <v>3</v>
      </c>
      <c r="I22" s="299">
        <v>0.33333333333333331</v>
      </c>
      <c r="J22" s="284">
        <v>0</v>
      </c>
      <c r="K22" s="299">
        <v>0</v>
      </c>
      <c r="L22" s="284">
        <v>0</v>
      </c>
      <c r="M22" s="299">
        <v>0</v>
      </c>
      <c r="N22" s="285">
        <v>9</v>
      </c>
      <c r="O22" s="300">
        <v>1</v>
      </c>
      <c r="P22" s="13"/>
      <c r="Q22" s="13"/>
      <c r="R22" s="13"/>
      <c r="S22" s="13"/>
      <c r="T22" s="13"/>
      <c r="U22" s="13"/>
      <c r="V22" s="222"/>
      <c r="W22" s="222"/>
      <c r="X22" s="90"/>
      <c r="Y22" s="224"/>
      <c r="Z22" s="224"/>
      <c r="AA22" s="224"/>
      <c r="AB22" s="224"/>
      <c r="AC22" s="224"/>
      <c r="AD22" s="224"/>
    </row>
    <row r="23" spans="2:30" x14ac:dyDescent="0.25">
      <c r="B23" s="427"/>
      <c r="C23" s="296" t="s">
        <v>74</v>
      </c>
      <c r="D23" s="284">
        <v>12</v>
      </c>
      <c r="E23" s="299">
        <v>0.38709677419354838</v>
      </c>
      <c r="F23" s="284">
        <v>9</v>
      </c>
      <c r="G23" s="299">
        <v>0.29032258064516131</v>
      </c>
      <c r="H23" s="284">
        <v>10</v>
      </c>
      <c r="I23" s="299">
        <v>0.32258064516129031</v>
      </c>
      <c r="J23" s="284">
        <v>0</v>
      </c>
      <c r="K23" s="299">
        <v>0</v>
      </c>
      <c r="L23" s="284">
        <v>0</v>
      </c>
      <c r="M23" s="299">
        <v>0</v>
      </c>
      <c r="N23" s="285">
        <v>31</v>
      </c>
      <c r="O23" s="300">
        <v>1</v>
      </c>
      <c r="P23" s="13"/>
      <c r="Q23" s="13"/>
      <c r="R23" s="13"/>
      <c r="S23" s="13"/>
      <c r="T23" s="13"/>
      <c r="U23" s="13"/>
      <c r="V23" s="222"/>
      <c r="W23" s="222"/>
      <c r="X23" s="90"/>
      <c r="Y23" s="224"/>
      <c r="Z23" s="224"/>
      <c r="AA23" s="224"/>
      <c r="AB23" s="224"/>
      <c r="AC23" s="224"/>
      <c r="AD23" s="224"/>
    </row>
    <row r="24" spans="2:30" x14ac:dyDescent="0.25">
      <c r="B24" s="428"/>
      <c r="C24" s="296" t="s">
        <v>588</v>
      </c>
      <c r="D24" s="284">
        <v>18</v>
      </c>
      <c r="E24" s="299">
        <v>0.45</v>
      </c>
      <c r="F24" s="284">
        <v>9</v>
      </c>
      <c r="G24" s="299">
        <v>0.22500000000000001</v>
      </c>
      <c r="H24" s="284">
        <v>13</v>
      </c>
      <c r="I24" s="299">
        <v>0.32500000000000001</v>
      </c>
      <c r="J24" s="284">
        <v>0</v>
      </c>
      <c r="K24" s="299">
        <v>0</v>
      </c>
      <c r="L24" s="284">
        <v>0</v>
      </c>
      <c r="M24" s="299">
        <v>0</v>
      </c>
      <c r="N24" s="285">
        <v>40</v>
      </c>
      <c r="O24" s="300">
        <v>1</v>
      </c>
      <c r="P24" s="13"/>
      <c r="Q24" s="13"/>
      <c r="R24" s="13"/>
      <c r="S24" s="13"/>
      <c r="T24" s="13"/>
      <c r="U24" s="13"/>
      <c r="V24" s="222"/>
      <c r="W24" s="222"/>
      <c r="X24" s="90"/>
      <c r="Y24" s="224"/>
      <c r="Z24" s="224"/>
      <c r="AA24" s="224"/>
      <c r="AB24" s="224"/>
      <c r="AC24" s="224"/>
      <c r="AD24" s="224"/>
    </row>
    <row r="25" spans="2:30" x14ac:dyDescent="0.25">
      <c r="B25" s="458" t="s">
        <v>689</v>
      </c>
      <c r="C25" s="297" t="s">
        <v>73</v>
      </c>
      <c r="D25" s="285">
        <v>19376</v>
      </c>
      <c r="E25" s="303">
        <v>0.43935511666402122</v>
      </c>
      <c r="F25" s="285">
        <v>2432</v>
      </c>
      <c r="G25" s="303">
        <v>5.5146141810843291E-2</v>
      </c>
      <c r="H25" s="285">
        <v>21890</v>
      </c>
      <c r="I25" s="303">
        <v>0.49636062674315767</v>
      </c>
      <c r="J25" s="285">
        <v>229</v>
      </c>
      <c r="K25" s="303">
        <v>5.1926260175506221E-3</v>
      </c>
      <c r="L25" s="285">
        <v>174</v>
      </c>
      <c r="M25" s="303">
        <v>3.9454887644271106E-3</v>
      </c>
      <c r="N25" s="285">
        <v>44101</v>
      </c>
      <c r="O25" s="300">
        <v>1</v>
      </c>
      <c r="P25" s="13"/>
      <c r="Q25" s="13"/>
      <c r="R25" s="13"/>
      <c r="S25" s="13"/>
      <c r="T25" s="13"/>
      <c r="U25" s="13"/>
      <c r="V25" s="222"/>
      <c r="W25" s="222"/>
      <c r="X25" s="90"/>
      <c r="Y25" s="224"/>
      <c r="Z25" s="224"/>
      <c r="AA25" s="224"/>
      <c r="AB25" s="224"/>
      <c r="AC25" s="224"/>
      <c r="AD25" s="224"/>
    </row>
    <row r="26" spans="2:30" x14ac:dyDescent="0.25">
      <c r="B26" s="458"/>
      <c r="C26" s="297" t="s">
        <v>74</v>
      </c>
      <c r="D26" s="285">
        <v>16645</v>
      </c>
      <c r="E26" s="303">
        <v>0.48155648777665272</v>
      </c>
      <c r="F26" s="285">
        <v>2293</v>
      </c>
      <c r="G26" s="303">
        <v>6.6338782004918273E-2</v>
      </c>
      <c r="H26" s="285">
        <v>15532</v>
      </c>
      <c r="I26" s="303">
        <v>0.44935628525965571</v>
      </c>
      <c r="J26" s="285">
        <v>80</v>
      </c>
      <c r="K26" s="303">
        <v>2.3144799652828011E-3</v>
      </c>
      <c r="L26" s="285">
        <v>15</v>
      </c>
      <c r="M26" s="303">
        <v>4.339649934905251E-4</v>
      </c>
      <c r="N26" s="285">
        <v>34565</v>
      </c>
      <c r="O26" s="300">
        <v>1</v>
      </c>
      <c r="P26" s="13"/>
      <c r="Q26" s="13"/>
      <c r="R26" s="13"/>
      <c r="S26" s="13"/>
      <c r="T26" s="13"/>
      <c r="U26" s="13"/>
      <c r="V26" s="222"/>
      <c r="W26" s="222"/>
      <c r="X26" s="90"/>
      <c r="Y26" s="224"/>
      <c r="Z26" s="224"/>
      <c r="AA26" s="224"/>
      <c r="AB26" s="224"/>
      <c r="AC26" s="224"/>
      <c r="AD26" s="224"/>
    </row>
    <row r="27" spans="2:30" x14ac:dyDescent="0.25">
      <c r="B27" s="458"/>
      <c r="C27" s="297" t="s">
        <v>588</v>
      </c>
      <c r="D27" s="285">
        <v>36021</v>
      </c>
      <c r="E27" s="303">
        <v>0.45789794828769742</v>
      </c>
      <c r="F27" s="285">
        <v>4725</v>
      </c>
      <c r="G27" s="303">
        <v>6.0064068339562203E-2</v>
      </c>
      <c r="H27" s="285">
        <v>37422</v>
      </c>
      <c r="I27" s="303">
        <v>0.47570742124933257</v>
      </c>
      <c r="J27" s="285">
        <v>309</v>
      </c>
      <c r="K27" s="303">
        <v>3.9279993898253384E-3</v>
      </c>
      <c r="L27" s="285">
        <v>189</v>
      </c>
      <c r="M27" s="303">
        <v>2.4025627335824882E-3</v>
      </c>
      <c r="N27" s="285">
        <v>78666</v>
      </c>
      <c r="O27" s="300">
        <v>1</v>
      </c>
      <c r="P27" s="13"/>
      <c r="Q27" s="13"/>
      <c r="R27" s="13"/>
      <c r="S27" s="13"/>
      <c r="T27" s="13"/>
      <c r="U27" s="13"/>
      <c r="V27" s="222"/>
      <c r="W27" s="222"/>
      <c r="X27" s="90"/>
      <c r="Y27" s="224"/>
      <c r="Z27" s="224"/>
      <c r="AA27" s="224"/>
      <c r="AB27" s="224"/>
      <c r="AC27" s="224"/>
      <c r="AD27" s="224"/>
    </row>
    <row r="28" spans="2:30" ht="93.75" customHeight="1" x14ac:dyDescent="0.25">
      <c r="B28" s="454" t="s">
        <v>863</v>
      </c>
      <c r="C28" s="454"/>
      <c r="D28" s="454"/>
      <c r="E28" s="454"/>
      <c r="F28" s="454"/>
      <c r="G28" s="454"/>
      <c r="H28" s="454"/>
      <c r="I28" s="454"/>
      <c r="J28" s="454"/>
      <c r="K28" s="454"/>
      <c r="L28" s="454"/>
      <c r="M28" s="454"/>
      <c r="N28" s="454"/>
      <c r="O28" s="454"/>
      <c r="P28" s="13"/>
      <c r="Q28" s="13"/>
      <c r="R28" s="222"/>
      <c r="S28" s="222"/>
      <c r="T28" s="90"/>
      <c r="U28" s="224"/>
      <c r="V28" s="224"/>
      <c r="W28" s="224"/>
      <c r="X28" s="224"/>
      <c r="Y28" s="224"/>
      <c r="Z28" s="224"/>
    </row>
    <row r="29" spans="2:30" x14ac:dyDescent="0.25">
      <c r="C29" s="13"/>
      <c r="D29" s="13"/>
      <c r="E29" s="13"/>
      <c r="F29" s="13"/>
      <c r="G29" s="13"/>
      <c r="H29" s="13"/>
      <c r="I29" s="13"/>
      <c r="J29" s="13"/>
      <c r="K29" s="13"/>
      <c r="L29" s="13"/>
      <c r="M29" s="13"/>
      <c r="N29" s="13"/>
      <c r="O29" s="13"/>
      <c r="P29" s="13"/>
      <c r="Q29" s="13"/>
      <c r="R29" s="222"/>
      <c r="S29" s="222"/>
      <c r="T29" s="90"/>
      <c r="U29" s="224"/>
      <c r="V29" s="224"/>
      <c r="W29" s="224"/>
      <c r="X29" s="224"/>
      <c r="Y29" s="224"/>
      <c r="Z29" s="224"/>
    </row>
    <row r="30" spans="2:30" ht="18.75" x14ac:dyDescent="0.3">
      <c r="B30" s="2" t="s">
        <v>765</v>
      </c>
      <c r="C30" s="2"/>
      <c r="D30" s="2"/>
      <c r="E30" s="2"/>
      <c r="F30" s="2"/>
      <c r="G30" s="2"/>
      <c r="H30" s="231"/>
      <c r="I30" s="13"/>
      <c r="J30" s="13"/>
      <c r="K30" s="13"/>
      <c r="L30" s="13"/>
      <c r="M30" s="13"/>
      <c r="N30" s="13"/>
      <c r="O30" s="13"/>
      <c r="P30" s="13"/>
      <c r="Q30" s="13"/>
      <c r="R30" s="13"/>
      <c r="S30" s="13"/>
      <c r="T30" s="13"/>
      <c r="U30" s="13"/>
      <c r="V30" s="13"/>
      <c r="W30" s="13"/>
      <c r="X30" s="13"/>
      <c r="Y30" s="13"/>
    </row>
    <row r="31" spans="2:30" ht="15" customHeight="1" x14ac:dyDescent="0.25">
      <c r="B31" s="253" t="s">
        <v>913</v>
      </c>
      <c r="C31" s="189"/>
      <c r="D31" s="189"/>
      <c r="E31" s="189"/>
      <c r="F31" s="189"/>
      <c r="G31" s="189"/>
      <c r="H31" s="189"/>
      <c r="I31" s="13"/>
      <c r="J31" s="13"/>
      <c r="K31" s="13"/>
      <c r="L31" s="13"/>
      <c r="M31" s="13"/>
      <c r="N31" s="13"/>
      <c r="O31" s="13"/>
      <c r="P31" s="13"/>
      <c r="Q31" s="13"/>
      <c r="R31" s="13"/>
      <c r="S31" s="13"/>
      <c r="T31" s="13"/>
      <c r="U31" s="13"/>
      <c r="V31" s="13"/>
      <c r="W31" s="13"/>
      <c r="X31" s="13"/>
      <c r="Y31" s="13"/>
    </row>
    <row r="32" spans="2:30" ht="15" customHeight="1" x14ac:dyDescent="0.25">
      <c r="B32" s="15"/>
      <c r="C32" s="189"/>
      <c r="D32" s="189"/>
      <c r="E32" s="189"/>
      <c r="F32" s="189"/>
      <c r="G32" s="189"/>
      <c r="H32" s="189"/>
      <c r="I32" s="13"/>
      <c r="J32" s="13"/>
      <c r="K32" s="13"/>
      <c r="L32" s="13"/>
      <c r="M32" s="13"/>
      <c r="N32" s="13"/>
      <c r="O32" s="13"/>
      <c r="P32" s="13"/>
      <c r="Q32" s="13"/>
      <c r="R32" s="13"/>
      <c r="S32" s="13"/>
      <c r="T32" s="13"/>
      <c r="U32" s="13"/>
      <c r="V32" s="13"/>
      <c r="W32" s="13"/>
      <c r="X32" s="13"/>
      <c r="Y32" s="13"/>
    </row>
    <row r="33" spans="2:28" ht="15" customHeight="1" x14ac:dyDescent="0.25">
      <c r="B33" s="457" t="s">
        <v>472</v>
      </c>
      <c r="C33" s="451" t="s">
        <v>477</v>
      </c>
      <c r="D33" s="452"/>
      <c r="E33" s="452"/>
      <c r="F33" s="452"/>
      <c r="G33" s="452"/>
      <c r="H33" s="452"/>
      <c r="I33" s="452"/>
      <c r="J33" s="452"/>
      <c r="K33" s="452"/>
      <c r="L33" s="452"/>
      <c r="M33" s="452"/>
      <c r="N33" s="452"/>
      <c r="O33" s="452"/>
      <c r="P33" s="452"/>
      <c r="Q33" s="452"/>
      <c r="R33" s="452"/>
      <c r="S33" s="452"/>
      <c r="T33" s="452"/>
      <c r="U33" s="452"/>
      <c r="V33" s="452"/>
      <c r="W33" s="453"/>
      <c r="X33" s="455" t="s">
        <v>872</v>
      </c>
      <c r="Y33" s="455"/>
      <c r="Z33" s="455"/>
      <c r="AA33" s="13"/>
      <c r="AB33" s="13"/>
    </row>
    <row r="34" spans="2:28" ht="15" customHeight="1" x14ac:dyDescent="0.25">
      <c r="B34" s="457"/>
      <c r="C34" s="456" t="s">
        <v>868</v>
      </c>
      <c r="D34" s="456"/>
      <c r="E34" s="456"/>
      <c r="F34" s="456" t="s">
        <v>869</v>
      </c>
      <c r="G34" s="456"/>
      <c r="H34" s="456"/>
      <c r="I34" s="456" t="s">
        <v>870</v>
      </c>
      <c r="J34" s="456"/>
      <c r="K34" s="456"/>
      <c r="L34" s="456" t="s">
        <v>871</v>
      </c>
      <c r="M34" s="456"/>
      <c r="N34" s="456"/>
      <c r="O34" s="456" t="s">
        <v>3</v>
      </c>
      <c r="P34" s="456"/>
      <c r="Q34" s="456"/>
      <c r="R34" s="456" t="s">
        <v>5</v>
      </c>
      <c r="S34" s="456"/>
      <c r="T34" s="456"/>
      <c r="U34" s="448" t="s">
        <v>859</v>
      </c>
      <c r="V34" s="449"/>
      <c r="W34" s="450"/>
      <c r="X34" s="455"/>
      <c r="Y34" s="455"/>
      <c r="Z34" s="455"/>
      <c r="AA34" s="13"/>
      <c r="AB34" s="13"/>
    </row>
    <row r="35" spans="2:28" x14ac:dyDescent="0.25">
      <c r="B35" s="457"/>
      <c r="C35" s="298" t="s">
        <v>73</v>
      </c>
      <c r="D35" s="298" t="s">
        <v>74</v>
      </c>
      <c r="E35" s="298" t="s">
        <v>25</v>
      </c>
      <c r="F35" s="298" t="s">
        <v>73</v>
      </c>
      <c r="G35" s="298" t="s">
        <v>74</v>
      </c>
      <c r="H35" s="298" t="s">
        <v>25</v>
      </c>
      <c r="I35" s="298" t="s">
        <v>73</v>
      </c>
      <c r="J35" s="298" t="s">
        <v>74</v>
      </c>
      <c r="K35" s="298" t="s">
        <v>25</v>
      </c>
      <c r="L35" s="298" t="s">
        <v>73</v>
      </c>
      <c r="M35" s="298" t="s">
        <v>74</v>
      </c>
      <c r="N35" s="298" t="s">
        <v>25</v>
      </c>
      <c r="O35" s="298" t="s">
        <v>73</v>
      </c>
      <c r="P35" s="298" t="s">
        <v>74</v>
      </c>
      <c r="Q35" s="298" t="s">
        <v>25</v>
      </c>
      <c r="R35" s="298" t="s">
        <v>73</v>
      </c>
      <c r="S35" s="298" t="s">
        <v>74</v>
      </c>
      <c r="T35" s="298" t="s">
        <v>25</v>
      </c>
      <c r="U35" s="298" t="s">
        <v>73</v>
      </c>
      <c r="V35" s="298" t="s">
        <v>74</v>
      </c>
      <c r="W35" s="298" t="s">
        <v>25</v>
      </c>
      <c r="X35" s="306" t="s">
        <v>73</v>
      </c>
      <c r="Y35" s="306" t="s">
        <v>74</v>
      </c>
      <c r="Z35" s="306" t="s">
        <v>25</v>
      </c>
      <c r="AA35" s="13"/>
      <c r="AB35" s="13"/>
    </row>
    <row r="36" spans="2:28" hidden="1" outlineLevel="1" x14ac:dyDescent="0.25">
      <c r="B36" s="304">
        <v>39630</v>
      </c>
      <c r="C36" s="329">
        <v>0</v>
      </c>
      <c r="D36" s="329">
        <v>0</v>
      </c>
      <c r="E36" s="329">
        <v>0</v>
      </c>
      <c r="F36" s="329">
        <v>0</v>
      </c>
      <c r="G36" s="329">
        <v>0</v>
      </c>
      <c r="H36" s="329">
        <v>0</v>
      </c>
      <c r="I36" s="329">
        <v>36832</v>
      </c>
      <c r="J36" s="329">
        <v>8014</v>
      </c>
      <c r="K36" s="329">
        <v>44846</v>
      </c>
      <c r="L36" s="329">
        <v>2722</v>
      </c>
      <c r="M36" s="329">
        <v>1208</v>
      </c>
      <c r="N36" s="329">
        <v>3930</v>
      </c>
      <c r="O36" s="329">
        <v>8683</v>
      </c>
      <c r="P36" s="329">
        <v>2261</v>
      </c>
      <c r="Q36" s="329">
        <v>10944</v>
      </c>
      <c r="R36" s="329">
        <v>1266</v>
      </c>
      <c r="S36" s="329">
        <v>648</v>
      </c>
      <c r="T36" s="329">
        <v>1914</v>
      </c>
      <c r="U36" s="329">
        <v>0</v>
      </c>
      <c r="V36" s="329">
        <v>0</v>
      </c>
      <c r="W36" s="329">
        <v>0</v>
      </c>
      <c r="X36" s="330">
        <v>49503</v>
      </c>
      <c r="Y36" s="330">
        <v>12131</v>
      </c>
      <c r="Z36" s="330">
        <v>61634</v>
      </c>
      <c r="AA36" s="13"/>
      <c r="AB36" s="13"/>
    </row>
    <row r="37" spans="2:28" hidden="1" outlineLevel="1" x14ac:dyDescent="0.25">
      <c r="B37" s="304">
        <v>39661</v>
      </c>
      <c r="C37" s="329">
        <v>0</v>
      </c>
      <c r="D37" s="329">
        <v>0</v>
      </c>
      <c r="E37" s="329">
        <v>0</v>
      </c>
      <c r="F37" s="329">
        <v>0</v>
      </c>
      <c r="G37" s="329">
        <v>0</v>
      </c>
      <c r="H37" s="329">
        <v>0</v>
      </c>
      <c r="I37" s="329">
        <v>9028</v>
      </c>
      <c r="J37" s="329">
        <v>2788</v>
      </c>
      <c r="K37" s="329">
        <v>11816</v>
      </c>
      <c r="L37" s="329">
        <v>1619</v>
      </c>
      <c r="M37" s="329">
        <v>781</v>
      </c>
      <c r="N37" s="329">
        <v>2400</v>
      </c>
      <c r="O37" s="329">
        <v>6886</v>
      </c>
      <c r="P37" s="329">
        <v>1963</v>
      </c>
      <c r="Q37" s="329">
        <v>8849</v>
      </c>
      <c r="R37" s="329">
        <v>970</v>
      </c>
      <c r="S37" s="329">
        <v>596</v>
      </c>
      <c r="T37" s="329">
        <v>1566</v>
      </c>
      <c r="U37" s="329">
        <v>0</v>
      </c>
      <c r="V37" s="329">
        <v>0</v>
      </c>
      <c r="W37" s="329">
        <v>0</v>
      </c>
      <c r="X37" s="330">
        <v>18503</v>
      </c>
      <c r="Y37" s="330">
        <v>6128</v>
      </c>
      <c r="Z37" s="330">
        <v>24631</v>
      </c>
      <c r="AA37" s="13"/>
      <c r="AB37" s="13"/>
    </row>
    <row r="38" spans="2:28" hidden="1" outlineLevel="1" x14ac:dyDescent="0.25">
      <c r="B38" s="304">
        <v>39692</v>
      </c>
      <c r="C38" s="329">
        <v>0</v>
      </c>
      <c r="D38" s="329">
        <v>0</v>
      </c>
      <c r="E38" s="329">
        <v>0</v>
      </c>
      <c r="F38" s="329">
        <v>0</v>
      </c>
      <c r="G38" s="329">
        <v>0</v>
      </c>
      <c r="H38" s="329">
        <v>0</v>
      </c>
      <c r="I38" s="329">
        <v>6970</v>
      </c>
      <c r="J38" s="329">
        <v>2080</v>
      </c>
      <c r="K38" s="329">
        <v>9050</v>
      </c>
      <c r="L38" s="329">
        <v>1159</v>
      </c>
      <c r="M38" s="329">
        <v>653</v>
      </c>
      <c r="N38" s="329">
        <v>1812</v>
      </c>
      <c r="O38" s="329">
        <v>4167</v>
      </c>
      <c r="P38" s="329">
        <v>1125</v>
      </c>
      <c r="Q38" s="329">
        <v>5292</v>
      </c>
      <c r="R38" s="329">
        <v>529</v>
      </c>
      <c r="S38" s="329">
        <v>307</v>
      </c>
      <c r="T38" s="329">
        <v>836</v>
      </c>
      <c r="U38" s="329">
        <v>0</v>
      </c>
      <c r="V38" s="329">
        <v>0</v>
      </c>
      <c r="W38" s="329">
        <v>0</v>
      </c>
      <c r="X38" s="330">
        <v>12825</v>
      </c>
      <c r="Y38" s="330">
        <v>4165</v>
      </c>
      <c r="Z38" s="330">
        <v>16990</v>
      </c>
      <c r="AA38" s="13"/>
      <c r="AB38" s="13"/>
    </row>
    <row r="39" spans="2:28" hidden="1" outlineLevel="1" x14ac:dyDescent="0.25">
      <c r="B39" s="304">
        <v>39722</v>
      </c>
      <c r="C39" s="329">
        <v>0</v>
      </c>
      <c r="D39" s="329">
        <v>0</v>
      </c>
      <c r="E39" s="329">
        <v>0</v>
      </c>
      <c r="F39" s="329">
        <v>0</v>
      </c>
      <c r="G39" s="329">
        <v>0</v>
      </c>
      <c r="H39" s="329">
        <v>0</v>
      </c>
      <c r="I39" s="329">
        <v>6056</v>
      </c>
      <c r="J39" s="329">
        <v>1773</v>
      </c>
      <c r="K39" s="329">
        <v>7829</v>
      </c>
      <c r="L39" s="329">
        <v>1046</v>
      </c>
      <c r="M39" s="329">
        <v>668</v>
      </c>
      <c r="N39" s="329">
        <v>1714</v>
      </c>
      <c r="O39" s="329">
        <v>4254</v>
      </c>
      <c r="P39" s="329">
        <v>1177</v>
      </c>
      <c r="Q39" s="329">
        <v>5431</v>
      </c>
      <c r="R39" s="329">
        <v>337</v>
      </c>
      <c r="S39" s="329">
        <v>184</v>
      </c>
      <c r="T39" s="329">
        <v>521</v>
      </c>
      <c r="U39" s="329">
        <v>0</v>
      </c>
      <c r="V39" s="329">
        <v>0</v>
      </c>
      <c r="W39" s="329">
        <v>0</v>
      </c>
      <c r="X39" s="330">
        <v>11693</v>
      </c>
      <c r="Y39" s="330">
        <v>3802</v>
      </c>
      <c r="Z39" s="330">
        <v>15495</v>
      </c>
      <c r="AA39" s="13"/>
      <c r="AB39" s="13"/>
    </row>
    <row r="40" spans="2:28" hidden="1" outlineLevel="1" x14ac:dyDescent="0.25">
      <c r="B40" s="304">
        <v>39753</v>
      </c>
      <c r="C40" s="329">
        <v>0</v>
      </c>
      <c r="D40" s="329">
        <v>0</v>
      </c>
      <c r="E40" s="329">
        <v>0</v>
      </c>
      <c r="F40" s="329">
        <v>0</v>
      </c>
      <c r="G40" s="329">
        <v>0</v>
      </c>
      <c r="H40" s="329">
        <v>0</v>
      </c>
      <c r="I40" s="329">
        <v>4414</v>
      </c>
      <c r="J40" s="329">
        <v>1292</v>
      </c>
      <c r="K40" s="329">
        <v>5706</v>
      </c>
      <c r="L40" s="329">
        <v>844</v>
      </c>
      <c r="M40" s="329">
        <v>543</v>
      </c>
      <c r="N40" s="329">
        <v>1387</v>
      </c>
      <c r="O40" s="329">
        <v>2550</v>
      </c>
      <c r="P40" s="329">
        <v>824</v>
      </c>
      <c r="Q40" s="329">
        <v>3374</v>
      </c>
      <c r="R40" s="329">
        <v>381</v>
      </c>
      <c r="S40" s="329">
        <v>207</v>
      </c>
      <c r="T40" s="329">
        <v>588</v>
      </c>
      <c r="U40" s="329">
        <v>0</v>
      </c>
      <c r="V40" s="329">
        <v>0</v>
      </c>
      <c r="W40" s="329">
        <v>0</v>
      </c>
      <c r="X40" s="330">
        <v>8189</v>
      </c>
      <c r="Y40" s="330">
        <v>2866</v>
      </c>
      <c r="Z40" s="330">
        <v>11055</v>
      </c>
      <c r="AA40" s="13"/>
      <c r="AB40" s="13"/>
    </row>
    <row r="41" spans="2:28" collapsed="1" x14ac:dyDescent="0.25">
      <c r="B41" s="304">
        <v>39783</v>
      </c>
      <c r="C41" s="329">
        <v>0</v>
      </c>
      <c r="D41" s="329">
        <v>0</v>
      </c>
      <c r="E41" s="329">
        <v>0</v>
      </c>
      <c r="F41" s="329">
        <v>0</v>
      </c>
      <c r="G41" s="329">
        <v>0</v>
      </c>
      <c r="H41" s="329">
        <v>0</v>
      </c>
      <c r="I41" s="329">
        <v>4103</v>
      </c>
      <c r="J41" s="329">
        <v>1230</v>
      </c>
      <c r="K41" s="329">
        <v>5333</v>
      </c>
      <c r="L41" s="329">
        <v>900</v>
      </c>
      <c r="M41" s="329">
        <v>653</v>
      </c>
      <c r="N41" s="329">
        <v>1553</v>
      </c>
      <c r="O41" s="329">
        <v>2523</v>
      </c>
      <c r="P41" s="329">
        <v>845</v>
      </c>
      <c r="Q41" s="329">
        <v>3368</v>
      </c>
      <c r="R41" s="329">
        <v>394</v>
      </c>
      <c r="S41" s="329">
        <v>233</v>
      </c>
      <c r="T41" s="329">
        <v>627</v>
      </c>
      <c r="U41" s="329">
        <v>0</v>
      </c>
      <c r="V41" s="329">
        <v>0</v>
      </c>
      <c r="W41" s="329">
        <v>0</v>
      </c>
      <c r="X41" s="330">
        <v>7920</v>
      </c>
      <c r="Y41" s="330">
        <v>2961</v>
      </c>
      <c r="Z41" s="330">
        <v>10881</v>
      </c>
      <c r="AA41" s="13"/>
      <c r="AB41" s="13"/>
    </row>
    <row r="42" spans="2:28" hidden="1" outlineLevel="1" x14ac:dyDescent="0.25">
      <c r="B42" s="304">
        <v>39814</v>
      </c>
      <c r="C42" s="329">
        <v>0</v>
      </c>
      <c r="D42" s="329">
        <v>0</v>
      </c>
      <c r="E42" s="329">
        <v>0</v>
      </c>
      <c r="F42" s="329">
        <v>0</v>
      </c>
      <c r="G42" s="329">
        <v>0</v>
      </c>
      <c r="H42" s="329">
        <v>0</v>
      </c>
      <c r="I42" s="329">
        <v>3293</v>
      </c>
      <c r="J42" s="329">
        <v>1195</v>
      </c>
      <c r="K42" s="329">
        <v>4488</v>
      </c>
      <c r="L42" s="329">
        <v>794</v>
      </c>
      <c r="M42" s="329">
        <v>666</v>
      </c>
      <c r="N42" s="329">
        <v>1460</v>
      </c>
      <c r="O42" s="329">
        <v>2290</v>
      </c>
      <c r="P42" s="329">
        <v>701</v>
      </c>
      <c r="Q42" s="329">
        <v>2991</v>
      </c>
      <c r="R42" s="329">
        <v>418</v>
      </c>
      <c r="S42" s="329">
        <v>234</v>
      </c>
      <c r="T42" s="329">
        <v>652</v>
      </c>
      <c r="U42" s="329">
        <v>0</v>
      </c>
      <c r="V42" s="329">
        <v>0</v>
      </c>
      <c r="W42" s="329">
        <v>0</v>
      </c>
      <c r="X42" s="330">
        <v>6795</v>
      </c>
      <c r="Y42" s="330">
        <v>2796</v>
      </c>
      <c r="Z42" s="330">
        <v>9591</v>
      </c>
      <c r="AA42" s="13"/>
      <c r="AB42" s="13"/>
    </row>
    <row r="43" spans="2:28" hidden="1" outlineLevel="1" x14ac:dyDescent="0.25">
      <c r="B43" s="304">
        <v>39845</v>
      </c>
      <c r="C43" s="329">
        <v>0</v>
      </c>
      <c r="D43" s="329">
        <v>0</v>
      </c>
      <c r="E43" s="329">
        <v>0</v>
      </c>
      <c r="F43" s="329">
        <v>0</v>
      </c>
      <c r="G43" s="329">
        <v>0</v>
      </c>
      <c r="H43" s="329">
        <v>0</v>
      </c>
      <c r="I43" s="329">
        <v>2479</v>
      </c>
      <c r="J43" s="329">
        <v>877</v>
      </c>
      <c r="K43" s="329">
        <v>3356</v>
      </c>
      <c r="L43" s="329">
        <v>639</v>
      </c>
      <c r="M43" s="329">
        <v>529</v>
      </c>
      <c r="N43" s="329">
        <v>1168</v>
      </c>
      <c r="O43" s="329">
        <v>1724</v>
      </c>
      <c r="P43" s="329">
        <v>633</v>
      </c>
      <c r="Q43" s="329">
        <v>2357</v>
      </c>
      <c r="R43" s="329">
        <v>370</v>
      </c>
      <c r="S43" s="329">
        <v>228</v>
      </c>
      <c r="T43" s="329">
        <v>598</v>
      </c>
      <c r="U43" s="329">
        <v>0</v>
      </c>
      <c r="V43" s="329">
        <v>0</v>
      </c>
      <c r="W43" s="329">
        <v>0</v>
      </c>
      <c r="X43" s="330">
        <v>5212</v>
      </c>
      <c r="Y43" s="330">
        <v>2267</v>
      </c>
      <c r="Z43" s="330">
        <v>7479</v>
      </c>
      <c r="AA43" s="13"/>
      <c r="AB43" s="13"/>
    </row>
    <row r="44" spans="2:28" hidden="1" outlineLevel="1" x14ac:dyDescent="0.25">
      <c r="B44" s="304">
        <v>39873</v>
      </c>
      <c r="C44" s="329">
        <v>0</v>
      </c>
      <c r="D44" s="329">
        <v>0</v>
      </c>
      <c r="E44" s="329">
        <v>0</v>
      </c>
      <c r="F44" s="329">
        <v>0</v>
      </c>
      <c r="G44" s="329">
        <v>0</v>
      </c>
      <c r="H44" s="329">
        <v>0</v>
      </c>
      <c r="I44" s="329">
        <v>3204</v>
      </c>
      <c r="J44" s="329">
        <v>1065</v>
      </c>
      <c r="K44" s="329">
        <v>4269</v>
      </c>
      <c r="L44" s="329">
        <v>758</v>
      </c>
      <c r="M44" s="329">
        <v>671</v>
      </c>
      <c r="N44" s="329">
        <v>1429</v>
      </c>
      <c r="O44" s="329">
        <v>2455</v>
      </c>
      <c r="P44" s="329">
        <v>760</v>
      </c>
      <c r="Q44" s="329">
        <v>3215</v>
      </c>
      <c r="R44" s="329">
        <v>448</v>
      </c>
      <c r="S44" s="329">
        <v>307</v>
      </c>
      <c r="T44" s="329">
        <v>755</v>
      </c>
      <c r="U44" s="329">
        <v>0</v>
      </c>
      <c r="V44" s="329">
        <v>0</v>
      </c>
      <c r="W44" s="329">
        <v>0</v>
      </c>
      <c r="X44" s="330">
        <v>6865</v>
      </c>
      <c r="Y44" s="330">
        <v>2803</v>
      </c>
      <c r="Z44" s="330">
        <v>9668</v>
      </c>
      <c r="AA44" s="13"/>
      <c r="AB44" s="13"/>
    </row>
    <row r="45" spans="2:28" hidden="1" outlineLevel="1" x14ac:dyDescent="0.25">
      <c r="B45" s="304">
        <v>39904</v>
      </c>
      <c r="C45" s="329">
        <v>0</v>
      </c>
      <c r="D45" s="329">
        <v>0</v>
      </c>
      <c r="E45" s="329">
        <v>0</v>
      </c>
      <c r="F45" s="329">
        <v>0</v>
      </c>
      <c r="G45" s="329">
        <v>0</v>
      </c>
      <c r="H45" s="329">
        <v>0</v>
      </c>
      <c r="I45" s="329">
        <v>2876</v>
      </c>
      <c r="J45" s="329">
        <v>943</v>
      </c>
      <c r="K45" s="329">
        <v>3819</v>
      </c>
      <c r="L45" s="329">
        <v>706</v>
      </c>
      <c r="M45" s="329">
        <v>597</v>
      </c>
      <c r="N45" s="329">
        <v>1303</v>
      </c>
      <c r="O45" s="329">
        <v>2147</v>
      </c>
      <c r="P45" s="329">
        <v>675</v>
      </c>
      <c r="Q45" s="329">
        <v>2822</v>
      </c>
      <c r="R45" s="329">
        <v>416</v>
      </c>
      <c r="S45" s="329">
        <v>285</v>
      </c>
      <c r="T45" s="329">
        <v>701</v>
      </c>
      <c r="U45" s="329">
        <v>0</v>
      </c>
      <c r="V45" s="329">
        <v>0</v>
      </c>
      <c r="W45" s="329">
        <v>0</v>
      </c>
      <c r="X45" s="330">
        <v>6145</v>
      </c>
      <c r="Y45" s="330">
        <v>2500</v>
      </c>
      <c r="Z45" s="330">
        <v>8645</v>
      </c>
      <c r="AA45" s="13"/>
      <c r="AB45" s="13"/>
    </row>
    <row r="46" spans="2:28" hidden="1" outlineLevel="1" x14ac:dyDescent="0.25">
      <c r="B46" s="304">
        <v>39934</v>
      </c>
      <c r="C46" s="329">
        <v>0</v>
      </c>
      <c r="D46" s="329">
        <v>0</v>
      </c>
      <c r="E46" s="329">
        <v>0</v>
      </c>
      <c r="F46" s="329">
        <v>0</v>
      </c>
      <c r="G46" s="329">
        <v>0</v>
      </c>
      <c r="H46" s="329">
        <v>0</v>
      </c>
      <c r="I46" s="329">
        <v>2667</v>
      </c>
      <c r="J46" s="329">
        <v>885</v>
      </c>
      <c r="K46" s="329">
        <v>3552</v>
      </c>
      <c r="L46" s="329">
        <v>582</v>
      </c>
      <c r="M46" s="329">
        <v>576</v>
      </c>
      <c r="N46" s="329">
        <v>1158</v>
      </c>
      <c r="O46" s="329">
        <v>1868</v>
      </c>
      <c r="P46" s="329">
        <v>602</v>
      </c>
      <c r="Q46" s="329">
        <v>2470</v>
      </c>
      <c r="R46" s="329">
        <v>442</v>
      </c>
      <c r="S46" s="329">
        <v>302</v>
      </c>
      <c r="T46" s="329">
        <v>744</v>
      </c>
      <c r="U46" s="329">
        <v>0</v>
      </c>
      <c r="V46" s="329">
        <v>0</v>
      </c>
      <c r="W46" s="329">
        <v>0</v>
      </c>
      <c r="X46" s="330">
        <v>5559</v>
      </c>
      <c r="Y46" s="330">
        <v>2365</v>
      </c>
      <c r="Z46" s="330">
        <v>7924</v>
      </c>
      <c r="AA46" s="13"/>
      <c r="AB46" s="13"/>
    </row>
    <row r="47" spans="2:28" hidden="1" outlineLevel="1" x14ac:dyDescent="0.25">
      <c r="B47" s="304">
        <v>39965</v>
      </c>
      <c r="C47" s="329">
        <v>0</v>
      </c>
      <c r="D47" s="329">
        <v>0</v>
      </c>
      <c r="E47" s="329">
        <v>0</v>
      </c>
      <c r="F47" s="329">
        <v>0</v>
      </c>
      <c r="G47" s="329">
        <v>0</v>
      </c>
      <c r="H47" s="329">
        <v>0</v>
      </c>
      <c r="I47" s="329">
        <v>1967</v>
      </c>
      <c r="J47" s="329">
        <v>1031</v>
      </c>
      <c r="K47" s="329">
        <v>2998</v>
      </c>
      <c r="L47" s="329">
        <v>35936</v>
      </c>
      <c r="M47" s="329">
        <v>18546</v>
      </c>
      <c r="N47" s="329">
        <v>54482</v>
      </c>
      <c r="O47" s="329">
        <v>2045</v>
      </c>
      <c r="P47" s="329">
        <v>735</v>
      </c>
      <c r="Q47" s="329">
        <v>2780</v>
      </c>
      <c r="R47" s="329">
        <v>410</v>
      </c>
      <c r="S47" s="329">
        <v>351</v>
      </c>
      <c r="T47" s="329">
        <v>761</v>
      </c>
      <c r="U47" s="329">
        <v>0</v>
      </c>
      <c r="V47" s="329">
        <v>0</v>
      </c>
      <c r="W47" s="329">
        <v>0</v>
      </c>
      <c r="X47" s="330">
        <v>40358</v>
      </c>
      <c r="Y47" s="330">
        <v>20663</v>
      </c>
      <c r="Z47" s="330">
        <v>61021</v>
      </c>
      <c r="AA47" s="13"/>
      <c r="AB47" s="13"/>
    </row>
    <row r="48" spans="2:28" hidden="1" outlineLevel="1" x14ac:dyDescent="0.25">
      <c r="B48" s="304">
        <v>39995</v>
      </c>
      <c r="C48" s="329">
        <v>0</v>
      </c>
      <c r="D48" s="329">
        <v>0</v>
      </c>
      <c r="E48" s="329">
        <v>0</v>
      </c>
      <c r="F48" s="329">
        <v>0</v>
      </c>
      <c r="G48" s="329">
        <v>0</v>
      </c>
      <c r="H48" s="329">
        <v>0</v>
      </c>
      <c r="I48" s="329">
        <v>8111</v>
      </c>
      <c r="J48" s="329">
        <v>1138</v>
      </c>
      <c r="K48" s="329">
        <v>9249</v>
      </c>
      <c r="L48" s="329">
        <v>19474</v>
      </c>
      <c r="M48" s="329">
        <v>16617</v>
      </c>
      <c r="N48" s="329">
        <v>36091</v>
      </c>
      <c r="O48" s="329">
        <v>2698</v>
      </c>
      <c r="P48" s="329">
        <v>734</v>
      </c>
      <c r="Q48" s="329">
        <v>3432</v>
      </c>
      <c r="R48" s="329">
        <v>400</v>
      </c>
      <c r="S48" s="329">
        <v>330</v>
      </c>
      <c r="T48" s="329">
        <v>730</v>
      </c>
      <c r="U48" s="329">
        <v>0</v>
      </c>
      <c r="V48" s="329">
        <v>0</v>
      </c>
      <c r="W48" s="329">
        <v>0</v>
      </c>
      <c r="X48" s="330">
        <v>30683</v>
      </c>
      <c r="Y48" s="330">
        <v>18819</v>
      </c>
      <c r="Z48" s="330">
        <v>49502</v>
      </c>
      <c r="AA48" s="13"/>
      <c r="AB48" s="13"/>
    </row>
    <row r="49" spans="2:28" hidden="1" outlineLevel="1" x14ac:dyDescent="0.25">
      <c r="B49" s="304">
        <v>40026</v>
      </c>
      <c r="C49" s="329">
        <v>0</v>
      </c>
      <c r="D49" s="329">
        <v>0</v>
      </c>
      <c r="E49" s="329">
        <v>0</v>
      </c>
      <c r="F49" s="329">
        <v>0</v>
      </c>
      <c r="G49" s="329">
        <v>0</v>
      </c>
      <c r="H49" s="329">
        <v>0</v>
      </c>
      <c r="I49" s="329">
        <v>5425</v>
      </c>
      <c r="J49" s="329">
        <v>1441</v>
      </c>
      <c r="K49" s="329">
        <v>6866</v>
      </c>
      <c r="L49" s="329">
        <v>32515</v>
      </c>
      <c r="M49" s="329">
        <v>22745</v>
      </c>
      <c r="N49" s="329">
        <v>55260</v>
      </c>
      <c r="O49" s="329">
        <v>2833</v>
      </c>
      <c r="P49" s="329">
        <v>859</v>
      </c>
      <c r="Q49" s="329">
        <v>3692</v>
      </c>
      <c r="R49" s="329">
        <v>889</v>
      </c>
      <c r="S49" s="329">
        <v>575</v>
      </c>
      <c r="T49" s="329">
        <v>1464</v>
      </c>
      <c r="U49" s="329">
        <v>0</v>
      </c>
      <c r="V49" s="329">
        <v>0</v>
      </c>
      <c r="W49" s="329">
        <v>0</v>
      </c>
      <c r="X49" s="330">
        <v>41662</v>
      </c>
      <c r="Y49" s="330">
        <v>25620</v>
      </c>
      <c r="Z49" s="330">
        <v>67282</v>
      </c>
      <c r="AA49" s="13"/>
      <c r="AB49" s="13"/>
    </row>
    <row r="50" spans="2:28" hidden="1" outlineLevel="1" x14ac:dyDescent="0.25">
      <c r="B50" s="304">
        <v>40057</v>
      </c>
      <c r="C50" s="329">
        <v>0</v>
      </c>
      <c r="D50" s="329">
        <v>0</v>
      </c>
      <c r="E50" s="329">
        <v>0</v>
      </c>
      <c r="F50" s="329">
        <v>0</v>
      </c>
      <c r="G50" s="329">
        <v>0</v>
      </c>
      <c r="H50" s="329">
        <v>0</v>
      </c>
      <c r="I50" s="329">
        <v>5009</v>
      </c>
      <c r="J50" s="329">
        <v>1485</v>
      </c>
      <c r="K50" s="329">
        <v>6494</v>
      </c>
      <c r="L50" s="329">
        <v>42718</v>
      </c>
      <c r="M50" s="329">
        <v>30864</v>
      </c>
      <c r="N50" s="329">
        <v>73582</v>
      </c>
      <c r="O50" s="329">
        <v>2540</v>
      </c>
      <c r="P50" s="329">
        <v>873</v>
      </c>
      <c r="Q50" s="329">
        <v>3413</v>
      </c>
      <c r="R50" s="329">
        <v>970</v>
      </c>
      <c r="S50" s="329">
        <v>777</v>
      </c>
      <c r="T50" s="329">
        <v>1747</v>
      </c>
      <c r="U50" s="329">
        <v>0</v>
      </c>
      <c r="V50" s="329">
        <v>0</v>
      </c>
      <c r="W50" s="329">
        <v>0</v>
      </c>
      <c r="X50" s="330">
        <v>51237</v>
      </c>
      <c r="Y50" s="330">
        <v>33999</v>
      </c>
      <c r="Z50" s="330">
        <v>85236</v>
      </c>
      <c r="AA50" s="13"/>
      <c r="AB50" s="13"/>
    </row>
    <row r="51" spans="2:28" hidden="1" outlineLevel="1" x14ac:dyDescent="0.25">
      <c r="B51" s="304">
        <v>40087</v>
      </c>
      <c r="C51" s="329">
        <v>0</v>
      </c>
      <c r="D51" s="329">
        <v>0</v>
      </c>
      <c r="E51" s="329">
        <v>0</v>
      </c>
      <c r="F51" s="329">
        <v>0</v>
      </c>
      <c r="G51" s="329">
        <v>0</v>
      </c>
      <c r="H51" s="329">
        <v>0</v>
      </c>
      <c r="I51" s="329">
        <v>4144</v>
      </c>
      <c r="J51" s="329">
        <v>1395</v>
      </c>
      <c r="K51" s="329">
        <v>5539</v>
      </c>
      <c r="L51" s="329">
        <v>19572</v>
      </c>
      <c r="M51" s="329">
        <v>15144</v>
      </c>
      <c r="N51" s="329">
        <v>34716</v>
      </c>
      <c r="O51" s="329">
        <v>2447</v>
      </c>
      <c r="P51" s="329">
        <v>804</v>
      </c>
      <c r="Q51" s="329">
        <v>3251</v>
      </c>
      <c r="R51" s="329">
        <v>673</v>
      </c>
      <c r="S51" s="329">
        <v>534</v>
      </c>
      <c r="T51" s="329">
        <v>1207</v>
      </c>
      <c r="U51" s="329">
        <v>0</v>
      </c>
      <c r="V51" s="329">
        <v>0</v>
      </c>
      <c r="W51" s="329">
        <v>0</v>
      </c>
      <c r="X51" s="330">
        <v>26836</v>
      </c>
      <c r="Y51" s="330">
        <v>17877</v>
      </c>
      <c r="Z51" s="330">
        <v>44713</v>
      </c>
      <c r="AA51" s="13"/>
      <c r="AB51" s="13"/>
    </row>
    <row r="52" spans="2:28" hidden="1" outlineLevel="1" x14ac:dyDescent="0.25">
      <c r="B52" s="304">
        <v>40118</v>
      </c>
      <c r="C52" s="329">
        <v>0</v>
      </c>
      <c r="D52" s="329">
        <v>0</v>
      </c>
      <c r="E52" s="329">
        <v>0</v>
      </c>
      <c r="F52" s="329">
        <v>0</v>
      </c>
      <c r="G52" s="329">
        <v>0</v>
      </c>
      <c r="H52" s="329">
        <v>0</v>
      </c>
      <c r="I52" s="329">
        <v>3427</v>
      </c>
      <c r="J52" s="329">
        <v>1141</v>
      </c>
      <c r="K52" s="329">
        <v>4568</v>
      </c>
      <c r="L52" s="329">
        <v>12729</v>
      </c>
      <c r="M52" s="329">
        <v>8289</v>
      </c>
      <c r="N52" s="329">
        <v>21018</v>
      </c>
      <c r="O52" s="329">
        <v>1993</v>
      </c>
      <c r="P52" s="329">
        <v>614</v>
      </c>
      <c r="Q52" s="329">
        <v>2607</v>
      </c>
      <c r="R52" s="329">
        <v>657</v>
      </c>
      <c r="S52" s="329">
        <v>465</v>
      </c>
      <c r="T52" s="329">
        <v>1122</v>
      </c>
      <c r="U52" s="329">
        <v>0</v>
      </c>
      <c r="V52" s="329">
        <v>0</v>
      </c>
      <c r="W52" s="329">
        <v>0</v>
      </c>
      <c r="X52" s="330">
        <v>18806</v>
      </c>
      <c r="Y52" s="330">
        <v>10509</v>
      </c>
      <c r="Z52" s="330">
        <v>29315</v>
      </c>
      <c r="AA52" s="13"/>
      <c r="AB52" s="13"/>
    </row>
    <row r="53" spans="2:28" collapsed="1" x14ac:dyDescent="0.25">
      <c r="B53" s="304">
        <v>40148</v>
      </c>
      <c r="C53" s="329">
        <v>0</v>
      </c>
      <c r="D53" s="329">
        <v>0</v>
      </c>
      <c r="E53" s="329">
        <v>0</v>
      </c>
      <c r="F53" s="329">
        <v>0</v>
      </c>
      <c r="G53" s="329">
        <v>0</v>
      </c>
      <c r="H53" s="329">
        <v>0</v>
      </c>
      <c r="I53" s="329">
        <v>3160</v>
      </c>
      <c r="J53" s="329">
        <v>961</v>
      </c>
      <c r="K53" s="329">
        <v>4121</v>
      </c>
      <c r="L53" s="329">
        <v>10450</v>
      </c>
      <c r="M53" s="329">
        <v>6068</v>
      </c>
      <c r="N53" s="329">
        <v>16518</v>
      </c>
      <c r="O53" s="329">
        <v>1868</v>
      </c>
      <c r="P53" s="329">
        <v>635</v>
      </c>
      <c r="Q53" s="329">
        <v>2503</v>
      </c>
      <c r="R53" s="329">
        <v>679</v>
      </c>
      <c r="S53" s="329">
        <v>565</v>
      </c>
      <c r="T53" s="329">
        <v>1244</v>
      </c>
      <c r="U53" s="329">
        <v>0</v>
      </c>
      <c r="V53" s="329">
        <v>0</v>
      </c>
      <c r="W53" s="329">
        <v>0</v>
      </c>
      <c r="X53" s="330">
        <v>16157</v>
      </c>
      <c r="Y53" s="330">
        <v>8229</v>
      </c>
      <c r="Z53" s="330">
        <v>24386</v>
      </c>
      <c r="AA53" s="13"/>
      <c r="AB53" s="13"/>
    </row>
    <row r="54" spans="2:28" hidden="1" outlineLevel="1" x14ac:dyDescent="0.25">
      <c r="B54" s="304">
        <v>40179</v>
      </c>
      <c r="C54" s="329">
        <v>0</v>
      </c>
      <c r="D54" s="329">
        <v>0</v>
      </c>
      <c r="E54" s="329">
        <v>0</v>
      </c>
      <c r="F54" s="329">
        <v>0</v>
      </c>
      <c r="G54" s="329">
        <v>0</v>
      </c>
      <c r="H54" s="329">
        <v>0</v>
      </c>
      <c r="I54" s="329">
        <v>2810</v>
      </c>
      <c r="J54" s="329">
        <v>907</v>
      </c>
      <c r="K54" s="329">
        <v>3717</v>
      </c>
      <c r="L54" s="329">
        <v>8375</v>
      </c>
      <c r="M54" s="329">
        <v>5011</v>
      </c>
      <c r="N54" s="329">
        <v>13386</v>
      </c>
      <c r="O54" s="329">
        <v>1730</v>
      </c>
      <c r="P54" s="329">
        <v>624</v>
      </c>
      <c r="Q54" s="329">
        <v>2354</v>
      </c>
      <c r="R54" s="329">
        <v>600</v>
      </c>
      <c r="S54" s="329">
        <v>362</v>
      </c>
      <c r="T54" s="329">
        <v>962</v>
      </c>
      <c r="U54" s="329">
        <v>0</v>
      </c>
      <c r="V54" s="329">
        <v>0</v>
      </c>
      <c r="W54" s="329">
        <v>0</v>
      </c>
      <c r="X54" s="330">
        <v>13515</v>
      </c>
      <c r="Y54" s="330">
        <v>6904</v>
      </c>
      <c r="Z54" s="330">
        <v>20419</v>
      </c>
      <c r="AA54" s="13"/>
      <c r="AB54" s="13"/>
    </row>
    <row r="55" spans="2:28" hidden="1" outlineLevel="1" x14ac:dyDescent="0.25">
      <c r="B55" s="304">
        <v>40210</v>
      </c>
      <c r="C55" s="329">
        <v>0</v>
      </c>
      <c r="D55" s="329">
        <v>0</v>
      </c>
      <c r="E55" s="329">
        <v>0</v>
      </c>
      <c r="F55" s="329">
        <v>0</v>
      </c>
      <c r="G55" s="329">
        <v>0</v>
      </c>
      <c r="H55" s="329">
        <v>0</v>
      </c>
      <c r="I55" s="329">
        <v>2172</v>
      </c>
      <c r="J55" s="329">
        <v>811</v>
      </c>
      <c r="K55" s="329">
        <v>2983</v>
      </c>
      <c r="L55" s="329">
        <v>6196</v>
      </c>
      <c r="M55" s="329">
        <v>3752</v>
      </c>
      <c r="N55" s="329">
        <v>9948</v>
      </c>
      <c r="O55" s="329">
        <v>1517</v>
      </c>
      <c r="P55" s="329">
        <v>497</v>
      </c>
      <c r="Q55" s="329">
        <v>2014</v>
      </c>
      <c r="R55" s="329">
        <v>559</v>
      </c>
      <c r="S55" s="329">
        <v>370</v>
      </c>
      <c r="T55" s="329">
        <v>929</v>
      </c>
      <c r="U55" s="329">
        <v>0</v>
      </c>
      <c r="V55" s="329">
        <v>0</v>
      </c>
      <c r="W55" s="329">
        <v>0</v>
      </c>
      <c r="X55" s="330">
        <v>10444</v>
      </c>
      <c r="Y55" s="330">
        <v>5430</v>
      </c>
      <c r="Z55" s="330">
        <v>15874</v>
      </c>
      <c r="AA55" s="13"/>
      <c r="AB55" s="13"/>
    </row>
    <row r="56" spans="2:28" hidden="1" outlineLevel="1" x14ac:dyDescent="0.25">
      <c r="B56" s="304">
        <v>40238</v>
      </c>
      <c r="C56" s="329">
        <v>0</v>
      </c>
      <c r="D56" s="329">
        <v>0</v>
      </c>
      <c r="E56" s="329">
        <v>0</v>
      </c>
      <c r="F56" s="329">
        <v>0</v>
      </c>
      <c r="G56" s="329">
        <v>0</v>
      </c>
      <c r="H56" s="329">
        <v>0</v>
      </c>
      <c r="I56" s="329">
        <v>2354</v>
      </c>
      <c r="J56" s="329">
        <v>857</v>
      </c>
      <c r="K56" s="329">
        <v>3211</v>
      </c>
      <c r="L56" s="329">
        <v>4953</v>
      </c>
      <c r="M56" s="329">
        <v>3424</v>
      </c>
      <c r="N56" s="329">
        <v>8377</v>
      </c>
      <c r="O56" s="329">
        <v>1380</v>
      </c>
      <c r="P56" s="329">
        <v>507</v>
      </c>
      <c r="Q56" s="329">
        <v>1887</v>
      </c>
      <c r="R56" s="329">
        <v>645</v>
      </c>
      <c r="S56" s="329">
        <v>438</v>
      </c>
      <c r="T56" s="329">
        <v>1083</v>
      </c>
      <c r="U56" s="329">
        <v>0</v>
      </c>
      <c r="V56" s="329">
        <v>0</v>
      </c>
      <c r="W56" s="329">
        <v>0</v>
      </c>
      <c r="X56" s="330">
        <v>9332</v>
      </c>
      <c r="Y56" s="330">
        <v>5226</v>
      </c>
      <c r="Z56" s="330">
        <v>14558</v>
      </c>
      <c r="AA56" s="13"/>
      <c r="AB56" s="13"/>
    </row>
    <row r="57" spans="2:28" hidden="1" outlineLevel="1" x14ac:dyDescent="0.25">
      <c r="B57" s="304">
        <v>40269</v>
      </c>
      <c r="C57" s="329">
        <v>0</v>
      </c>
      <c r="D57" s="329">
        <v>0</v>
      </c>
      <c r="E57" s="329">
        <v>0</v>
      </c>
      <c r="F57" s="329">
        <v>0</v>
      </c>
      <c r="G57" s="329">
        <v>0</v>
      </c>
      <c r="H57" s="329">
        <v>0</v>
      </c>
      <c r="I57" s="329">
        <v>2385</v>
      </c>
      <c r="J57" s="329">
        <v>789</v>
      </c>
      <c r="K57" s="329">
        <v>3174</v>
      </c>
      <c r="L57" s="329">
        <v>5795</v>
      </c>
      <c r="M57" s="329">
        <v>5114</v>
      </c>
      <c r="N57" s="329">
        <v>10909</v>
      </c>
      <c r="O57" s="329">
        <v>1636</v>
      </c>
      <c r="P57" s="329">
        <v>594</v>
      </c>
      <c r="Q57" s="329">
        <v>2230</v>
      </c>
      <c r="R57" s="329">
        <v>634</v>
      </c>
      <c r="S57" s="329">
        <v>497</v>
      </c>
      <c r="T57" s="329">
        <v>1131</v>
      </c>
      <c r="U57" s="329">
        <v>0</v>
      </c>
      <c r="V57" s="329">
        <v>0</v>
      </c>
      <c r="W57" s="329">
        <v>0</v>
      </c>
      <c r="X57" s="330">
        <v>10450</v>
      </c>
      <c r="Y57" s="330">
        <v>6994</v>
      </c>
      <c r="Z57" s="330">
        <v>17444</v>
      </c>
      <c r="AA57" s="13"/>
      <c r="AB57" s="13"/>
    </row>
    <row r="58" spans="2:28" hidden="1" outlineLevel="1" x14ac:dyDescent="0.25">
      <c r="B58" s="304">
        <v>40299</v>
      </c>
      <c r="C58" s="329">
        <v>0</v>
      </c>
      <c r="D58" s="329">
        <v>0</v>
      </c>
      <c r="E58" s="329">
        <v>0</v>
      </c>
      <c r="F58" s="329">
        <v>0</v>
      </c>
      <c r="G58" s="329">
        <v>0</v>
      </c>
      <c r="H58" s="329">
        <v>0</v>
      </c>
      <c r="I58" s="329">
        <v>2165</v>
      </c>
      <c r="J58" s="329">
        <v>799</v>
      </c>
      <c r="K58" s="329">
        <v>2964</v>
      </c>
      <c r="L58" s="329">
        <v>4804</v>
      </c>
      <c r="M58" s="329">
        <v>4788</v>
      </c>
      <c r="N58" s="329">
        <v>9592</v>
      </c>
      <c r="O58" s="329">
        <v>1601</v>
      </c>
      <c r="P58" s="329">
        <v>533</v>
      </c>
      <c r="Q58" s="329">
        <v>2134</v>
      </c>
      <c r="R58" s="329">
        <v>586</v>
      </c>
      <c r="S58" s="329">
        <v>427</v>
      </c>
      <c r="T58" s="329">
        <v>1013</v>
      </c>
      <c r="U58" s="329">
        <v>0</v>
      </c>
      <c r="V58" s="329">
        <v>0</v>
      </c>
      <c r="W58" s="329">
        <v>0</v>
      </c>
      <c r="X58" s="330">
        <v>9156</v>
      </c>
      <c r="Y58" s="330">
        <v>6547</v>
      </c>
      <c r="Z58" s="330">
        <v>15703</v>
      </c>
      <c r="AA58" s="13"/>
      <c r="AB58" s="13"/>
    </row>
    <row r="59" spans="2:28" hidden="1" outlineLevel="1" x14ac:dyDescent="0.25">
      <c r="B59" s="304">
        <v>40330</v>
      </c>
      <c r="C59" s="329">
        <v>0</v>
      </c>
      <c r="D59" s="329">
        <v>0</v>
      </c>
      <c r="E59" s="329">
        <v>0</v>
      </c>
      <c r="F59" s="329">
        <v>0</v>
      </c>
      <c r="G59" s="329">
        <v>0</v>
      </c>
      <c r="H59" s="329">
        <v>0</v>
      </c>
      <c r="I59" s="329">
        <v>2223</v>
      </c>
      <c r="J59" s="329">
        <v>842</v>
      </c>
      <c r="K59" s="329">
        <v>3065</v>
      </c>
      <c r="L59" s="329">
        <v>9030</v>
      </c>
      <c r="M59" s="329">
        <v>7038</v>
      </c>
      <c r="N59" s="329">
        <v>16068</v>
      </c>
      <c r="O59" s="329">
        <v>1637</v>
      </c>
      <c r="P59" s="329">
        <v>536</v>
      </c>
      <c r="Q59" s="329">
        <v>2173</v>
      </c>
      <c r="R59" s="329">
        <v>547</v>
      </c>
      <c r="S59" s="329">
        <v>392</v>
      </c>
      <c r="T59" s="329">
        <v>939</v>
      </c>
      <c r="U59" s="329">
        <v>0</v>
      </c>
      <c r="V59" s="329">
        <v>0</v>
      </c>
      <c r="W59" s="329">
        <v>0</v>
      </c>
      <c r="X59" s="330">
        <v>13437</v>
      </c>
      <c r="Y59" s="330">
        <v>8808</v>
      </c>
      <c r="Z59" s="330">
        <v>22245</v>
      </c>
      <c r="AA59" s="13"/>
      <c r="AB59" s="13"/>
    </row>
    <row r="60" spans="2:28" hidden="1" outlineLevel="1" x14ac:dyDescent="0.25">
      <c r="B60" s="304">
        <v>40360</v>
      </c>
      <c r="C60" s="329">
        <v>0</v>
      </c>
      <c r="D60" s="329">
        <v>0</v>
      </c>
      <c r="E60" s="329">
        <v>0</v>
      </c>
      <c r="F60" s="329">
        <v>0</v>
      </c>
      <c r="G60" s="329">
        <v>0</v>
      </c>
      <c r="H60" s="329">
        <v>0</v>
      </c>
      <c r="I60" s="329">
        <v>2977</v>
      </c>
      <c r="J60" s="329">
        <v>946</v>
      </c>
      <c r="K60" s="329">
        <v>3923</v>
      </c>
      <c r="L60" s="329">
        <v>15794</v>
      </c>
      <c r="M60" s="329">
        <v>12661</v>
      </c>
      <c r="N60" s="329">
        <v>28455</v>
      </c>
      <c r="O60" s="329">
        <v>1649</v>
      </c>
      <c r="P60" s="329">
        <v>540</v>
      </c>
      <c r="Q60" s="329">
        <v>2189</v>
      </c>
      <c r="R60" s="329">
        <v>626</v>
      </c>
      <c r="S60" s="329">
        <v>441</v>
      </c>
      <c r="T60" s="329">
        <v>1067</v>
      </c>
      <c r="U60" s="329">
        <v>0</v>
      </c>
      <c r="V60" s="329">
        <v>0</v>
      </c>
      <c r="W60" s="329">
        <v>0</v>
      </c>
      <c r="X60" s="330">
        <v>21046</v>
      </c>
      <c r="Y60" s="330">
        <v>14588</v>
      </c>
      <c r="Z60" s="330">
        <v>35634</v>
      </c>
      <c r="AA60" s="13"/>
      <c r="AB60" s="13"/>
    </row>
    <row r="61" spans="2:28" hidden="1" outlineLevel="1" x14ac:dyDescent="0.25">
      <c r="B61" s="304">
        <v>40391</v>
      </c>
      <c r="C61" s="329">
        <v>0</v>
      </c>
      <c r="D61" s="329">
        <v>0</v>
      </c>
      <c r="E61" s="329">
        <v>0</v>
      </c>
      <c r="F61" s="329">
        <v>0</v>
      </c>
      <c r="G61" s="329">
        <v>0</v>
      </c>
      <c r="H61" s="329">
        <v>0</v>
      </c>
      <c r="I61" s="329">
        <v>3187</v>
      </c>
      <c r="J61" s="329">
        <v>1037</v>
      </c>
      <c r="K61" s="329">
        <v>4224</v>
      </c>
      <c r="L61" s="329">
        <v>14051</v>
      </c>
      <c r="M61" s="329">
        <v>10734</v>
      </c>
      <c r="N61" s="329">
        <v>24785</v>
      </c>
      <c r="O61" s="329">
        <v>1848</v>
      </c>
      <c r="P61" s="329">
        <v>635</v>
      </c>
      <c r="Q61" s="329">
        <v>2483</v>
      </c>
      <c r="R61" s="329">
        <v>613</v>
      </c>
      <c r="S61" s="329">
        <v>451</v>
      </c>
      <c r="T61" s="329">
        <v>1064</v>
      </c>
      <c r="U61" s="329">
        <v>0</v>
      </c>
      <c r="V61" s="329">
        <v>0</v>
      </c>
      <c r="W61" s="329">
        <v>0</v>
      </c>
      <c r="X61" s="330">
        <v>19699</v>
      </c>
      <c r="Y61" s="330">
        <v>12857</v>
      </c>
      <c r="Z61" s="330">
        <v>32556</v>
      </c>
      <c r="AA61" s="13"/>
      <c r="AB61" s="13"/>
    </row>
    <row r="62" spans="2:28" hidden="1" outlineLevel="1" x14ac:dyDescent="0.25">
      <c r="B62" s="304">
        <v>40422</v>
      </c>
      <c r="C62" s="329">
        <v>0</v>
      </c>
      <c r="D62" s="329">
        <v>0</v>
      </c>
      <c r="E62" s="329">
        <v>0</v>
      </c>
      <c r="F62" s="329">
        <v>0</v>
      </c>
      <c r="G62" s="329">
        <v>0</v>
      </c>
      <c r="H62" s="329">
        <v>0</v>
      </c>
      <c r="I62" s="329">
        <v>2772</v>
      </c>
      <c r="J62" s="329">
        <v>851</v>
      </c>
      <c r="K62" s="329">
        <v>3623</v>
      </c>
      <c r="L62" s="329">
        <v>8638</v>
      </c>
      <c r="M62" s="329">
        <v>6017</v>
      </c>
      <c r="N62" s="329">
        <v>14655</v>
      </c>
      <c r="O62" s="329">
        <v>1450</v>
      </c>
      <c r="P62" s="329">
        <v>487</v>
      </c>
      <c r="Q62" s="329">
        <v>1937</v>
      </c>
      <c r="R62" s="329">
        <v>520</v>
      </c>
      <c r="S62" s="329">
        <v>376</v>
      </c>
      <c r="T62" s="329">
        <v>896</v>
      </c>
      <c r="U62" s="329">
        <v>0</v>
      </c>
      <c r="V62" s="329">
        <v>0</v>
      </c>
      <c r="W62" s="329">
        <v>0</v>
      </c>
      <c r="X62" s="330">
        <v>13380</v>
      </c>
      <c r="Y62" s="330">
        <v>7731</v>
      </c>
      <c r="Z62" s="330">
        <v>21111</v>
      </c>
      <c r="AA62" s="13"/>
      <c r="AB62" s="13"/>
    </row>
    <row r="63" spans="2:28" hidden="1" outlineLevel="1" x14ac:dyDescent="0.25">
      <c r="B63" s="304">
        <v>40452</v>
      </c>
      <c r="C63" s="329">
        <v>0</v>
      </c>
      <c r="D63" s="329">
        <v>0</v>
      </c>
      <c r="E63" s="329">
        <v>0</v>
      </c>
      <c r="F63" s="329">
        <v>0</v>
      </c>
      <c r="G63" s="329">
        <v>0</v>
      </c>
      <c r="H63" s="329">
        <v>0</v>
      </c>
      <c r="I63" s="329">
        <v>2859</v>
      </c>
      <c r="J63" s="329">
        <v>872</v>
      </c>
      <c r="K63" s="329">
        <v>3731</v>
      </c>
      <c r="L63" s="329">
        <v>7950</v>
      </c>
      <c r="M63" s="329">
        <v>5451</v>
      </c>
      <c r="N63" s="329">
        <v>13401</v>
      </c>
      <c r="O63" s="329">
        <v>1578</v>
      </c>
      <c r="P63" s="329">
        <v>519</v>
      </c>
      <c r="Q63" s="329">
        <v>2097</v>
      </c>
      <c r="R63" s="329">
        <v>610</v>
      </c>
      <c r="S63" s="329">
        <v>487</v>
      </c>
      <c r="T63" s="329">
        <v>1097</v>
      </c>
      <c r="U63" s="329">
        <v>0</v>
      </c>
      <c r="V63" s="329">
        <v>0</v>
      </c>
      <c r="W63" s="329">
        <v>0</v>
      </c>
      <c r="X63" s="330">
        <v>12997</v>
      </c>
      <c r="Y63" s="330">
        <v>7329</v>
      </c>
      <c r="Z63" s="330">
        <v>20326</v>
      </c>
      <c r="AA63" s="13"/>
      <c r="AB63" s="13"/>
    </row>
    <row r="64" spans="2:28" hidden="1" outlineLevel="1" x14ac:dyDescent="0.25">
      <c r="B64" s="304">
        <v>40483</v>
      </c>
      <c r="C64" s="329">
        <v>0</v>
      </c>
      <c r="D64" s="329">
        <v>0</v>
      </c>
      <c r="E64" s="329">
        <v>0</v>
      </c>
      <c r="F64" s="329">
        <v>0</v>
      </c>
      <c r="G64" s="329">
        <v>0</v>
      </c>
      <c r="H64" s="329">
        <v>0</v>
      </c>
      <c r="I64" s="329">
        <v>2590</v>
      </c>
      <c r="J64" s="329">
        <v>812</v>
      </c>
      <c r="K64" s="329">
        <v>3402</v>
      </c>
      <c r="L64" s="329">
        <v>6605</v>
      </c>
      <c r="M64" s="329">
        <v>4262</v>
      </c>
      <c r="N64" s="329">
        <v>10867</v>
      </c>
      <c r="O64" s="329">
        <v>1560</v>
      </c>
      <c r="P64" s="329">
        <v>501</v>
      </c>
      <c r="Q64" s="329">
        <v>2061</v>
      </c>
      <c r="R64" s="329">
        <v>502</v>
      </c>
      <c r="S64" s="329">
        <v>348</v>
      </c>
      <c r="T64" s="329">
        <v>850</v>
      </c>
      <c r="U64" s="329">
        <v>0</v>
      </c>
      <c r="V64" s="329">
        <v>0</v>
      </c>
      <c r="W64" s="329">
        <v>0</v>
      </c>
      <c r="X64" s="330">
        <v>11257</v>
      </c>
      <c r="Y64" s="330">
        <v>5923</v>
      </c>
      <c r="Z64" s="330">
        <v>17180</v>
      </c>
      <c r="AA64" s="13"/>
      <c r="AB64" s="13"/>
    </row>
    <row r="65" spans="2:28" collapsed="1" x14ac:dyDescent="0.25">
      <c r="B65" s="304">
        <v>40513</v>
      </c>
      <c r="C65" s="329">
        <v>0</v>
      </c>
      <c r="D65" s="329">
        <v>0</v>
      </c>
      <c r="E65" s="329">
        <v>0</v>
      </c>
      <c r="F65" s="329">
        <v>0</v>
      </c>
      <c r="G65" s="329">
        <v>0</v>
      </c>
      <c r="H65" s="329">
        <v>0</v>
      </c>
      <c r="I65" s="329">
        <v>2048</v>
      </c>
      <c r="J65" s="329">
        <v>673</v>
      </c>
      <c r="K65" s="329">
        <v>2721</v>
      </c>
      <c r="L65" s="329">
        <v>4531</v>
      </c>
      <c r="M65" s="329">
        <v>3103</v>
      </c>
      <c r="N65" s="329">
        <v>7634</v>
      </c>
      <c r="O65" s="329">
        <v>1029</v>
      </c>
      <c r="P65" s="329">
        <v>379</v>
      </c>
      <c r="Q65" s="329">
        <v>1408</v>
      </c>
      <c r="R65" s="329">
        <v>488</v>
      </c>
      <c r="S65" s="329">
        <v>412</v>
      </c>
      <c r="T65" s="329">
        <v>900</v>
      </c>
      <c r="U65" s="329">
        <v>0</v>
      </c>
      <c r="V65" s="329">
        <v>0</v>
      </c>
      <c r="W65" s="329">
        <v>0</v>
      </c>
      <c r="X65" s="330">
        <v>8096</v>
      </c>
      <c r="Y65" s="330">
        <v>4567</v>
      </c>
      <c r="Z65" s="330">
        <v>12663</v>
      </c>
      <c r="AA65" s="13"/>
      <c r="AB65" s="13"/>
    </row>
    <row r="66" spans="2:28" hidden="1" outlineLevel="1" x14ac:dyDescent="0.25">
      <c r="B66" s="304">
        <v>40544</v>
      </c>
      <c r="C66" s="329">
        <v>0</v>
      </c>
      <c r="D66" s="329">
        <v>0</v>
      </c>
      <c r="E66" s="329">
        <v>0</v>
      </c>
      <c r="F66" s="329">
        <v>0</v>
      </c>
      <c r="G66" s="329">
        <v>0</v>
      </c>
      <c r="H66" s="329">
        <v>0</v>
      </c>
      <c r="I66" s="329">
        <v>2490</v>
      </c>
      <c r="J66" s="329">
        <v>896</v>
      </c>
      <c r="K66" s="329">
        <v>3386</v>
      </c>
      <c r="L66" s="329">
        <v>6366</v>
      </c>
      <c r="M66" s="329">
        <v>4630</v>
      </c>
      <c r="N66" s="329">
        <v>10996</v>
      </c>
      <c r="O66" s="329">
        <v>1397</v>
      </c>
      <c r="P66" s="329">
        <v>474</v>
      </c>
      <c r="Q66" s="329">
        <v>1871</v>
      </c>
      <c r="R66" s="329">
        <v>565</v>
      </c>
      <c r="S66" s="329">
        <v>429</v>
      </c>
      <c r="T66" s="329">
        <v>994</v>
      </c>
      <c r="U66" s="329">
        <v>0</v>
      </c>
      <c r="V66" s="329">
        <v>0</v>
      </c>
      <c r="W66" s="329">
        <v>0</v>
      </c>
      <c r="X66" s="330">
        <v>10818</v>
      </c>
      <c r="Y66" s="330">
        <v>6429</v>
      </c>
      <c r="Z66" s="330">
        <v>17247</v>
      </c>
      <c r="AA66" s="13"/>
      <c r="AB66" s="13"/>
    </row>
    <row r="67" spans="2:28" hidden="1" outlineLevel="1" x14ac:dyDescent="0.25">
      <c r="B67" s="304">
        <v>40575</v>
      </c>
      <c r="C67" s="329">
        <v>0</v>
      </c>
      <c r="D67" s="329">
        <v>0</v>
      </c>
      <c r="E67" s="329">
        <v>0</v>
      </c>
      <c r="F67" s="329">
        <v>0</v>
      </c>
      <c r="G67" s="329">
        <v>0</v>
      </c>
      <c r="H67" s="329">
        <v>0</v>
      </c>
      <c r="I67" s="329">
        <v>2187</v>
      </c>
      <c r="J67" s="329">
        <v>743</v>
      </c>
      <c r="K67" s="329">
        <v>2930</v>
      </c>
      <c r="L67" s="329">
        <v>5128</v>
      </c>
      <c r="M67" s="329">
        <v>3702</v>
      </c>
      <c r="N67" s="329">
        <v>8830</v>
      </c>
      <c r="O67" s="329">
        <v>1166</v>
      </c>
      <c r="P67" s="329">
        <v>433</v>
      </c>
      <c r="Q67" s="329">
        <v>1599</v>
      </c>
      <c r="R67" s="329">
        <v>468</v>
      </c>
      <c r="S67" s="329">
        <v>361</v>
      </c>
      <c r="T67" s="329">
        <v>829</v>
      </c>
      <c r="U67" s="329">
        <v>0</v>
      </c>
      <c r="V67" s="329">
        <v>0</v>
      </c>
      <c r="W67" s="329">
        <v>0</v>
      </c>
      <c r="X67" s="330">
        <v>8949</v>
      </c>
      <c r="Y67" s="330">
        <v>5239</v>
      </c>
      <c r="Z67" s="330">
        <v>14188</v>
      </c>
      <c r="AA67" s="13"/>
      <c r="AB67" s="13"/>
    </row>
    <row r="68" spans="2:28" hidden="1" outlineLevel="1" x14ac:dyDescent="0.25">
      <c r="B68" s="304">
        <v>40603</v>
      </c>
      <c r="C68" s="329">
        <v>0</v>
      </c>
      <c r="D68" s="329">
        <v>0</v>
      </c>
      <c r="E68" s="329">
        <v>0</v>
      </c>
      <c r="F68" s="329">
        <v>0</v>
      </c>
      <c r="G68" s="329">
        <v>0</v>
      </c>
      <c r="H68" s="329">
        <v>0</v>
      </c>
      <c r="I68" s="329">
        <v>2526</v>
      </c>
      <c r="J68" s="329">
        <v>779</v>
      </c>
      <c r="K68" s="329">
        <v>3305</v>
      </c>
      <c r="L68" s="329">
        <v>5896</v>
      </c>
      <c r="M68" s="329">
        <v>3858</v>
      </c>
      <c r="N68" s="329">
        <v>9754</v>
      </c>
      <c r="O68" s="329">
        <v>1632</v>
      </c>
      <c r="P68" s="329">
        <v>540</v>
      </c>
      <c r="Q68" s="329">
        <v>2172</v>
      </c>
      <c r="R68" s="329">
        <v>640</v>
      </c>
      <c r="S68" s="329">
        <v>445</v>
      </c>
      <c r="T68" s="329">
        <v>1085</v>
      </c>
      <c r="U68" s="329">
        <v>0</v>
      </c>
      <c r="V68" s="329">
        <v>0</v>
      </c>
      <c r="W68" s="329">
        <v>0</v>
      </c>
      <c r="X68" s="330">
        <v>10694</v>
      </c>
      <c r="Y68" s="330">
        <v>5622</v>
      </c>
      <c r="Z68" s="330">
        <v>16316</v>
      </c>
      <c r="AA68" s="13"/>
      <c r="AB68" s="13"/>
    </row>
    <row r="69" spans="2:28" hidden="1" outlineLevel="1" x14ac:dyDescent="0.25">
      <c r="B69" s="304">
        <v>40634</v>
      </c>
      <c r="C69" s="329">
        <v>0</v>
      </c>
      <c r="D69" s="329">
        <v>0</v>
      </c>
      <c r="E69" s="329">
        <v>0</v>
      </c>
      <c r="F69" s="329">
        <v>0</v>
      </c>
      <c r="G69" s="329">
        <v>0</v>
      </c>
      <c r="H69" s="329">
        <v>0</v>
      </c>
      <c r="I69" s="329">
        <v>1823</v>
      </c>
      <c r="J69" s="329">
        <v>635</v>
      </c>
      <c r="K69" s="329">
        <v>2458</v>
      </c>
      <c r="L69" s="329">
        <v>4398</v>
      </c>
      <c r="M69" s="329">
        <v>2714</v>
      </c>
      <c r="N69" s="329">
        <v>7112</v>
      </c>
      <c r="O69" s="329">
        <v>1310</v>
      </c>
      <c r="P69" s="329">
        <v>433</v>
      </c>
      <c r="Q69" s="329">
        <v>1743</v>
      </c>
      <c r="R69" s="329">
        <v>400</v>
      </c>
      <c r="S69" s="329">
        <v>325</v>
      </c>
      <c r="T69" s="329">
        <v>725</v>
      </c>
      <c r="U69" s="329">
        <v>0</v>
      </c>
      <c r="V69" s="329">
        <v>0</v>
      </c>
      <c r="W69" s="329">
        <v>0</v>
      </c>
      <c r="X69" s="330">
        <v>7931</v>
      </c>
      <c r="Y69" s="330">
        <v>4107</v>
      </c>
      <c r="Z69" s="330">
        <v>12038</v>
      </c>
      <c r="AA69" s="13"/>
      <c r="AB69" s="13"/>
    </row>
    <row r="70" spans="2:28" hidden="1" outlineLevel="1" x14ac:dyDescent="0.25">
      <c r="B70" s="304">
        <v>40664</v>
      </c>
      <c r="C70" s="329">
        <v>0</v>
      </c>
      <c r="D70" s="329">
        <v>0</v>
      </c>
      <c r="E70" s="329">
        <v>0</v>
      </c>
      <c r="F70" s="329">
        <v>0</v>
      </c>
      <c r="G70" s="329">
        <v>0</v>
      </c>
      <c r="H70" s="329">
        <v>0</v>
      </c>
      <c r="I70" s="329">
        <v>2291</v>
      </c>
      <c r="J70" s="329">
        <v>752</v>
      </c>
      <c r="K70" s="329">
        <v>3043</v>
      </c>
      <c r="L70" s="329">
        <v>5470</v>
      </c>
      <c r="M70" s="329">
        <v>3499</v>
      </c>
      <c r="N70" s="329">
        <v>8969</v>
      </c>
      <c r="O70" s="329">
        <v>1434</v>
      </c>
      <c r="P70" s="329">
        <v>500</v>
      </c>
      <c r="Q70" s="329">
        <v>1934</v>
      </c>
      <c r="R70" s="329">
        <v>491</v>
      </c>
      <c r="S70" s="329">
        <v>340</v>
      </c>
      <c r="T70" s="329">
        <v>831</v>
      </c>
      <c r="U70" s="329">
        <v>0</v>
      </c>
      <c r="V70" s="329">
        <v>0</v>
      </c>
      <c r="W70" s="329">
        <v>0</v>
      </c>
      <c r="X70" s="330">
        <v>9686</v>
      </c>
      <c r="Y70" s="330">
        <v>5091</v>
      </c>
      <c r="Z70" s="330">
        <v>14777</v>
      </c>
      <c r="AA70" s="13"/>
      <c r="AB70" s="13"/>
    </row>
    <row r="71" spans="2:28" hidden="1" outlineLevel="1" x14ac:dyDescent="0.25">
      <c r="B71" s="304">
        <v>40695</v>
      </c>
      <c r="C71" s="329">
        <v>0</v>
      </c>
      <c r="D71" s="329">
        <v>0</v>
      </c>
      <c r="E71" s="329">
        <v>0</v>
      </c>
      <c r="F71" s="329">
        <v>0</v>
      </c>
      <c r="G71" s="329">
        <v>0</v>
      </c>
      <c r="H71" s="329">
        <v>0</v>
      </c>
      <c r="I71" s="329">
        <v>2128</v>
      </c>
      <c r="J71" s="329">
        <v>705</v>
      </c>
      <c r="K71" s="329">
        <v>2833</v>
      </c>
      <c r="L71" s="329">
        <v>4859</v>
      </c>
      <c r="M71" s="329">
        <v>3255</v>
      </c>
      <c r="N71" s="329">
        <v>8114</v>
      </c>
      <c r="O71" s="329">
        <v>1221</v>
      </c>
      <c r="P71" s="329">
        <v>454</v>
      </c>
      <c r="Q71" s="329">
        <v>1675</v>
      </c>
      <c r="R71" s="329">
        <v>449</v>
      </c>
      <c r="S71" s="329">
        <v>316</v>
      </c>
      <c r="T71" s="329">
        <v>765</v>
      </c>
      <c r="U71" s="329">
        <v>0</v>
      </c>
      <c r="V71" s="329">
        <v>0</v>
      </c>
      <c r="W71" s="329">
        <v>0</v>
      </c>
      <c r="X71" s="330">
        <v>8657</v>
      </c>
      <c r="Y71" s="330">
        <v>4730</v>
      </c>
      <c r="Z71" s="330">
        <v>13387</v>
      </c>
      <c r="AA71" s="13"/>
      <c r="AB71" s="13"/>
    </row>
    <row r="72" spans="2:28" hidden="1" outlineLevel="1" x14ac:dyDescent="0.25">
      <c r="B72" s="304">
        <v>40725</v>
      </c>
      <c r="C72" s="329">
        <v>0</v>
      </c>
      <c r="D72" s="329">
        <v>0</v>
      </c>
      <c r="E72" s="329">
        <v>0</v>
      </c>
      <c r="F72" s="329">
        <v>0</v>
      </c>
      <c r="G72" s="329">
        <v>0</v>
      </c>
      <c r="H72" s="329">
        <v>0</v>
      </c>
      <c r="I72" s="329">
        <v>2603</v>
      </c>
      <c r="J72" s="329">
        <v>756</v>
      </c>
      <c r="K72" s="329">
        <v>3359</v>
      </c>
      <c r="L72" s="329">
        <v>8280</v>
      </c>
      <c r="M72" s="329">
        <v>6886</v>
      </c>
      <c r="N72" s="329">
        <v>15166</v>
      </c>
      <c r="O72" s="329">
        <v>1305</v>
      </c>
      <c r="P72" s="329">
        <v>478</v>
      </c>
      <c r="Q72" s="329">
        <v>1783</v>
      </c>
      <c r="R72" s="329">
        <v>558</v>
      </c>
      <c r="S72" s="329">
        <v>401</v>
      </c>
      <c r="T72" s="329">
        <v>959</v>
      </c>
      <c r="U72" s="329">
        <v>0</v>
      </c>
      <c r="V72" s="329">
        <v>0</v>
      </c>
      <c r="W72" s="329">
        <v>0</v>
      </c>
      <c r="X72" s="330">
        <v>12746</v>
      </c>
      <c r="Y72" s="330">
        <v>8521</v>
      </c>
      <c r="Z72" s="330">
        <v>21267</v>
      </c>
      <c r="AA72" s="13"/>
      <c r="AB72" s="13"/>
    </row>
    <row r="73" spans="2:28" hidden="1" outlineLevel="1" x14ac:dyDescent="0.25">
      <c r="B73" s="304">
        <v>40756</v>
      </c>
      <c r="C73" s="329">
        <v>0</v>
      </c>
      <c r="D73" s="329">
        <v>0</v>
      </c>
      <c r="E73" s="329">
        <v>0</v>
      </c>
      <c r="F73" s="329">
        <v>0</v>
      </c>
      <c r="G73" s="329">
        <v>0</v>
      </c>
      <c r="H73" s="329">
        <v>0</v>
      </c>
      <c r="I73" s="329">
        <v>2613</v>
      </c>
      <c r="J73" s="329">
        <v>782</v>
      </c>
      <c r="K73" s="329">
        <v>3395</v>
      </c>
      <c r="L73" s="329">
        <v>7512</v>
      </c>
      <c r="M73" s="329">
        <v>5762</v>
      </c>
      <c r="N73" s="329">
        <v>13274</v>
      </c>
      <c r="O73" s="329">
        <v>1321</v>
      </c>
      <c r="P73" s="329">
        <v>474</v>
      </c>
      <c r="Q73" s="329">
        <v>1795</v>
      </c>
      <c r="R73" s="329">
        <v>556</v>
      </c>
      <c r="S73" s="329">
        <v>354</v>
      </c>
      <c r="T73" s="329">
        <v>910</v>
      </c>
      <c r="U73" s="329">
        <v>0</v>
      </c>
      <c r="V73" s="329">
        <v>0</v>
      </c>
      <c r="W73" s="329">
        <v>0</v>
      </c>
      <c r="X73" s="330">
        <v>12002</v>
      </c>
      <c r="Y73" s="330">
        <v>7372</v>
      </c>
      <c r="Z73" s="330">
        <v>19374</v>
      </c>
      <c r="AA73" s="13"/>
      <c r="AB73" s="13"/>
    </row>
    <row r="74" spans="2:28" hidden="1" outlineLevel="1" x14ac:dyDescent="0.25">
      <c r="B74" s="304">
        <v>40787</v>
      </c>
      <c r="C74" s="329">
        <v>0</v>
      </c>
      <c r="D74" s="329">
        <v>0</v>
      </c>
      <c r="E74" s="329">
        <v>0</v>
      </c>
      <c r="F74" s="329">
        <v>0</v>
      </c>
      <c r="G74" s="329">
        <v>0</v>
      </c>
      <c r="H74" s="329">
        <v>0</v>
      </c>
      <c r="I74" s="329">
        <v>2703</v>
      </c>
      <c r="J74" s="329">
        <v>862</v>
      </c>
      <c r="K74" s="329">
        <v>3565</v>
      </c>
      <c r="L74" s="329">
        <v>5716</v>
      </c>
      <c r="M74" s="329">
        <v>3987</v>
      </c>
      <c r="N74" s="329">
        <v>9703</v>
      </c>
      <c r="O74" s="329">
        <v>1141</v>
      </c>
      <c r="P74" s="329">
        <v>440</v>
      </c>
      <c r="Q74" s="329">
        <v>1581</v>
      </c>
      <c r="R74" s="329">
        <v>418</v>
      </c>
      <c r="S74" s="329">
        <v>288</v>
      </c>
      <c r="T74" s="329">
        <v>706</v>
      </c>
      <c r="U74" s="329">
        <v>0</v>
      </c>
      <c r="V74" s="329">
        <v>0</v>
      </c>
      <c r="W74" s="329">
        <v>0</v>
      </c>
      <c r="X74" s="330">
        <v>9978</v>
      </c>
      <c r="Y74" s="330">
        <v>5577</v>
      </c>
      <c r="Z74" s="330">
        <v>15555</v>
      </c>
      <c r="AA74" s="13"/>
      <c r="AB74" s="13"/>
    </row>
    <row r="75" spans="2:28" hidden="1" outlineLevel="1" x14ac:dyDescent="0.25">
      <c r="B75" s="304">
        <v>40817</v>
      </c>
      <c r="C75" s="329">
        <v>0</v>
      </c>
      <c r="D75" s="329">
        <v>0</v>
      </c>
      <c r="E75" s="329">
        <v>0</v>
      </c>
      <c r="F75" s="329">
        <v>0</v>
      </c>
      <c r="G75" s="329">
        <v>0</v>
      </c>
      <c r="H75" s="329">
        <v>0</v>
      </c>
      <c r="I75" s="329">
        <v>2106</v>
      </c>
      <c r="J75" s="329">
        <v>675</v>
      </c>
      <c r="K75" s="329">
        <v>2781</v>
      </c>
      <c r="L75" s="329">
        <v>5685</v>
      </c>
      <c r="M75" s="329">
        <v>3548</v>
      </c>
      <c r="N75" s="329">
        <v>9233</v>
      </c>
      <c r="O75" s="329">
        <v>1164</v>
      </c>
      <c r="P75" s="329">
        <v>423</v>
      </c>
      <c r="Q75" s="329">
        <v>1587</v>
      </c>
      <c r="R75" s="329">
        <v>493</v>
      </c>
      <c r="S75" s="329">
        <v>322</v>
      </c>
      <c r="T75" s="329">
        <v>815</v>
      </c>
      <c r="U75" s="329">
        <v>0</v>
      </c>
      <c r="V75" s="329">
        <v>0</v>
      </c>
      <c r="W75" s="329">
        <v>0</v>
      </c>
      <c r="X75" s="330">
        <v>9448</v>
      </c>
      <c r="Y75" s="330">
        <v>4968</v>
      </c>
      <c r="Z75" s="330">
        <v>14416</v>
      </c>
      <c r="AA75" s="13"/>
      <c r="AB75" s="13"/>
    </row>
    <row r="76" spans="2:28" hidden="1" outlineLevel="1" x14ac:dyDescent="0.25">
      <c r="B76" s="304">
        <v>40848</v>
      </c>
      <c r="C76" s="329">
        <v>0</v>
      </c>
      <c r="D76" s="329">
        <v>0</v>
      </c>
      <c r="E76" s="329">
        <v>0</v>
      </c>
      <c r="F76" s="329">
        <v>0</v>
      </c>
      <c r="G76" s="329">
        <v>0</v>
      </c>
      <c r="H76" s="329">
        <v>0</v>
      </c>
      <c r="I76" s="329">
        <v>2732</v>
      </c>
      <c r="J76" s="329">
        <v>879</v>
      </c>
      <c r="K76" s="329">
        <v>3611</v>
      </c>
      <c r="L76" s="329">
        <v>7880</v>
      </c>
      <c r="M76" s="329">
        <v>5861</v>
      </c>
      <c r="N76" s="329">
        <v>13741</v>
      </c>
      <c r="O76" s="329">
        <v>1364</v>
      </c>
      <c r="P76" s="329">
        <v>424</v>
      </c>
      <c r="Q76" s="329">
        <v>1788</v>
      </c>
      <c r="R76" s="329">
        <v>567</v>
      </c>
      <c r="S76" s="329">
        <v>435</v>
      </c>
      <c r="T76" s="329">
        <v>1002</v>
      </c>
      <c r="U76" s="329">
        <v>0</v>
      </c>
      <c r="V76" s="329">
        <v>0</v>
      </c>
      <c r="W76" s="329">
        <v>0</v>
      </c>
      <c r="X76" s="330">
        <v>12543</v>
      </c>
      <c r="Y76" s="330">
        <v>7599</v>
      </c>
      <c r="Z76" s="330">
        <v>20142</v>
      </c>
      <c r="AA76" s="13"/>
      <c r="AB76" s="13"/>
    </row>
    <row r="77" spans="2:28" collapsed="1" x14ac:dyDescent="0.25">
      <c r="B77" s="304">
        <v>40878</v>
      </c>
      <c r="C77" s="329">
        <v>0</v>
      </c>
      <c r="D77" s="329">
        <v>0</v>
      </c>
      <c r="E77" s="329">
        <v>0</v>
      </c>
      <c r="F77" s="329">
        <v>0</v>
      </c>
      <c r="G77" s="329">
        <v>0</v>
      </c>
      <c r="H77" s="329">
        <v>0</v>
      </c>
      <c r="I77" s="329">
        <v>2088</v>
      </c>
      <c r="J77" s="329">
        <v>669</v>
      </c>
      <c r="K77" s="329">
        <v>2757</v>
      </c>
      <c r="L77" s="329">
        <v>6398</v>
      </c>
      <c r="M77" s="329">
        <v>4787</v>
      </c>
      <c r="N77" s="329">
        <v>11185</v>
      </c>
      <c r="O77" s="329">
        <v>1028</v>
      </c>
      <c r="P77" s="329">
        <v>382</v>
      </c>
      <c r="Q77" s="329">
        <v>1410</v>
      </c>
      <c r="R77" s="329">
        <v>418</v>
      </c>
      <c r="S77" s="329">
        <v>329</v>
      </c>
      <c r="T77" s="329">
        <v>747</v>
      </c>
      <c r="U77" s="329">
        <v>0</v>
      </c>
      <c r="V77" s="329">
        <v>0</v>
      </c>
      <c r="W77" s="329">
        <v>0</v>
      </c>
      <c r="X77" s="330">
        <v>9932</v>
      </c>
      <c r="Y77" s="330">
        <v>6167</v>
      </c>
      <c r="Z77" s="330">
        <v>16099</v>
      </c>
      <c r="AA77" s="13"/>
      <c r="AB77" s="13"/>
    </row>
    <row r="78" spans="2:28" hidden="1" outlineLevel="1" x14ac:dyDescent="0.25">
      <c r="B78" s="304">
        <v>40909</v>
      </c>
      <c r="C78" s="329">
        <v>0</v>
      </c>
      <c r="D78" s="329">
        <v>0</v>
      </c>
      <c r="E78" s="329">
        <v>0</v>
      </c>
      <c r="F78" s="329">
        <v>0</v>
      </c>
      <c r="G78" s="329">
        <v>0</v>
      </c>
      <c r="H78" s="329">
        <v>0</v>
      </c>
      <c r="I78" s="329">
        <v>2283</v>
      </c>
      <c r="J78" s="329">
        <v>761</v>
      </c>
      <c r="K78" s="329">
        <v>3044</v>
      </c>
      <c r="L78" s="329">
        <v>6735</v>
      </c>
      <c r="M78" s="329">
        <v>4846</v>
      </c>
      <c r="N78" s="329">
        <v>11581</v>
      </c>
      <c r="O78" s="329">
        <v>1110</v>
      </c>
      <c r="P78" s="329">
        <v>415</v>
      </c>
      <c r="Q78" s="329">
        <v>1525</v>
      </c>
      <c r="R78" s="329">
        <v>466</v>
      </c>
      <c r="S78" s="329">
        <v>324</v>
      </c>
      <c r="T78" s="329">
        <v>790</v>
      </c>
      <c r="U78" s="329">
        <v>0</v>
      </c>
      <c r="V78" s="329">
        <v>0</v>
      </c>
      <c r="W78" s="329">
        <v>0</v>
      </c>
      <c r="X78" s="330">
        <v>10594</v>
      </c>
      <c r="Y78" s="330">
        <v>6346</v>
      </c>
      <c r="Z78" s="330">
        <v>16940</v>
      </c>
      <c r="AA78" s="13"/>
      <c r="AB78" s="13"/>
    </row>
    <row r="79" spans="2:28" hidden="1" outlineLevel="1" x14ac:dyDescent="0.25">
      <c r="B79" s="304">
        <v>40940</v>
      </c>
      <c r="C79" s="329">
        <v>0</v>
      </c>
      <c r="D79" s="329">
        <v>0</v>
      </c>
      <c r="E79" s="329">
        <v>0</v>
      </c>
      <c r="F79" s="329">
        <v>0</v>
      </c>
      <c r="G79" s="329">
        <v>0</v>
      </c>
      <c r="H79" s="329">
        <v>0</v>
      </c>
      <c r="I79" s="329">
        <v>1868</v>
      </c>
      <c r="J79" s="329">
        <v>622</v>
      </c>
      <c r="K79" s="329">
        <v>2490</v>
      </c>
      <c r="L79" s="329">
        <v>5593</v>
      </c>
      <c r="M79" s="329">
        <v>3634</v>
      </c>
      <c r="N79" s="329">
        <v>9227</v>
      </c>
      <c r="O79" s="329">
        <v>955</v>
      </c>
      <c r="P79" s="329">
        <v>373</v>
      </c>
      <c r="Q79" s="329">
        <v>1328</v>
      </c>
      <c r="R79" s="329">
        <v>451</v>
      </c>
      <c r="S79" s="329">
        <v>334</v>
      </c>
      <c r="T79" s="329">
        <v>785</v>
      </c>
      <c r="U79" s="329">
        <v>0</v>
      </c>
      <c r="V79" s="329">
        <v>0</v>
      </c>
      <c r="W79" s="329">
        <v>0</v>
      </c>
      <c r="X79" s="330">
        <v>8867</v>
      </c>
      <c r="Y79" s="330">
        <v>4963</v>
      </c>
      <c r="Z79" s="330">
        <v>13830</v>
      </c>
      <c r="AA79" s="13"/>
      <c r="AB79" s="13"/>
    </row>
    <row r="80" spans="2:28" hidden="1" outlineLevel="1" x14ac:dyDescent="0.25">
      <c r="B80" s="304">
        <v>40969</v>
      </c>
      <c r="C80" s="329">
        <v>0</v>
      </c>
      <c r="D80" s="329">
        <v>0</v>
      </c>
      <c r="E80" s="329">
        <v>0</v>
      </c>
      <c r="F80" s="329">
        <v>0</v>
      </c>
      <c r="G80" s="329">
        <v>0</v>
      </c>
      <c r="H80" s="329">
        <v>0</v>
      </c>
      <c r="I80" s="329">
        <v>2136</v>
      </c>
      <c r="J80" s="329">
        <v>679</v>
      </c>
      <c r="K80" s="329">
        <v>2815</v>
      </c>
      <c r="L80" s="329">
        <v>5916</v>
      </c>
      <c r="M80" s="329">
        <v>3962</v>
      </c>
      <c r="N80" s="329">
        <v>9878</v>
      </c>
      <c r="O80" s="329">
        <v>1190</v>
      </c>
      <c r="P80" s="329">
        <v>405</v>
      </c>
      <c r="Q80" s="329">
        <v>1595</v>
      </c>
      <c r="R80" s="329">
        <v>451</v>
      </c>
      <c r="S80" s="329">
        <v>341</v>
      </c>
      <c r="T80" s="329">
        <v>792</v>
      </c>
      <c r="U80" s="329">
        <v>0</v>
      </c>
      <c r="V80" s="329">
        <v>0</v>
      </c>
      <c r="W80" s="329">
        <v>0</v>
      </c>
      <c r="X80" s="330">
        <v>9693</v>
      </c>
      <c r="Y80" s="330">
        <v>5387</v>
      </c>
      <c r="Z80" s="330">
        <v>15080</v>
      </c>
      <c r="AA80" s="13"/>
      <c r="AB80" s="13"/>
    </row>
    <row r="81" spans="2:28" hidden="1" outlineLevel="1" x14ac:dyDescent="0.25">
      <c r="B81" s="304">
        <v>41000</v>
      </c>
      <c r="C81" s="329">
        <v>0</v>
      </c>
      <c r="D81" s="329">
        <v>0</v>
      </c>
      <c r="E81" s="329">
        <v>0</v>
      </c>
      <c r="F81" s="329">
        <v>0</v>
      </c>
      <c r="G81" s="329">
        <v>0</v>
      </c>
      <c r="H81" s="329">
        <v>0</v>
      </c>
      <c r="I81" s="329">
        <v>1753</v>
      </c>
      <c r="J81" s="329">
        <v>620</v>
      </c>
      <c r="K81" s="329">
        <v>2373</v>
      </c>
      <c r="L81" s="329">
        <v>4830</v>
      </c>
      <c r="M81" s="329">
        <v>3291</v>
      </c>
      <c r="N81" s="329">
        <v>8121</v>
      </c>
      <c r="O81" s="329">
        <v>1136</v>
      </c>
      <c r="P81" s="329">
        <v>406</v>
      </c>
      <c r="Q81" s="329">
        <v>1542</v>
      </c>
      <c r="R81" s="329">
        <v>374</v>
      </c>
      <c r="S81" s="329">
        <v>284</v>
      </c>
      <c r="T81" s="329">
        <v>658</v>
      </c>
      <c r="U81" s="329">
        <v>0</v>
      </c>
      <c r="V81" s="329">
        <v>0</v>
      </c>
      <c r="W81" s="329">
        <v>0</v>
      </c>
      <c r="X81" s="330">
        <v>8093</v>
      </c>
      <c r="Y81" s="330">
        <v>4601</v>
      </c>
      <c r="Z81" s="330">
        <v>12694</v>
      </c>
      <c r="AA81" s="13"/>
      <c r="AB81" s="13"/>
    </row>
    <row r="82" spans="2:28" hidden="1" outlineLevel="1" x14ac:dyDescent="0.25">
      <c r="B82" s="304">
        <v>41030</v>
      </c>
      <c r="C82" s="329">
        <v>0</v>
      </c>
      <c r="D82" s="329">
        <v>0</v>
      </c>
      <c r="E82" s="329">
        <v>0</v>
      </c>
      <c r="F82" s="329">
        <v>0</v>
      </c>
      <c r="G82" s="329">
        <v>0</v>
      </c>
      <c r="H82" s="329">
        <v>0</v>
      </c>
      <c r="I82" s="329">
        <v>2164</v>
      </c>
      <c r="J82" s="329">
        <v>693</v>
      </c>
      <c r="K82" s="329">
        <v>2857</v>
      </c>
      <c r="L82" s="329">
        <v>5552</v>
      </c>
      <c r="M82" s="329">
        <v>3913</v>
      </c>
      <c r="N82" s="329">
        <v>9465</v>
      </c>
      <c r="O82" s="329">
        <v>1386</v>
      </c>
      <c r="P82" s="329">
        <v>541</v>
      </c>
      <c r="Q82" s="329">
        <v>1927</v>
      </c>
      <c r="R82" s="329">
        <v>377</v>
      </c>
      <c r="S82" s="329">
        <v>292</v>
      </c>
      <c r="T82" s="329">
        <v>669</v>
      </c>
      <c r="U82" s="329">
        <v>0</v>
      </c>
      <c r="V82" s="329">
        <v>0</v>
      </c>
      <c r="W82" s="329">
        <v>0</v>
      </c>
      <c r="X82" s="330">
        <v>9479</v>
      </c>
      <c r="Y82" s="330">
        <v>5439</v>
      </c>
      <c r="Z82" s="330">
        <v>14918</v>
      </c>
      <c r="AA82" s="13"/>
      <c r="AB82" s="13"/>
    </row>
    <row r="83" spans="2:28" hidden="1" outlineLevel="1" x14ac:dyDescent="0.25">
      <c r="B83" s="304">
        <v>41061</v>
      </c>
      <c r="C83" s="329">
        <v>0</v>
      </c>
      <c r="D83" s="329">
        <v>0</v>
      </c>
      <c r="E83" s="329">
        <v>0</v>
      </c>
      <c r="F83" s="329">
        <v>0</v>
      </c>
      <c r="G83" s="329">
        <v>0</v>
      </c>
      <c r="H83" s="329">
        <v>0</v>
      </c>
      <c r="I83" s="329">
        <v>1957</v>
      </c>
      <c r="J83" s="329">
        <v>663</v>
      </c>
      <c r="K83" s="329">
        <v>2620</v>
      </c>
      <c r="L83" s="329">
        <v>4998</v>
      </c>
      <c r="M83" s="329">
        <v>3812</v>
      </c>
      <c r="N83" s="329">
        <v>8810</v>
      </c>
      <c r="O83" s="329">
        <v>1251</v>
      </c>
      <c r="P83" s="329">
        <v>527</v>
      </c>
      <c r="Q83" s="329">
        <v>1778</v>
      </c>
      <c r="R83" s="329">
        <v>336</v>
      </c>
      <c r="S83" s="329">
        <v>257</v>
      </c>
      <c r="T83" s="329">
        <v>593</v>
      </c>
      <c r="U83" s="329">
        <v>0</v>
      </c>
      <c r="V83" s="329">
        <v>0</v>
      </c>
      <c r="W83" s="329">
        <v>0</v>
      </c>
      <c r="X83" s="330">
        <v>8542</v>
      </c>
      <c r="Y83" s="330">
        <v>5259</v>
      </c>
      <c r="Z83" s="330">
        <v>13801</v>
      </c>
      <c r="AA83" s="13"/>
      <c r="AB83" s="13"/>
    </row>
    <row r="84" spans="2:28" hidden="1" outlineLevel="1" x14ac:dyDescent="0.25">
      <c r="B84" s="304">
        <v>41091</v>
      </c>
      <c r="C84" s="329">
        <v>0</v>
      </c>
      <c r="D84" s="329">
        <v>0</v>
      </c>
      <c r="E84" s="329">
        <v>0</v>
      </c>
      <c r="F84" s="329">
        <v>0</v>
      </c>
      <c r="G84" s="329">
        <v>0</v>
      </c>
      <c r="H84" s="329">
        <v>0</v>
      </c>
      <c r="I84" s="329">
        <v>2242</v>
      </c>
      <c r="J84" s="329">
        <v>691</v>
      </c>
      <c r="K84" s="329">
        <v>2933</v>
      </c>
      <c r="L84" s="329">
        <v>5366</v>
      </c>
      <c r="M84" s="329">
        <v>4078</v>
      </c>
      <c r="N84" s="329">
        <v>9444</v>
      </c>
      <c r="O84" s="329">
        <v>1199</v>
      </c>
      <c r="P84" s="329">
        <v>500</v>
      </c>
      <c r="Q84" s="329">
        <v>1699</v>
      </c>
      <c r="R84" s="329">
        <v>445</v>
      </c>
      <c r="S84" s="329">
        <v>280</v>
      </c>
      <c r="T84" s="329">
        <v>725</v>
      </c>
      <c r="U84" s="329">
        <v>0</v>
      </c>
      <c r="V84" s="329">
        <v>0</v>
      </c>
      <c r="W84" s="329">
        <v>0</v>
      </c>
      <c r="X84" s="330">
        <v>9252</v>
      </c>
      <c r="Y84" s="330">
        <v>5549</v>
      </c>
      <c r="Z84" s="330">
        <v>14801</v>
      </c>
      <c r="AA84" s="13"/>
      <c r="AB84" s="13"/>
    </row>
    <row r="85" spans="2:28" hidden="1" outlineLevel="1" x14ac:dyDescent="0.25">
      <c r="B85" s="304">
        <v>41122</v>
      </c>
      <c r="C85" s="329">
        <v>0</v>
      </c>
      <c r="D85" s="329">
        <v>0</v>
      </c>
      <c r="E85" s="329">
        <v>0</v>
      </c>
      <c r="F85" s="329">
        <v>0</v>
      </c>
      <c r="G85" s="329">
        <v>0</v>
      </c>
      <c r="H85" s="329">
        <v>0</v>
      </c>
      <c r="I85" s="329">
        <v>2454</v>
      </c>
      <c r="J85" s="329">
        <v>767</v>
      </c>
      <c r="K85" s="329">
        <v>3221</v>
      </c>
      <c r="L85" s="329">
        <v>9471</v>
      </c>
      <c r="M85" s="329">
        <v>7751</v>
      </c>
      <c r="N85" s="329">
        <v>17222</v>
      </c>
      <c r="O85" s="329">
        <v>1428</v>
      </c>
      <c r="P85" s="329">
        <v>539</v>
      </c>
      <c r="Q85" s="329">
        <v>1967</v>
      </c>
      <c r="R85" s="329">
        <v>438</v>
      </c>
      <c r="S85" s="329">
        <v>317</v>
      </c>
      <c r="T85" s="329">
        <v>755</v>
      </c>
      <c r="U85" s="329">
        <v>0</v>
      </c>
      <c r="V85" s="329">
        <v>0</v>
      </c>
      <c r="W85" s="329">
        <v>0</v>
      </c>
      <c r="X85" s="330">
        <v>13791</v>
      </c>
      <c r="Y85" s="330">
        <v>9374</v>
      </c>
      <c r="Z85" s="330">
        <v>23165</v>
      </c>
      <c r="AA85" s="13"/>
      <c r="AB85" s="13"/>
    </row>
    <row r="86" spans="2:28" hidden="1" outlineLevel="1" x14ac:dyDescent="0.25">
      <c r="B86" s="304">
        <v>41153</v>
      </c>
      <c r="C86" s="329">
        <v>0</v>
      </c>
      <c r="D86" s="329">
        <v>0</v>
      </c>
      <c r="E86" s="329">
        <v>0</v>
      </c>
      <c r="F86" s="329">
        <v>0</v>
      </c>
      <c r="G86" s="329">
        <v>0</v>
      </c>
      <c r="H86" s="329">
        <v>0</v>
      </c>
      <c r="I86" s="329">
        <v>2036</v>
      </c>
      <c r="J86" s="329">
        <v>651</v>
      </c>
      <c r="K86" s="329">
        <v>2687</v>
      </c>
      <c r="L86" s="329">
        <v>11016</v>
      </c>
      <c r="M86" s="329">
        <v>8091</v>
      </c>
      <c r="N86" s="329">
        <v>19107</v>
      </c>
      <c r="O86" s="329">
        <v>962</v>
      </c>
      <c r="P86" s="329">
        <v>351</v>
      </c>
      <c r="Q86" s="329">
        <v>1313</v>
      </c>
      <c r="R86" s="329">
        <v>306</v>
      </c>
      <c r="S86" s="329">
        <v>235</v>
      </c>
      <c r="T86" s="329">
        <v>541</v>
      </c>
      <c r="U86" s="329">
        <v>0</v>
      </c>
      <c r="V86" s="329">
        <v>0</v>
      </c>
      <c r="W86" s="329">
        <v>0</v>
      </c>
      <c r="X86" s="330">
        <v>14320</v>
      </c>
      <c r="Y86" s="330">
        <v>9328</v>
      </c>
      <c r="Z86" s="330">
        <v>23648</v>
      </c>
      <c r="AA86" s="13"/>
      <c r="AB86" s="13"/>
    </row>
    <row r="87" spans="2:28" hidden="1" outlineLevel="1" x14ac:dyDescent="0.25">
      <c r="B87" s="304">
        <v>41183</v>
      </c>
      <c r="C87" s="329">
        <v>0</v>
      </c>
      <c r="D87" s="329">
        <v>0</v>
      </c>
      <c r="E87" s="329">
        <v>0</v>
      </c>
      <c r="F87" s="329">
        <v>0</v>
      </c>
      <c r="G87" s="329">
        <v>0</v>
      </c>
      <c r="H87" s="329">
        <v>0</v>
      </c>
      <c r="I87" s="329">
        <v>2850</v>
      </c>
      <c r="J87" s="329">
        <v>834</v>
      </c>
      <c r="K87" s="329">
        <v>3684</v>
      </c>
      <c r="L87" s="329">
        <v>6678</v>
      </c>
      <c r="M87" s="329">
        <v>5025</v>
      </c>
      <c r="N87" s="329">
        <v>11703</v>
      </c>
      <c r="O87" s="329">
        <v>1413</v>
      </c>
      <c r="P87" s="329">
        <v>510</v>
      </c>
      <c r="Q87" s="329">
        <v>1923</v>
      </c>
      <c r="R87" s="329">
        <v>426</v>
      </c>
      <c r="S87" s="329">
        <v>322</v>
      </c>
      <c r="T87" s="329">
        <v>748</v>
      </c>
      <c r="U87" s="329">
        <v>0</v>
      </c>
      <c r="V87" s="329">
        <v>0</v>
      </c>
      <c r="W87" s="329">
        <v>0</v>
      </c>
      <c r="X87" s="330">
        <v>11367</v>
      </c>
      <c r="Y87" s="330">
        <v>6691</v>
      </c>
      <c r="Z87" s="330">
        <v>18058</v>
      </c>
      <c r="AA87" s="13"/>
      <c r="AB87" s="13"/>
    </row>
    <row r="88" spans="2:28" hidden="1" outlineLevel="1" x14ac:dyDescent="0.25">
      <c r="B88" s="304">
        <v>41214</v>
      </c>
      <c r="C88" s="329">
        <v>0</v>
      </c>
      <c r="D88" s="329">
        <v>0</v>
      </c>
      <c r="E88" s="329">
        <v>0</v>
      </c>
      <c r="F88" s="329">
        <v>0</v>
      </c>
      <c r="G88" s="329">
        <v>0</v>
      </c>
      <c r="H88" s="329">
        <v>0</v>
      </c>
      <c r="I88" s="329">
        <v>2231</v>
      </c>
      <c r="J88" s="329">
        <v>702</v>
      </c>
      <c r="K88" s="329">
        <v>2933</v>
      </c>
      <c r="L88" s="329">
        <v>4229</v>
      </c>
      <c r="M88" s="329">
        <v>4228</v>
      </c>
      <c r="N88" s="329">
        <v>8457</v>
      </c>
      <c r="O88" s="329">
        <v>1160</v>
      </c>
      <c r="P88" s="329">
        <v>413</v>
      </c>
      <c r="Q88" s="329">
        <v>1573</v>
      </c>
      <c r="R88" s="329">
        <v>355</v>
      </c>
      <c r="S88" s="329">
        <v>262</v>
      </c>
      <c r="T88" s="329">
        <v>617</v>
      </c>
      <c r="U88" s="329">
        <v>0</v>
      </c>
      <c r="V88" s="329">
        <v>0</v>
      </c>
      <c r="W88" s="329">
        <v>0</v>
      </c>
      <c r="X88" s="330">
        <v>7975</v>
      </c>
      <c r="Y88" s="330">
        <v>5605</v>
      </c>
      <c r="Z88" s="330">
        <v>13580</v>
      </c>
      <c r="AA88" s="13"/>
      <c r="AB88" s="13"/>
    </row>
    <row r="89" spans="2:28" collapsed="1" x14ac:dyDescent="0.25">
      <c r="B89" s="304">
        <v>41244</v>
      </c>
      <c r="C89" s="329">
        <v>0</v>
      </c>
      <c r="D89" s="329">
        <v>0</v>
      </c>
      <c r="E89" s="329">
        <v>0</v>
      </c>
      <c r="F89" s="329">
        <v>0</v>
      </c>
      <c r="G89" s="329">
        <v>0</v>
      </c>
      <c r="H89" s="329">
        <v>0</v>
      </c>
      <c r="I89" s="329">
        <v>1947</v>
      </c>
      <c r="J89" s="329">
        <v>590</v>
      </c>
      <c r="K89" s="329">
        <v>2537</v>
      </c>
      <c r="L89" s="329">
        <v>3607</v>
      </c>
      <c r="M89" s="329">
        <v>3725</v>
      </c>
      <c r="N89" s="329">
        <v>7332</v>
      </c>
      <c r="O89" s="329">
        <v>997</v>
      </c>
      <c r="P89" s="329">
        <v>427</v>
      </c>
      <c r="Q89" s="329">
        <v>1424</v>
      </c>
      <c r="R89" s="329">
        <v>313</v>
      </c>
      <c r="S89" s="329">
        <v>240</v>
      </c>
      <c r="T89" s="329">
        <v>553</v>
      </c>
      <c r="U89" s="329">
        <v>0</v>
      </c>
      <c r="V89" s="329">
        <v>0</v>
      </c>
      <c r="W89" s="329">
        <v>0</v>
      </c>
      <c r="X89" s="330">
        <v>6864</v>
      </c>
      <c r="Y89" s="330">
        <v>4982</v>
      </c>
      <c r="Z89" s="330">
        <v>11846</v>
      </c>
      <c r="AA89" s="13"/>
      <c r="AB89" s="13"/>
    </row>
    <row r="90" spans="2:28" hidden="1" outlineLevel="1" x14ac:dyDescent="0.25">
      <c r="B90" s="304">
        <v>41275</v>
      </c>
      <c r="C90" s="329">
        <v>0</v>
      </c>
      <c r="D90" s="329">
        <v>0</v>
      </c>
      <c r="E90" s="329">
        <v>0</v>
      </c>
      <c r="F90" s="329">
        <v>0</v>
      </c>
      <c r="G90" s="329">
        <v>0</v>
      </c>
      <c r="H90" s="329">
        <v>0</v>
      </c>
      <c r="I90" s="329">
        <v>2273</v>
      </c>
      <c r="J90" s="329">
        <v>740</v>
      </c>
      <c r="K90" s="329">
        <v>3013</v>
      </c>
      <c r="L90" s="329">
        <v>4166</v>
      </c>
      <c r="M90" s="329">
        <v>3406</v>
      </c>
      <c r="N90" s="329">
        <v>7572</v>
      </c>
      <c r="O90" s="329">
        <v>1083</v>
      </c>
      <c r="P90" s="329">
        <v>451</v>
      </c>
      <c r="Q90" s="329">
        <v>1534</v>
      </c>
      <c r="R90" s="329">
        <v>342</v>
      </c>
      <c r="S90" s="329">
        <v>268</v>
      </c>
      <c r="T90" s="329">
        <v>610</v>
      </c>
      <c r="U90" s="329">
        <v>0</v>
      </c>
      <c r="V90" s="329">
        <v>0</v>
      </c>
      <c r="W90" s="329">
        <v>0</v>
      </c>
      <c r="X90" s="330">
        <v>7864</v>
      </c>
      <c r="Y90" s="330">
        <v>4865</v>
      </c>
      <c r="Z90" s="330">
        <v>12729</v>
      </c>
      <c r="AA90" s="13"/>
      <c r="AB90" s="13"/>
    </row>
    <row r="91" spans="2:28" hidden="1" outlineLevel="1" x14ac:dyDescent="0.25">
      <c r="B91" s="304">
        <v>41306</v>
      </c>
      <c r="C91" s="329">
        <v>0</v>
      </c>
      <c r="D91" s="329">
        <v>0</v>
      </c>
      <c r="E91" s="329">
        <v>0</v>
      </c>
      <c r="F91" s="329">
        <v>0</v>
      </c>
      <c r="G91" s="329">
        <v>0</v>
      </c>
      <c r="H91" s="329">
        <v>0</v>
      </c>
      <c r="I91" s="329">
        <v>1668</v>
      </c>
      <c r="J91" s="329">
        <v>586</v>
      </c>
      <c r="K91" s="329">
        <v>2254</v>
      </c>
      <c r="L91" s="329">
        <v>2969</v>
      </c>
      <c r="M91" s="329">
        <v>2589</v>
      </c>
      <c r="N91" s="329">
        <v>5558</v>
      </c>
      <c r="O91" s="329">
        <v>961</v>
      </c>
      <c r="P91" s="329">
        <v>364</v>
      </c>
      <c r="Q91" s="329">
        <v>1325</v>
      </c>
      <c r="R91" s="329">
        <v>258</v>
      </c>
      <c r="S91" s="329">
        <v>226</v>
      </c>
      <c r="T91" s="329">
        <v>484</v>
      </c>
      <c r="U91" s="329">
        <v>0</v>
      </c>
      <c r="V91" s="329">
        <v>0</v>
      </c>
      <c r="W91" s="329">
        <v>0</v>
      </c>
      <c r="X91" s="330">
        <v>5856</v>
      </c>
      <c r="Y91" s="330">
        <v>3765</v>
      </c>
      <c r="Z91" s="330">
        <v>9621</v>
      </c>
      <c r="AA91" s="13"/>
      <c r="AB91" s="13"/>
    </row>
    <row r="92" spans="2:28" hidden="1" outlineLevel="1" x14ac:dyDescent="0.25">
      <c r="B92" s="304">
        <v>41334</v>
      </c>
      <c r="C92" s="329">
        <v>0</v>
      </c>
      <c r="D92" s="329">
        <v>0</v>
      </c>
      <c r="E92" s="329">
        <v>0</v>
      </c>
      <c r="F92" s="329">
        <v>0</v>
      </c>
      <c r="G92" s="329">
        <v>0</v>
      </c>
      <c r="H92" s="329">
        <v>0</v>
      </c>
      <c r="I92" s="329">
        <v>1858</v>
      </c>
      <c r="J92" s="329">
        <v>555</v>
      </c>
      <c r="K92" s="329">
        <v>2413</v>
      </c>
      <c r="L92" s="329">
        <v>3053</v>
      </c>
      <c r="M92" s="329">
        <v>2504</v>
      </c>
      <c r="N92" s="329">
        <v>5557</v>
      </c>
      <c r="O92" s="329">
        <v>1153</v>
      </c>
      <c r="P92" s="329">
        <v>430</v>
      </c>
      <c r="Q92" s="329">
        <v>1583</v>
      </c>
      <c r="R92" s="329">
        <v>345</v>
      </c>
      <c r="S92" s="329">
        <v>261</v>
      </c>
      <c r="T92" s="329">
        <v>606</v>
      </c>
      <c r="U92" s="329">
        <v>0</v>
      </c>
      <c r="V92" s="329">
        <v>0</v>
      </c>
      <c r="W92" s="329">
        <v>0</v>
      </c>
      <c r="X92" s="330">
        <v>6409</v>
      </c>
      <c r="Y92" s="330">
        <v>3750</v>
      </c>
      <c r="Z92" s="330">
        <v>10159</v>
      </c>
      <c r="AA92" s="13"/>
      <c r="AB92" s="13"/>
    </row>
    <row r="93" spans="2:28" hidden="1" outlineLevel="1" x14ac:dyDescent="0.25">
      <c r="B93" s="304">
        <v>41365</v>
      </c>
      <c r="C93" s="329">
        <v>0</v>
      </c>
      <c r="D93" s="329">
        <v>0</v>
      </c>
      <c r="E93" s="329">
        <v>0</v>
      </c>
      <c r="F93" s="329">
        <v>0</v>
      </c>
      <c r="G93" s="329">
        <v>0</v>
      </c>
      <c r="H93" s="329">
        <v>0</v>
      </c>
      <c r="I93" s="329">
        <v>1841</v>
      </c>
      <c r="J93" s="329">
        <v>607</v>
      </c>
      <c r="K93" s="329">
        <v>2448</v>
      </c>
      <c r="L93" s="329">
        <v>2990</v>
      </c>
      <c r="M93" s="329">
        <v>2901</v>
      </c>
      <c r="N93" s="329">
        <v>5891</v>
      </c>
      <c r="O93" s="329">
        <v>1262</v>
      </c>
      <c r="P93" s="329">
        <v>410</v>
      </c>
      <c r="Q93" s="329">
        <v>1672</v>
      </c>
      <c r="R93" s="329">
        <v>370</v>
      </c>
      <c r="S93" s="329">
        <v>254</v>
      </c>
      <c r="T93" s="329">
        <v>624</v>
      </c>
      <c r="U93" s="329">
        <v>0</v>
      </c>
      <c r="V93" s="329">
        <v>0</v>
      </c>
      <c r="W93" s="329">
        <v>0</v>
      </c>
      <c r="X93" s="330">
        <v>6463</v>
      </c>
      <c r="Y93" s="330">
        <v>4172</v>
      </c>
      <c r="Z93" s="330">
        <v>10635</v>
      </c>
      <c r="AA93" s="13"/>
      <c r="AB93" s="13"/>
    </row>
    <row r="94" spans="2:28" hidden="1" outlineLevel="1" x14ac:dyDescent="0.25">
      <c r="B94" s="304">
        <v>41395</v>
      </c>
      <c r="C94" s="329">
        <v>0</v>
      </c>
      <c r="D94" s="329">
        <v>0</v>
      </c>
      <c r="E94" s="329">
        <v>0</v>
      </c>
      <c r="F94" s="329">
        <v>0</v>
      </c>
      <c r="G94" s="329">
        <v>0</v>
      </c>
      <c r="H94" s="329">
        <v>0</v>
      </c>
      <c r="I94" s="329">
        <v>1696</v>
      </c>
      <c r="J94" s="329">
        <v>590</v>
      </c>
      <c r="K94" s="329">
        <v>2286</v>
      </c>
      <c r="L94" s="329">
        <v>2793</v>
      </c>
      <c r="M94" s="329">
        <v>3316</v>
      </c>
      <c r="N94" s="329">
        <v>6109</v>
      </c>
      <c r="O94" s="329">
        <v>1041</v>
      </c>
      <c r="P94" s="329">
        <v>376</v>
      </c>
      <c r="Q94" s="329">
        <v>1417</v>
      </c>
      <c r="R94" s="329">
        <v>338</v>
      </c>
      <c r="S94" s="329">
        <v>264</v>
      </c>
      <c r="T94" s="329">
        <v>602</v>
      </c>
      <c r="U94" s="329">
        <v>0</v>
      </c>
      <c r="V94" s="329">
        <v>0</v>
      </c>
      <c r="W94" s="329">
        <v>0</v>
      </c>
      <c r="X94" s="330">
        <v>5868</v>
      </c>
      <c r="Y94" s="330">
        <v>4546</v>
      </c>
      <c r="Z94" s="330">
        <v>10414</v>
      </c>
      <c r="AA94" s="13"/>
      <c r="AB94" s="13"/>
    </row>
    <row r="95" spans="2:28" hidden="1" outlineLevel="1" x14ac:dyDescent="0.25">
      <c r="B95" s="304">
        <v>41426</v>
      </c>
      <c r="C95" s="329">
        <v>0</v>
      </c>
      <c r="D95" s="329">
        <v>0</v>
      </c>
      <c r="E95" s="329">
        <v>0</v>
      </c>
      <c r="F95" s="329">
        <v>0</v>
      </c>
      <c r="G95" s="329">
        <v>0</v>
      </c>
      <c r="H95" s="329">
        <v>0</v>
      </c>
      <c r="I95" s="329">
        <v>1831</v>
      </c>
      <c r="J95" s="329">
        <v>574</v>
      </c>
      <c r="K95" s="329">
        <v>2405</v>
      </c>
      <c r="L95" s="329">
        <v>3093</v>
      </c>
      <c r="M95" s="329">
        <v>3102</v>
      </c>
      <c r="N95" s="329">
        <v>6195</v>
      </c>
      <c r="O95" s="329">
        <v>1073</v>
      </c>
      <c r="P95" s="329">
        <v>386</v>
      </c>
      <c r="Q95" s="329">
        <v>1459</v>
      </c>
      <c r="R95" s="329">
        <v>354</v>
      </c>
      <c r="S95" s="329">
        <v>265</v>
      </c>
      <c r="T95" s="329">
        <v>619</v>
      </c>
      <c r="U95" s="329">
        <v>0</v>
      </c>
      <c r="V95" s="329">
        <v>0</v>
      </c>
      <c r="W95" s="329">
        <v>0</v>
      </c>
      <c r="X95" s="330">
        <v>6351</v>
      </c>
      <c r="Y95" s="330">
        <v>4327</v>
      </c>
      <c r="Z95" s="330">
        <v>10678</v>
      </c>
      <c r="AA95" s="13"/>
      <c r="AB95" s="13"/>
    </row>
    <row r="96" spans="2:28" hidden="1" outlineLevel="1" x14ac:dyDescent="0.25">
      <c r="B96" s="304">
        <v>41456</v>
      </c>
      <c r="C96" s="329">
        <v>0</v>
      </c>
      <c r="D96" s="329">
        <v>0</v>
      </c>
      <c r="E96" s="329">
        <v>0</v>
      </c>
      <c r="F96" s="329">
        <v>0</v>
      </c>
      <c r="G96" s="329">
        <v>0</v>
      </c>
      <c r="H96" s="329">
        <v>0</v>
      </c>
      <c r="I96" s="329">
        <v>2063</v>
      </c>
      <c r="J96" s="329">
        <v>631</v>
      </c>
      <c r="K96" s="329">
        <v>2694</v>
      </c>
      <c r="L96" s="329">
        <v>2950</v>
      </c>
      <c r="M96" s="329">
        <v>2813</v>
      </c>
      <c r="N96" s="329">
        <v>5763</v>
      </c>
      <c r="O96" s="329">
        <v>1047</v>
      </c>
      <c r="P96" s="329">
        <v>383</v>
      </c>
      <c r="Q96" s="329">
        <v>1430</v>
      </c>
      <c r="R96" s="329">
        <v>344</v>
      </c>
      <c r="S96" s="329">
        <v>269</v>
      </c>
      <c r="T96" s="329">
        <v>613</v>
      </c>
      <c r="U96" s="329">
        <v>0</v>
      </c>
      <c r="V96" s="329">
        <v>0</v>
      </c>
      <c r="W96" s="329">
        <v>0</v>
      </c>
      <c r="X96" s="330">
        <v>6404</v>
      </c>
      <c r="Y96" s="330">
        <v>4096</v>
      </c>
      <c r="Z96" s="330">
        <v>10500</v>
      </c>
      <c r="AA96" s="13"/>
      <c r="AB96" s="13"/>
    </row>
    <row r="97" spans="2:28" hidden="1" outlineLevel="1" x14ac:dyDescent="0.25">
      <c r="B97" s="304">
        <v>41487</v>
      </c>
      <c r="C97" s="329">
        <v>0</v>
      </c>
      <c r="D97" s="329">
        <v>0</v>
      </c>
      <c r="E97" s="329">
        <v>0</v>
      </c>
      <c r="F97" s="329">
        <v>0</v>
      </c>
      <c r="G97" s="329">
        <v>0</v>
      </c>
      <c r="H97" s="329">
        <v>0</v>
      </c>
      <c r="I97" s="329">
        <v>2226</v>
      </c>
      <c r="J97" s="329">
        <v>739</v>
      </c>
      <c r="K97" s="329">
        <v>2965</v>
      </c>
      <c r="L97" s="329">
        <v>3812</v>
      </c>
      <c r="M97" s="329">
        <v>3238</v>
      </c>
      <c r="N97" s="329">
        <v>7050</v>
      </c>
      <c r="O97" s="329">
        <v>1122</v>
      </c>
      <c r="P97" s="329">
        <v>361</v>
      </c>
      <c r="Q97" s="329">
        <v>1483</v>
      </c>
      <c r="R97" s="329">
        <v>427</v>
      </c>
      <c r="S97" s="329">
        <v>317</v>
      </c>
      <c r="T97" s="329">
        <v>744</v>
      </c>
      <c r="U97" s="329">
        <v>0</v>
      </c>
      <c r="V97" s="329">
        <v>0</v>
      </c>
      <c r="W97" s="329">
        <v>0</v>
      </c>
      <c r="X97" s="330">
        <v>7587</v>
      </c>
      <c r="Y97" s="330">
        <v>4655</v>
      </c>
      <c r="Z97" s="330">
        <v>12242</v>
      </c>
      <c r="AA97" s="13"/>
      <c r="AB97" s="13"/>
    </row>
    <row r="98" spans="2:28" hidden="1" outlineLevel="1" x14ac:dyDescent="0.25">
      <c r="B98" s="304">
        <v>41518</v>
      </c>
      <c r="C98" s="329">
        <v>0</v>
      </c>
      <c r="D98" s="329">
        <v>0</v>
      </c>
      <c r="E98" s="329">
        <v>0</v>
      </c>
      <c r="F98" s="329">
        <v>0</v>
      </c>
      <c r="G98" s="329">
        <v>0</v>
      </c>
      <c r="H98" s="329">
        <v>0</v>
      </c>
      <c r="I98" s="329">
        <v>2253</v>
      </c>
      <c r="J98" s="329">
        <v>684</v>
      </c>
      <c r="K98" s="329">
        <v>2937</v>
      </c>
      <c r="L98" s="329">
        <v>3370</v>
      </c>
      <c r="M98" s="329">
        <v>2971</v>
      </c>
      <c r="N98" s="329">
        <v>6341</v>
      </c>
      <c r="O98" s="329">
        <v>889</v>
      </c>
      <c r="P98" s="329">
        <v>304</v>
      </c>
      <c r="Q98" s="329">
        <v>1193</v>
      </c>
      <c r="R98" s="329">
        <v>308</v>
      </c>
      <c r="S98" s="329">
        <v>252</v>
      </c>
      <c r="T98" s="329">
        <v>560</v>
      </c>
      <c r="U98" s="329">
        <v>0</v>
      </c>
      <c r="V98" s="329">
        <v>0</v>
      </c>
      <c r="W98" s="329">
        <v>0</v>
      </c>
      <c r="X98" s="330">
        <v>6820</v>
      </c>
      <c r="Y98" s="330">
        <v>4211</v>
      </c>
      <c r="Z98" s="330">
        <v>11031</v>
      </c>
      <c r="AA98" s="13"/>
      <c r="AB98" s="13"/>
    </row>
    <row r="99" spans="2:28" hidden="1" outlineLevel="1" x14ac:dyDescent="0.25">
      <c r="B99" s="304">
        <v>41548</v>
      </c>
      <c r="C99" s="329">
        <v>0</v>
      </c>
      <c r="D99" s="329">
        <v>0</v>
      </c>
      <c r="E99" s="329">
        <v>0</v>
      </c>
      <c r="F99" s="329">
        <v>0</v>
      </c>
      <c r="G99" s="329">
        <v>0</v>
      </c>
      <c r="H99" s="329">
        <v>0</v>
      </c>
      <c r="I99" s="329">
        <v>2620</v>
      </c>
      <c r="J99" s="329">
        <v>724</v>
      </c>
      <c r="K99" s="329">
        <v>3344</v>
      </c>
      <c r="L99" s="329">
        <v>4408</v>
      </c>
      <c r="M99" s="329">
        <v>3709</v>
      </c>
      <c r="N99" s="329">
        <v>8117</v>
      </c>
      <c r="O99" s="329">
        <v>1042</v>
      </c>
      <c r="P99" s="329">
        <v>399</v>
      </c>
      <c r="Q99" s="329">
        <v>1441</v>
      </c>
      <c r="R99" s="329">
        <v>415</v>
      </c>
      <c r="S99" s="329">
        <v>294</v>
      </c>
      <c r="T99" s="329">
        <v>709</v>
      </c>
      <c r="U99" s="329">
        <v>0</v>
      </c>
      <c r="V99" s="329">
        <v>0</v>
      </c>
      <c r="W99" s="329">
        <v>0</v>
      </c>
      <c r="X99" s="330">
        <v>8485</v>
      </c>
      <c r="Y99" s="330">
        <v>5126</v>
      </c>
      <c r="Z99" s="330">
        <v>13611</v>
      </c>
      <c r="AA99" s="13"/>
      <c r="AB99" s="13"/>
    </row>
    <row r="100" spans="2:28" hidden="1" outlineLevel="1" x14ac:dyDescent="0.25">
      <c r="B100" s="304">
        <v>41579</v>
      </c>
      <c r="C100" s="329">
        <v>0</v>
      </c>
      <c r="D100" s="329">
        <v>0</v>
      </c>
      <c r="E100" s="329">
        <v>0</v>
      </c>
      <c r="F100" s="329">
        <v>0</v>
      </c>
      <c r="G100" s="329">
        <v>0</v>
      </c>
      <c r="H100" s="329">
        <v>0</v>
      </c>
      <c r="I100" s="329">
        <v>1729</v>
      </c>
      <c r="J100" s="329">
        <v>462</v>
      </c>
      <c r="K100" s="329">
        <v>2191</v>
      </c>
      <c r="L100" s="329">
        <v>2742</v>
      </c>
      <c r="M100" s="329">
        <v>2398</v>
      </c>
      <c r="N100" s="329">
        <v>5140</v>
      </c>
      <c r="O100" s="329">
        <v>613</v>
      </c>
      <c r="P100" s="329">
        <v>258</v>
      </c>
      <c r="Q100" s="329">
        <v>871</v>
      </c>
      <c r="R100" s="329">
        <v>280</v>
      </c>
      <c r="S100" s="329">
        <v>206</v>
      </c>
      <c r="T100" s="329">
        <v>486</v>
      </c>
      <c r="U100" s="329">
        <v>0</v>
      </c>
      <c r="V100" s="329">
        <v>0</v>
      </c>
      <c r="W100" s="329">
        <v>0</v>
      </c>
      <c r="X100" s="330">
        <v>5364</v>
      </c>
      <c r="Y100" s="330">
        <v>3324</v>
      </c>
      <c r="Z100" s="330">
        <v>8688</v>
      </c>
      <c r="AA100" s="13"/>
      <c r="AB100" s="13"/>
    </row>
    <row r="101" spans="2:28" collapsed="1" x14ac:dyDescent="0.25">
      <c r="B101" s="304">
        <v>41609</v>
      </c>
      <c r="C101" s="329">
        <v>0</v>
      </c>
      <c r="D101" s="329">
        <v>0</v>
      </c>
      <c r="E101" s="329">
        <v>0</v>
      </c>
      <c r="F101" s="329">
        <v>0</v>
      </c>
      <c r="G101" s="329">
        <v>0</v>
      </c>
      <c r="H101" s="329">
        <v>0</v>
      </c>
      <c r="I101" s="329">
        <v>2976</v>
      </c>
      <c r="J101" s="329">
        <v>847</v>
      </c>
      <c r="K101" s="329">
        <v>3823</v>
      </c>
      <c r="L101" s="329">
        <v>4145</v>
      </c>
      <c r="M101" s="329">
        <v>3556</v>
      </c>
      <c r="N101" s="329">
        <v>7701</v>
      </c>
      <c r="O101" s="329">
        <v>1141</v>
      </c>
      <c r="P101" s="329">
        <v>483</v>
      </c>
      <c r="Q101" s="329">
        <v>1624</v>
      </c>
      <c r="R101" s="329">
        <v>359</v>
      </c>
      <c r="S101" s="329">
        <v>279</v>
      </c>
      <c r="T101" s="329">
        <v>638</v>
      </c>
      <c r="U101" s="329">
        <v>0</v>
      </c>
      <c r="V101" s="329">
        <v>0</v>
      </c>
      <c r="W101" s="329">
        <v>0</v>
      </c>
      <c r="X101" s="330">
        <v>8621</v>
      </c>
      <c r="Y101" s="330">
        <v>5165</v>
      </c>
      <c r="Z101" s="330">
        <v>13786</v>
      </c>
      <c r="AA101" s="13"/>
      <c r="AB101" s="13"/>
    </row>
    <row r="102" spans="2:28" hidden="1" outlineLevel="1" x14ac:dyDescent="0.25">
      <c r="B102" s="304">
        <v>41640</v>
      </c>
      <c r="C102" s="329">
        <v>0</v>
      </c>
      <c r="D102" s="329">
        <v>0</v>
      </c>
      <c r="E102" s="329">
        <v>0</v>
      </c>
      <c r="F102" s="329">
        <v>0</v>
      </c>
      <c r="G102" s="329">
        <v>0</v>
      </c>
      <c r="H102" s="329">
        <v>0</v>
      </c>
      <c r="I102" s="329">
        <v>2580</v>
      </c>
      <c r="J102" s="329">
        <v>788</v>
      </c>
      <c r="K102" s="329">
        <v>3368</v>
      </c>
      <c r="L102" s="329">
        <v>3802</v>
      </c>
      <c r="M102" s="329">
        <v>3343</v>
      </c>
      <c r="N102" s="329">
        <v>7145</v>
      </c>
      <c r="O102" s="329">
        <v>1017</v>
      </c>
      <c r="P102" s="329">
        <v>364</v>
      </c>
      <c r="Q102" s="329">
        <v>1381</v>
      </c>
      <c r="R102" s="329">
        <v>376</v>
      </c>
      <c r="S102" s="329">
        <v>275</v>
      </c>
      <c r="T102" s="329">
        <v>651</v>
      </c>
      <c r="U102" s="329">
        <v>0</v>
      </c>
      <c r="V102" s="329">
        <v>0</v>
      </c>
      <c r="W102" s="329">
        <v>0</v>
      </c>
      <c r="X102" s="330">
        <v>7775</v>
      </c>
      <c r="Y102" s="330">
        <v>4770</v>
      </c>
      <c r="Z102" s="330">
        <v>12545</v>
      </c>
      <c r="AA102" s="13"/>
      <c r="AB102" s="13"/>
    </row>
    <row r="103" spans="2:28" hidden="1" outlineLevel="1" x14ac:dyDescent="0.25">
      <c r="B103" s="304">
        <v>41671</v>
      </c>
      <c r="C103" s="329">
        <v>0</v>
      </c>
      <c r="D103" s="329">
        <v>0</v>
      </c>
      <c r="E103" s="329">
        <v>0</v>
      </c>
      <c r="F103" s="329">
        <v>0</v>
      </c>
      <c r="G103" s="329">
        <v>0</v>
      </c>
      <c r="H103" s="329">
        <v>0</v>
      </c>
      <c r="I103" s="329">
        <v>2317</v>
      </c>
      <c r="J103" s="329">
        <v>679</v>
      </c>
      <c r="K103" s="329">
        <v>2996</v>
      </c>
      <c r="L103" s="329">
        <v>3154</v>
      </c>
      <c r="M103" s="329">
        <v>2831</v>
      </c>
      <c r="N103" s="329">
        <v>5985</v>
      </c>
      <c r="O103" s="329">
        <v>857</v>
      </c>
      <c r="P103" s="329">
        <v>332</v>
      </c>
      <c r="Q103" s="329">
        <v>1189</v>
      </c>
      <c r="R103" s="329">
        <v>270</v>
      </c>
      <c r="S103" s="329">
        <v>212</v>
      </c>
      <c r="T103" s="329">
        <v>482</v>
      </c>
      <c r="U103" s="329">
        <v>0</v>
      </c>
      <c r="V103" s="329">
        <v>0</v>
      </c>
      <c r="W103" s="329">
        <v>0</v>
      </c>
      <c r="X103" s="330">
        <v>6598</v>
      </c>
      <c r="Y103" s="330">
        <v>4054</v>
      </c>
      <c r="Z103" s="330">
        <v>10652</v>
      </c>
      <c r="AA103" s="13"/>
      <c r="AB103" s="13"/>
    </row>
    <row r="104" spans="2:28" hidden="1" outlineLevel="1" x14ac:dyDescent="0.25">
      <c r="B104" s="304">
        <v>41699</v>
      </c>
      <c r="C104" s="329">
        <v>0</v>
      </c>
      <c r="D104" s="329">
        <v>0</v>
      </c>
      <c r="E104" s="329">
        <v>0</v>
      </c>
      <c r="F104" s="329">
        <v>0</v>
      </c>
      <c r="G104" s="329">
        <v>0</v>
      </c>
      <c r="H104" s="329">
        <v>0</v>
      </c>
      <c r="I104" s="329">
        <v>2931</v>
      </c>
      <c r="J104" s="329">
        <v>812</v>
      </c>
      <c r="K104" s="329">
        <v>3743</v>
      </c>
      <c r="L104" s="329">
        <v>3611</v>
      </c>
      <c r="M104" s="329">
        <v>3272</v>
      </c>
      <c r="N104" s="329">
        <v>6883</v>
      </c>
      <c r="O104" s="329">
        <v>1146</v>
      </c>
      <c r="P104" s="329">
        <v>448</v>
      </c>
      <c r="Q104" s="329">
        <v>1594</v>
      </c>
      <c r="R104" s="329">
        <v>401</v>
      </c>
      <c r="S104" s="329">
        <v>251</v>
      </c>
      <c r="T104" s="329">
        <v>652</v>
      </c>
      <c r="U104" s="329">
        <v>0</v>
      </c>
      <c r="V104" s="329">
        <v>0</v>
      </c>
      <c r="W104" s="329">
        <v>0</v>
      </c>
      <c r="X104" s="330">
        <v>8089</v>
      </c>
      <c r="Y104" s="330">
        <v>4783</v>
      </c>
      <c r="Z104" s="330">
        <v>12872</v>
      </c>
      <c r="AA104" s="13"/>
      <c r="AB104" s="13"/>
    </row>
    <row r="105" spans="2:28" hidden="1" outlineLevel="1" x14ac:dyDescent="0.25">
      <c r="B105" s="304">
        <v>41730</v>
      </c>
      <c r="C105" s="329">
        <v>0</v>
      </c>
      <c r="D105" s="329">
        <v>0</v>
      </c>
      <c r="E105" s="329">
        <v>0</v>
      </c>
      <c r="F105" s="329">
        <v>0</v>
      </c>
      <c r="G105" s="329">
        <v>0</v>
      </c>
      <c r="H105" s="329">
        <v>0</v>
      </c>
      <c r="I105" s="329">
        <v>2505</v>
      </c>
      <c r="J105" s="329">
        <v>725</v>
      </c>
      <c r="K105" s="329">
        <v>3230</v>
      </c>
      <c r="L105" s="329">
        <v>3350</v>
      </c>
      <c r="M105" s="329">
        <v>3131</v>
      </c>
      <c r="N105" s="329">
        <v>6481</v>
      </c>
      <c r="O105" s="329">
        <v>1060</v>
      </c>
      <c r="P105" s="329">
        <v>385</v>
      </c>
      <c r="Q105" s="329">
        <v>1445</v>
      </c>
      <c r="R105" s="329">
        <v>374</v>
      </c>
      <c r="S105" s="329">
        <v>281</v>
      </c>
      <c r="T105" s="329">
        <v>655</v>
      </c>
      <c r="U105" s="329">
        <v>0</v>
      </c>
      <c r="V105" s="329">
        <v>0</v>
      </c>
      <c r="W105" s="329">
        <v>0</v>
      </c>
      <c r="X105" s="330">
        <v>7289</v>
      </c>
      <c r="Y105" s="330">
        <v>4522</v>
      </c>
      <c r="Z105" s="330">
        <v>11811</v>
      </c>
      <c r="AA105" s="13"/>
      <c r="AB105" s="13"/>
    </row>
    <row r="106" spans="2:28" hidden="1" outlineLevel="1" x14ac:dyDescent="0.25">
      <c r="B106" s="304">
        <v>41760</v>
      </c>
      <c r="C106" s="329">
        <v>0</v>
      </c>
      <c r="D106" s="329">
        <v>0</v>
      </c>
      <c r="E106" s="329">
        <v>0</v>
      </c>
      <c r="F106" s="329">
        <v>0</v>
      </c>
      <c r="G106" s="329">
        <v>0</v>
      </c>
      <c r="H106" s="329">
        <v>0</v>
      </c>
      <c r="I106" s="329">
        <v>2926</v>
      </c>
      <c r="J106" s="329">
        <v>810</v>
      </c>
      <c r="K106" s="329">
        <v>3736</v>
      </c>
      <c r="L106" s="329">
        <v>4099</v>
      </c>
      <c r="M106" s="329">
        <v>4962</v>
      </c>
      <c r="N106" s="329">
        <v>9061</v>
      </c>
      <c r="O106" s="329">
        <v>1085</v>
      </c>
      <c r="P106" s="329">
        <v>388</v>
      </c>
      <c r="Q106" s="329">
        <v>1473</v>
      </c>
      <c r="R106" s="329">
        <v>317</v>
      </c>
      <c r="S106" s="329">
        <v>244</v>
      </c>
      <c r="T106" s="329">
        <v>561</v>
      </c>
      <c r="U106" s="329">
        <v>0</v>
      </c>
      <c r="V106" s="329">
        <v>0</v>
      </c>
      <c r="W106" s="329">
        <v>0</v>
      </c>
      <c r="X106" s="330">
        <v>8427</v>
      </c>
      <c r="Y106" s="330">
        <v>6404</v>
      </c>
      <c r="Z106" s="330">
        <v>14831</v>
      </c>
      <c r="AA106" s="13"/>
      <c r="AB106" s="13"/>
    </row>
    <row r="107" spans="2:28" hidden="1" outlineLevel="1" x14ac:dyDescent="0.25">
      <c r="B107" s="304">
        <v>41791</v>
      </c>
      <c r="C107" s="329">
        <v>0</v>
      </c>
      <c r="D107" s="329">
        <v>0</v>
      </c>
      <c r="E107" s="329">
        <v>0</v>
      </c>
      <c r="F107" s="329">
        <v>0</v>
      </c>
      <c r="G107" s="329">
        <v>0</v>
      </c>
      <c r="H107" s="329">
        <v>0</v>
      </c>
      <c r="I107" s="329">
        <v>2407</v>
      </c>
      <c r="J107" s="329">
        <v>732</v>
      </c>
      <c r="K107" s="329">
        <v>3139</v>
      </c>
      <c r="L107" s="329">
        <v>3674</v>
      </c>
      <c r="M107" s="329">
        <v>3815</v>
      </c>
      <c r="N107" s="329">
        <v>7489</v>
      </c>
      <c r="O107" s="329">
        <v>992</v>
      </c>
      <c r="P107" s="329">
        <v>417</v>
      </c>
      <c r="Q107" s="329">
        <v>1409</v>
      </c>
      <c r="R107" s="329">
        <v>278</v>
      </c>
      <c r="S107" s="329">
        <v>220</v>
      </c>
      <c r="T107" s="329">
        <v>498</v>
      </c>
      <c r="U107" s="329">
        <v>0</v>
      </c>
      <c r="V107" s="329">
        <v>0</v>
      </c>
      <c r="W107" s="329">
        <v>0</v>
      </c>
      <c r="X107" s="330">
        <v>7351</v>
      </c>
      <c r="Y107" s="330">
        <v>5184</v>
      </c>
      <c r="Z107" s="330">
        <v>12535</v>
      </c>
      <c r="AA107" s="13"/>
      <c r="AB107" s="13"/>
    </row>
    <row r="108" spans="2:28" hidden="1" outlineLevel="1" x14ac:dyDescent="0.25">
      <c r="B108" s="304">
        <v>41821</v>
      </c>
      <c r="C108" s="329">
        <v>0</v>
      </c>
      <c r="D108" s="329">
        <v>0</v>
      </c>
      <c r="E108" s="329">
        <v>0</v>
      </c>
      <c r="F108" s="329">
        <v>0</v>
      </c>
      <c r="G108" s="329">
        <v>0</v>
      </c>
      <c r="H108" s="329">
        <v>0</v>
      </c>
      <c r="I108" s="329">
        <v>2472</v>
      </c>
      <c r="J108" s="329">
        <v>702</v>
      </c>
      <c r="K108" s="329">
        <v>3174</v>
      </c>
      <c r="L108" s="329">
        <v>4002</v>
      </c>
      <c r="M108" s="329">
        <v>3469</v>
      </c>
      <c r="N108" s="329">
        <v>7471</v>
      </c>
      <c r="O108" s="329">
        <v>1127</v>
      </c>
      <c r="P108" s="329">
        <v>430</v>
      </c>
      <c r="Q108" s="329">
        <v>1557</v>
      </c>
      <c r="R108" s="329">
        <v>262</v>
      </c>
      <c r="S108" s="329">
        <v>210</v>
      </c>
      <c r="T108" s="329">
        <v>472</v>
      </c>
      <c r="U108" s="329">
        <v>0</v>
      </c>
      <c r="V108" s="329">
        <v>0</v>
      </c>
      <c r="W108" s="329">
        <v>0</v>
      </c>
      <c r="X108" s="330">
        <v>7863</v>
      </c>
      <c r="Y108" s="330">
        <v>4811</v>
      </c>
      <c r="Z108" s="330">
        <v>12674</v>
      </c>
      <c r="AA108" s="13"/>
      <c r="AB108" s="13"/>
    </row>
    <row r="109" spans="2:28" hidden="1" outlineLevel="1" x14ac:dyDescent="0.25">
      <c r="B109" s="304">
        <v>41852</v>
      </c>
      <c r="C109" s="329">
        <v>0</v>
      </c>
      <c r="D109" s="329">
        <v>0</v>
      </c>
      <c r="E109" s="329">
        <v>0</v>
      </c>
      <c r="F109" s="329">
        <v>0</v>
      </c>
      <c r="G109" s="329">
        <v>0</v>
      </c>
      <c r="H109" s="329">
        <v>0</v>
      </c>
      <c r="I109" s="329">
        <v>2753</v>
      </c>
      <c r="J109" s="329">
        <v>852</v>
      </c>
      <c r="K109" s="329">
        <v>3605</v>
      </c>
      <c r="L109" s="329">
        <v>4299</v>
      </c>
      <c r="M109" s="329">
        <v>3703</v>
      </c>
      <c r="N109" s="329">
        <v>8002</v>
      </c>
      <c r="O109" s="329">
        <v>1159</v>
      </c>
      <c r="P109" s="329">
        <v>472</v>
      </c>
      <c r="Q109" s="329">
        <v>1631</v>
      </c>
      <c r="R109" s="329">
        <v>265</v>
      </c>
      <c r="S109" s="329">
        <v>231</v>
      </c>
      <c r="T109" s="329">
        <v>496</v>
      </c>
      <c r="U109" s="329">
        <v>0</v>
      </c>
      <c r="V109" s="329">
        <v>0</v>
      </c>
      <c r="W109" s="329">
        <v>0</v>
      </c>
      <c r="X109" s="330">
        <v>8476</v>
      </c>
      <c r="Y109" s="330">
        <v>5258</v>
      </c>
      <c r="Z109" s="330">
        <v>13734</v>
      </c>
      <c r="AA109" s="13"/>
      <c r="AB109" s="13"/>
    </row>
    <row r="110" spans="2:28" hidden="1" outlineLevel="1" x14ac:dyDescent="0.25">
      <c r="B110" s="304">
        <v>41883</v>
      </c>
      <c r="C110" s="329">
        <v>0</v>
      </c>
      <c r="D110" s="329">
        <v>0</v>
      </c>
      <c r="E110" s="329">
        <v>0</v>
      </c>
      <c r="F110" s="329">
        <v>0</v>
      </c>
      <c r="G110" s="329">
        <v>0</v>
      </c>
      <c r="H110" s="329">
        <v>0</v>
      </c>
      <c r="I110" s="329">
        <v>2419</v>
      </c>
      <c r="J110" s="329">
        <v>747</v>
      </c>
      <c r="K110" s="329">
        <v>3166</v>
      </c>
      <c r="L110" s="329">
        <v>4095</v>
      </c>
      <c r="M110" s="329">
        <v>3449</v>
      </c>
      <c r="N110" s="329">
        <v>7544</v>
      </c>
      <c r="O110" s="329">
        <v>946</v>
      </c>
      <c r="P110" s="329">
        <v>452</v>
      </c>
      <c r="Q110" s="329">
        <v>1398</v>
      </c>
      <c r="R110" s="329">
        <v>206</v>
      </c>
      <c r="S110" s="329">
        <v>187</v>
      </c>
      <c r="T110" s="329">
        <v>393</v>
      </c>
      <c r="U110" s="329">
        <v>0</v>
      </c>
      <c r="V110" s="329">
        <v>0</v>
      </c>
      <c r="W110" s="329">
        <v>0</v>
      </c>
      <c r="X110" s="330">
        <v>7666</v>
      </c>
      <c r="Y110" s="330">
        <v>4835</v>
      </c>
      <c r="Z110" s="330">
        <v>12501</v>
      </c>
      <c r="AA110" s="13"/>
      <c r="AB110" s="13"/>
    </row>
    <row r="111" spans="2:28" hidden="1" outlineLevel="1" x14ac:dyDescent="0.25">
      <c r="B111" s="304">
        <v>41913</v>
      </c>
      <c r="C111" s="329">
        <v>0</v>
      </c>
      <c r="D111" s="329">
        <v>0</v>
      </c>
      <c r="E111" s="329">
        <v>0</v>
      </c>
      <c r="F111" s="329">
        <v>0</v>
      </c>
      <c r="G111" s="329">
        <v>0</v>
      </c>
      <c r="H111" s="329">
        <v>0</v>
      </c>
      <c r="I111" s="329">
        <v>2676</v>
      </c>
      <c r="J111" s="329">
        <v>799</v>
      </c>
      <c r="K111" s="329">
        <v>3475</v>
      </c>
      <c r="L111" s="329">
        <v>4844</v>
      </c>
      <c r="M111" s="329">
        <v>4049</v>
      </c>
      <c r="N111" s="329">
        <v>8893</v>
      </c>
      <c r="O111" s="329">
        <v>1213</v>
      </c>
      <c r="P111" s="329">
        <v>468</v>
      </c>
      <c r="Q111" s="329">
        <v>1681</v>
      </c>
      <c r="R111" s="329">
        <v>243</v>
      </c>
      <c r="S111" s="329">
        <v>185</v>
      </c>
      <c r="T111" s="329">
        <v>428</v>
      </c>
      <c r="U111" s="329">
        <v>0</v>
      </c>
      <c r="V111" s="329">
        <v>0</v>
      </c>
      <c r="W111" s="329">
        <v>0</v>
      </c>
      <c r="X111" s="330">
        <v>8976</v>
      </c>
      <c r="Y111" s="330">
        <v>5501</v>
      </c>
      <c r="Z111" s="330">
        <v>14477</v>
      </c>
      <c r="AA111" s="13"/>
      <c r="AB111" s="13"/>
    </row>
    <row r="112" spans="2:28" hidden="1" outlineLevel="1" x14ac:dyDescent="0.25">
      <c r="B112" s="304">
        <v>41944</v>
      </c>
      <c r="C112" s="329">
        <v>0</v>
      </c>
      <c r="D112" s="329">
        <v>0</v>
      </c>
      <c r="E112" s="329">
        <v>0</v>
      </c>
      <c r="F112" s="329">
        <v>0</v>
      </c>
      <c r="G112" s="329">
        <v>0</v>
      </c>
      <c r="H112" s="329">
        <v>0</v>
      </c>
      <c r="I112" s="329">
        <v>2302</v>
      </c>
      <c r="J112" s="329">
        <v>716</v>
      </c>
      <c r="K112" s="329">
        <v>3018</v>
      </c>
      <c r="L112" s="329">
        <v>4210</v>
      </c>
      <c r="M112" s="329">
        <v>3303</v>
      </c>
      <c r="N112" s="329">
        <v>7513</v>
      </c>
      <c r="O112" s="329">
        <v>1053</v>
      </c>
      <c r="P112" s="329">
        <v>444</v>
      </c>
      <c r="Q112" s="329">
        <v>1497</v>
      </c>
      <c r="R112" s="329">
        <v>232</v>
      </c>
      <c r="S112" s="329">
        <v>172</v>
      </c>
      <c r="T112" s="329">
        <v>404</v>
      </c>
      <c r="U112" s="329">
        <v>0</v>
      </c>
      <c r="V112" s="329">
        <v>0</v>
      </c>
      <c r="W112" s="329">
        <v>0</v>
      </c>
      <c r="X112" s="330">
        <v>7797</v>
      </c>
      <c r="Y112" s="330">
        <v>4635</v>
      </c>
      <c r="Z112" s="330">
        <v>12432</v>
      </c>
      <c r="AA112" s="13"/>
      <c r="AB112" s="13"/>
    </row>
    <row r="113" spans="2:28" collapsed="1" x14ac:dyDescent="0.25">
      <c r="B113" s="304">
        <v>41974</v>
      </c>
      <c r="C113" s="329">
        <v>0</v>
      </c>
      <c r="D113" s="329">
        <v>0</v>
      </c>
      <c r="E113" s="329">
        <v>0</v>
      </c>
      <c r="F113" s="329">
        <v>0</v>
      </c>
      <c r="G113" s="329">
        <v>0</v>
      </c>
      <c r="H113" s="329">
        <v>0</v>
      </c>
      <c r="I113" s="329">
        <v>2127</v>
      </c>
      <c r="J113" s="329">
        <v>616</v>
      </c>
      <c r="K113" s="329">
        <v>2743</v>
      </c>
      <c r="L113" s="329">
        <v>3312</v>
      </c>
      <c r="M113" s="329">
        <v>2766</v>
      </c>
      <c r="N113" s="329">
        <v>6078</v>
      </c>
      <c r="O113" s="329">
        <v>920</v>
      </c>
      <c r="P113" s="329">
        <v>398</v>
      </c>
      <c r="Q113" s="329">
        <v>1318</v>
      </c>
      <c r="R113" s="329">
        <v>192</v>
      </c>
      <c r="S113" s="329">
        <v>170</v>
      </c>
      <c r="T113" s="329">
        <v>362</v>
      </c>
      <c r="U113" s="329">
        <v>0</v>
      </c>
      <c r="V113" s="329">
        <v>0</v>
      </c>
      <c r="W113" s="329">
        <v>0</v>
      </c>
      <c r="X113" s="330">
        <v>6551</v>
      </c>
      <c r="Y113" s="330">
        <v>3950</v>
      </c>
      <c r="Z113" s="330">
        <v>10501</v>
      </c>
      <c r="AA113" s="13"/>
      <c r="AB113" s="13"/>
    </row>
    <row r="114" spans="2:28" hidden="1" outlineLevel="1" x14ac:dyDescent="0.25">
      <c r="B114" s="304">
        <v>42005</v>
      </c>
      <c r="C114" s="329">
        <v>0</v>
      </c>
      <c r="D114" s="329">
        <v>0</v>
      </c>
      <c r="E114" s="329">
        <v>0</v>
      </c>
      <c r="F114" s="329">
        <v>0</v>
      </c>
      <c r="G114" s="329">
        <v>0</v>
      </c>
      <c r="H114" s="329">
        <v>0</v>
      </c>
      <c r="I114" s="329">
        <v>2248</v>
      </c>
      <c r="J114" s="329">
        <v>658</v>
      </c>
      <c r="K114" s="329">
        <v>2906</v>
      </c>
      <c r="L114" s="329">
        <v>3748</v>
      </c>
      <c r="M114" s="329">
        <v>2903</v>
      </c>
      <c r="N114" s="329">
        <v>6651</v>
      </c>
      <c r="O114" s="329">
        <v>1048</v>
      </c>
      <c r="P114" s="329">
        <v>488</v>
      </c>
      <c r="Q114" s="329">
        <v>1536</v>
      </c>
      <c r="R114" s="329">
        <v>118</v>
      </c>
      <c r="S114" s="329">
        <v>99</v>
      </c>
      <c r="T114" s="329">
        <v>217</v>
      </c>
      <c r="U114" s="329">
        <v>0</v>
      </c>
      <c r="V114" s="329">
        <v>0</v>
      </c>
      <c r="W114" s="329">
        <v>0</v>
      </c>
      <c r="X114" s="330">
        <v>7162</v>
      </c>
      <c r="Y114" s="330">
        <v>4148</v>
      </c>
      <c r="Z114" s="330">
        <v>11310</v>
      </c>
      <c r="AA114" s="13"/>
      <c r="AB114" s="13"/>
    </row>
    <row r="115" spans="2:28" hidden="1" outlineLevel="1" x14ac:dyDescent="0.25">
      <c r="B115" s="304">
        <v>42036</v>
      </c>
      <c r="C115" s="329">
        <v>0</v>
      </c>
      <c r="D115" s="329">
        <v>0</v>
      </c>
      <c r="E115" s="329">
        <v>0</v>
      </c>
      <c r="F115" s="329">
        <v>0</v>
      </c>
      <c r="G115" s="329">
        <v>0</v>
      </c>
      <c r="H115" s="329">
        <v>0</v>
      </c>
      <c r="I115" s="329">
        <v>1952</v>
      </c>
      <c r="J115" s="329">
        <v>577</v>
      </c>
      <c r="K115" s="329">
        <v>2529</v>
      </c>
      <c r="L115" s="329">
        <v>3446</v>
      </c>
      <c r="M115" s="329">
        <v>2835</v>
      </c>
      <c r="N115" s="329">
        <v>6281</v>
      </c>
      <c r="O115" s="329">
        <v>973</v>
      </c>
      <c r="P115" s="329">
        <v>435</v>
      </c>
      <c r="Q115" s="329">
        <v>1408</v>
      </c>
      <c r="R115" s="329">
        <v>91</v>
      </c>
      <c r="S115" s="329">
        <v>85</v>
      </c>
      <c r="T115" s="329">
        <v>176</v>
      </c>
      <c r="U115" s="329">
        <v>0</v>
      </c>
      <c r="V115" s="329">
        <v>0</v>
      </c>
      <c r="W115" s="329">
        <v>0</v>
      </c>
      <c r="X115" s="330">
        <v>6462</v>
      </c>
      <c r="Y115" s="330">
        <v>3932</v>
      </c>
      <c r="Z115" s="330">
        <v>10394</v>
      </c>
      <c r="AA115" s="13"/>
      <c r="AB115" s="13"/>
    </row>
    <row r="116" spans="2:28" hidden="1" outlineLevel="1" x14ac:dyDescent="0.25">
      <c r="B116" s="304">
        <v>42064</v>
      </c>
      <c r="C116" s="329">
        <v>0</v>
      </c>
      <c r="D116" s="329">
        <v>0</v>
      </c>
      <c r="E116" s="329">
        <v>0</v>
      </c>
      <c r="F116" s="329">
        <v>0</v>
      </c>
      <c r="G116" s="329">
        <v>0</v>
      </c>
      <c r="H116" s="329">
        <v>0</v>
      </c>
      <c r="I116" s="329">
        <v>2210</v>
      </c>
      <c r="J116" s="329">
        <v>661</v>
      </c>
      <c r="K116" s="329">
        <v>2871</v>
      </c>
      <c r="L116" s="329">
        <v>4189</v>
      </c>
      <c r="M116" s="329">
        <v>3504</v>
      </c>
      <c r="N116" s="329">
        <v>7693</v>
      </c>
      <c r="O116" s="329">
        <v>1244</v>
      </c>
      <c r="P116" s="329">
        <v>539</v>
      </c>
      <c r="Q116" s="329">
        <v>1783</v>
      </c>
      <c r="R116" s="329">
        <v>115</v>
      </c>
      <c r="S116" s="329">
        <v>118</v>
      </c>
      <c r="T116" s="329">
        <v>233</v>
      </c>
      <c r="U116" s="329">
        <v>0</v>
      </c>
      <c r="V116" s="329">
        <v>0</v>
      </c>
      <c r="W116" s="329">
        <v>0</v>
      </c>
      <c r="X116" s="330">
        <v>7758</v>
      </c>
      <c r="Y116" s="330">
        <v>4822</v>
      </c>
      <c r="Z116" s="330">
        <v>12580</v>
      </c>
      <c r="AA116" s="13"/>
      <c r="AB116" s="13"/>
    </row>
    <row r="117" spans="2:28" hidden="1" outlineLevel="1" x14ac:dyDescent="0.25">
      <c r="B117" s="304">
        <v>42095</v>
      </c>
      <c r="C117" s="329">
        <v>0</v>
      </c>
      <c r="D117" s="329">
        <v>0</v>
      </c>
      <c r="E117" s="329">
        <v>0</v>
      </c>
      <c r="F117" s="329">
        <v>0</v>
      </c>
      <c r="G117" s="329">
        <v>0</v>
      </c>
      <c r="H117" s="329">
        <v>0</v>
      </c>
      <c r="I117" s="329">
        <v>1869</v>
      </c>
      <c r="J117" s="329">
        <v>569</v>
      </c>
      <c r="K117" s="329">
        <v>2438</v>
      </c>
      <c r="L117" s="329">
        <v>3650</v>
      </c>
      <c r="M117" s="329">
        <v>2908</v>
      </c>
      <c r="N117" s="329">
        <v>6558</v>
      </c>
      <c r="O117" s="329">
        <v>1039</v>
      </c>
      <c r="P117" s="329">
        <v>479</v>
      </c>
      <c r="Q117" s="329">
        <v>1518</v>
      </c>
      <c r="R117" s="329">
        <v>97</v>
      </c>
      <c r="S117" s="329">
        <v>93</v>
      </c>
      <c r="T117" s="329">
        <v>190</v>
      </c>
      <c r="U117" s="329">
        <v>0</v>
      </c>
      <c r="V117" s="329">
        <v>0</v>
      </c>
      <c r="W117" s="329">
        <v>0</v>
      </c>
      <c r="X117" s="330">
        <v>6655</v>
      </c>
      <c r="Y117" s="330">
        <v>4049</v>
      </c>
      <c r="Z117" s="330">
        <v>10704</v>
      </c>
      <c r="AA117" s="13"/>
      <c r="AB117" s="13"/>
    </row>
    <row r="118" spans="2:28" hidden="1" outlineLevel="1" x14ac:dyDescent="0.25">
      <c r="B118" s="304">
        <v>42125</v>
      </c>
      <c r="C118" s="329">
        <v>0</v>
      </c>
      <c r="D118" s="329">
        <v>0</v>
      </c>
      <c r="E118" s="329">
        <v>0</v>
      </c>
      <c r="F118" s="329">
        <v>0</v>
      </c>
      <c r="G118" s="329">
        <v>0</v>
      </c>
      <c r="H118" s="329">
        <v>0</v>
      </c>
      <c r="I118" s="329">
        <v>1688</v>
      </c>
      <c r="J118" s="329">
        <v>623</v>
      </c>
      <c r="K118" s="329">
        <v>2311</v>
      </c>
      <c r="L118" s="329">
        <v>4110</v>
      </c>
      <c r="M118" s="329">
        <v>4563</v>
      </c>
      <c r="N118" s="329">
        <v>8673</v>
      </c>
      <c r="O118" s="329">
        <v>957</v>
      </c>
      <c r="P118" s="329">
        <v>392</v>
      </c>
      <c r="Q118" s="329">
        <v>1349</v>
      </c>
      <c r="R118" s="329">
        <v>124</v>
      </c>
      <c r="S118" s="329">
        <v>112</v>
      </c>
      <c r="T118" s="329">
        <v>236</v>
      </c>
      <c r="U118" s="329">
        <v>0</v>
      </c>
      <c r="V118" s="329">
        <v>0</v>
      </c>
      <c r="W118" s="329">
        <v>0</v>
      </c>
      <c r="X118" s="330">
        <v>6879</v>
      </c>
      <c r="Y118" s="330">
        <v>5690</v>
      </c>
      <c r="Z118" s="330">
        <v>12569</v>
      </c>
      <c r="AA118" s="13"/>
      <c r="AB118" s="13"/>
    </row>
    <row r="119" spans="2:28" hidden="1" outlineLevel="1" x14ac:dyDescent="0.25">
      <c r="B119" s="304">
        <v>42156</v>
      </c>
      <c r="C119" s="329">
        <v>0</v>
      </c>
      <c r="D119" s="329">
        <v>0</v>
      </c>
      <c r="E119" s="329">
        <v>0</v>
      </c>
      <c r="F119" s="329">
        <v>0</v>
      </c>
      <c r="G119" s="329">
        <v>0</v>
      </c>
      <c r="H119" s="329">
        <v>0</v>
      </c>
      <c r="I119" s="329">
        <v>1828</v>
      </c>
      <c r="J119" s="329">
        <v>607</v>
      </c>
      <c r="K119" s="329">
        <v>2435</v>
      </c>
      <c r="L119" s="329">
        <v>4111</v>
      </c>
      <c r="M119" s="329">
        <v>3707</v>
      </c>
      <c r="N119" s="329">
        <v>7818</v>
      </c>
      <c r="O119" s="329">
        <v>1016</v>
      </c>
      <c r="P119" s="329">
        <v>450</v>
      </c>
      <c r="Q119" s="329">
        <v>1466</v>
      </c>
      <c r="R119" s="329">
        <v>111</v>
      </c>
      <c r="S119" s="329">
        <v>121</v>
      </c>
      <c r="T119" s="329">
        <v>232</v>
      </c>
      <c r="U119" s="329">
        <v>0</v>
      </c>
      <c r="V119" s="329">
        <v>0</v>
      </c>
      <c r="W119" s="329">
        <v>0</v>
      </c>
      <c r="X119" s="330">
        <v>7066</v>
      </c>
      <c r="Y119" s="330">
        <v>4885</v>
      </c>
      <c r="Z119" s="330">
        <v>11951</v>
      </c>
      <c r="AA119" s="13"/>
      <c r="AB119" s="13"/>
    </row>
    <row r="120" spans="2:28" hidden="1" outlineLevel="1" x14ac:dyDescent="0.25">
      <c r="B120" s="304">
        <v>42186</v>
      </c>
      <c r="C120" s="329">
        <v>0</v>
      </c>
      <c r="D120" s="329">
        <v>0</v>
      </c>
      <c r="E120" s="329">
        <v>0</v>
      </c>
      <c r="F120" s="329">
        <v>0</v>
      </c>
      <c r="G120" s="329">
        <v>0</v>
      </c>
      <c r="H120" s="329">
        <v>0</v>
      </c>
      <c r="I120" s="329">
        <v>2013</v>
      </c>
      <c r="J120" s="329">
        <v>701</v>
      </c>
      <c r="K120" s="329">
        <v>2714</v>
      </c>
      <c r="L120" s="329">
        <v>4636</v>
      </c>
      <c r="M120" s="329">
        <v>3432</v>
      </c>
      <c r="N120" s="329">
        <v>8068</v>
      </c>
      <c r="O120" s="329">
        <v>1101</v>
      </c>
      <c r="P120" s="329">
        <v>501</v>
      </c>
      <c r="Q120" s="329">
        <v>1602</v>
      </c>
      <c r="R120" s="329">
        <v>113</v>
      </c>
      <c r="S120" s="329">
        <v>100</v>
      </c>
      <c r="T120" s="329">
        <v>213</v>
      </c>
      <c r="U120" s="329">
        <v>0</v>
      </c>
      <c r="V120" s="329">
        <v>0</v>
      </c>
      <c r="W120" s="329">
        <v>0</v>
      </c>
      <c r="X120" s="330">
        <v>7863</v>
      </c>
      <c r="Y120" s="330">
        <v>4734</v>
      </c>
      <c r="Z120" s="330">
        <v>12597</v>
      </c>
      <c r="AA120" s="13"/>
      <c r="AB120" s="13"/>
    </row>
    <row r="121" spans="2:28" hidden="1" outlineLevel="1" x14ac:dyDescent="0.25">
      <c r="B121" s="304">
        <v>42217</v>
      </c>
      <c r="C121" s="329">
        <v>0</v>
      </c>
      <c r="D121" s="329">
        <v>0</v>
      </c>
      <c r="E121" s="329">
        <v>0</v>
      </c>
      <c r="F121" s="329">
        <v>0</v>
      </c>
      <c r="G121" s="329">
        <v>0</v>
      </c>
      <c r="H121" s="329">
        <v>0</v>
      </c>
      <c r="I121" s="329">
        <v>2029</v>
      </c>
      <c r="J121" s="329">
        <v>655</v>
      </c>
      <c r="K121" s="329">
        <v>2684</v>
      </c>
      <c r="L121" s="329">
        <v>4311</v>
      </c>
      <c r="M121" s="329">
        <v>3346</v>
      </c>
      <c r="N121" s="329">
        <v>7657</v>
      </c>
      <c r="O121" s="329">
        <v>1110</v>
      </c>
      <c r="P121" s="329">
        <v>484</v>
      </c>
      <c r="Q121" s="329">
        <v>1594</v>
      </c>
      <c r="R121" s="329">
        <v>108</v>
      </c>
      <c r="S121" s="329">
        <v>98</v>
      </c>
      <c r="T121" s="329">
        <v>206</v>
      </c>
      <c r="U121" s="329">
        <v>0</v>
      </c>
      <c r="V121" s="329">
        <v>0</v>
      </c>
      <c r="W121" s="329">
        <v>0</v>
      </c>
      <c r="X121" s="330">
        <v>7558</v>
      </c>
      <c r="Y121" s="330">
        <v>4583</v>
      </c>
      <c r="Z121" s="330">
        <v>12141</v>
      </c>
      <c r="AA121" s="13"/>
      <c r="AB121" s="13"/>
    </row>
    <row r="122" spans="2:28" hidden="1" outlineLevel="1" x14ac:dyDescent="0.25">
      <c r="B122" s="304">
        <v>42248</v>
      </c>
      <c r="C122" s="329">
        <v>0</v>
      </c>
      <c r="D122" s="329">
        <v>0</v>
      </c>
      <c r="E122" s="329">
        <v>0</v>
      </c>
      <c r="F122" s="329">
        <v>0</v>
      </c>
      <c r="G122" s="329">
        <v>0</v>
      </c>
      <c r="H122" s="329">
        <v>0</v>
      </c>
      <c r="I122" s="329">
        <v>1974</v>
      </c>
      <c r="J122" s="329">
        <v>627</v>
      </c>
      <c r="K122" s="329">
        <v>2601</v>
      </c>
      <c r="L122" s="329">
        <v>4207</v>
      </c>
      <c r="M122" s="329">
        <v>3314</v>
      </c>
      <c r="N122" s="329">
        <v>7521</v>
      </c>
      <c r="O122" s="329">
        <v>1090</v>
      </c>
      <c r="P122" s="329">
        <v>544</v>
      </c>
      <c r="Q122" s="329">
        <v>1634</v>
      </c>
      <c r="R122" s="329">
        <v>80</v>
      </c>
      <c r="S122" s="329">
        <v>84</v>
      </c>
      <c r="T122" s="329">
        <v>164</v>
      </c>
      <c r="U122" s="329">
        <v>0</v>
      </c>
      <c r="V122" s="329">
        <v>0</v>
      </c>
      <c r="W122" s="329">
        <v>0</v>
      </c>
      <c r="X122" s="330">
        <v>7351</v>
      </c>
      <c r="Y122" s="330">
        <v>4569</v>
      </c>
      <c r="Z122" s="330">
        <v>11920</v>
      </c>
      <c r="AA122" s="13"/>
      <c r="AB122" s="13"/>
    </row>
    <row r="123" spans="2:28" hidden="1" outlineLevel="1" x14ac:dyDescent="0.25">
      <c r="B123" s="304">
        <v>42278</v>
      </c>
      <c r="C123" s="329">
        <v>0</v>
      </c>
      <c r="D123" s="329">
        <v>0</v>
      </c>
      <c r="E123" s="329">
        <v>0</v>
      </c>
      <c r="F123" s="329">
        <v>0</v>
      </c>
      <c r="G123" s="329">
        <v>0</v>
      </c>
      <c r="H123" s="329">
        <v>0</v>
      </c>
      <c r="I123" s="329">
        <v>2054</v>
      </c>
      <c r="J123" s="329">
        <v>695</v>
      </c>
      <c r="K123" s="329">
        <v>2749</v>
      </c>
      <c r="L123" s="329">
        <v>4266</v>
      </c>
      <c r="M123" s="329">
        <v>3236</v>
      </c>
      <c r="N123" s="329">
        <v>7502</v>
      </c>
      <c r="O123" s="329">
        <v>1117</v>
      </c>
      <c r="P123" s="329">
        <v>461</v>
      </c>
      <c r="Q123" s="329">
        <v>1578</v>
      </c>
      <c r="R123" s="329">
        <v>114</v>
      </c>
      <c r="S123" s="329">
        <v>104</v>
      </c>
      <c r="T123" s="329">
        <v>218</v>
      </c>
      <c r="U123" s="329">
        <v>0</v>
      </c>
      <c r="V123" s="329">
        <v>0</v>
      </c>
      <c r="W123" s="329">
        <v>0</v>
      </c>
      <c r="X123" s="330">
        <v>7551</v>
      </c>
      <c r="Y123" s="330">
        <v>4496</v>
      </c>
      <c r="Z123" s="330">
        <v>12047</v>
      </c>
      <c r="AA123" s="13"/>
      <c r="AB123" s="13"/>
    </row>
    <row r="124" spans="2:28" hidden="1" outlineLevel="1" x14ac:dyDescent="0.25">
      <c r="B124" s="304">
        <v>42309</v>
      </c>
      <c r="C124" s="329">
        <v>0</v>
      </c>
      <c r="D124" s="329">
        <v>0</v>
      </c>
      <c r="E124" s="329">
        <v>0</v>
      </c>
      <c r="F124" s="329">
        <v>0</v>
      </c>
      <c r="G124" s="329">
        <v>0</v>
      </c>
      <c r="H124" s="329">
        <v>0</v>
      </c>
      <c r="I124" s="329">
        <v>1891</v>
      </c>
      <c r="J124" s="329">
        <v>691</v>
      </c>
      <c r="K124" s="329">
        <v>2582</v>
      </c>
      <c r="L124" s="329">
        <v>4440</v>
      </c>
      <c r="M124" s="329">
        <v>3591</v>
      </c>
      <c r="N124" s="329">
        <v>8031</v>
      </c>
      <c r="O124" s="329">
        <v>1141</v>
      </c>
      <c r="P124" s="329">
        <v>491</v>
      </c>
      <c r="Q124" s="329">
        <v>1632</v>
      </c>
      <c r="R124" s="329">
        <v>107</v>
      </c>
      <c r="S124" s="329">
        <v>112</v>
      </c>
      <c r="T124" s="329">
        <v>219</v>
      </c>
      <c r="U124" s="329">
        <v>0</v>
      </c>
      <c r="V124" s="329">
        <v>0</v>
      </c>
      <c r="W124" s="329">
        <v>0</v>
      </c>
      <c r="X124" s="330">
        <v>7579</v>
      </c>
      <c r="Y124" s="330">
        <v>4885</v>
      </c>
      <c r="Z124" s="330">
        <v>12464</v>
      </c>
      <c r="AA124" s="13"/>
      <c r="AB124" s="13"/>
    </row>
    <row r="125" spans="2:28" collapsed="1" x14ac:dyDescent="0.25">
      <c r="B125" s="304">
        <v>42339</v>
      </c>
      <c r="C125" s="329">
        <v>0</v>
      </c>
      <c r="D125" s="329">
        <v>0</v>
      </c>
      <c r="E125" s="329">
        <v>0</v>
      </c>
      <c r="F125" s="329">
        <v>0</v>
      </c>
      <c r="G125" s="329">
        <v>0</v>
      </c>
      <c r="H125" s="329">
        <v>0</v>
      </c>
      <c r="I125" s="329">
        <v>1686</v>
      </c>
      <c r="J125" s="329">
        <v>537</v>
      </c>
      <c r="K125" s="329">
        <v>2223</v>
      </c>
      <c r="L125" s="329">
        <v>3568</v>
      </c>
      <c r="M125" s="329">
        <v>2857</v>
      </c>
      <c r="N125" s="329">
        <v>6425</v>
      </c>
      <c r="O125" s="329">
        <v>991</v>
      </c>
      <c r="P125" s="329">
        <v>466</v>
      </c>
      <c r="Q125" s="329">
        <v>1457</v>
      </c>
      <c r="R125" s="329">
        <v>109</v>
      </c>
      <c r="S125" s="329">
        <v>88</v>
      </c>
      <c r="T125" s="329">
        <v>197</v>
      </c>
      <c r="U125" s="329">
        <v>0</v>
      </c>
      <c r="V125" s="329">
        <v>0</v>
      </c>
      <c r="W125" s="329">
        <v>0</v>
      </c>
      <c r="X125" s="330">
        <v>6354</v>
      </c>
      <c r="Y125" s="330">
        <v>3948</v>
      </c>
      <c r="Z125" s="330">
        <v>10302</v>
      </c>
      <c r="AA125" s="13"/>
      <c r="AB125" s="13"/>
    </row>
    <row r="126" spans="2:28" hidden="1" outlineLevel="1" x14ac:dyDescent="0.25">
      <c r="B126" s="304">
        <v>42370</v>
      </c>
      <c r="C126" s="329">
        <v>0</v>
      </c>
      <c r="D126" s="329">
        <v>0</v>
      </c>
      <c r="E126" s="329">
        <v>0</v>
      </c>
      <c r="F126" s="329">
        <v>0</v>
      </c>
      <c r="G126" s="329">
        <v>0</v>
      </c>
      <c r="H126" s="329">
        <v>0</v>
      </c>
      <c r="I126" s="329">
        <v>1678</v>
      </c>
      <c r="J126" s="329">
        <v>495</v>
      </c>
      <c r="K126" s="329">
        <v>2173</v>
      </c>
      <c r="L126" s="329">
        <v>3558</v>
      </c>
      <c r="M126" s="329">
        <v>2664</v>
      </c>
      <c r="N126" s="329">
        <v>6222</v>
      </c>
      <c r="O126" s="329">
        <v>1018</v>
      </c>
      <c r="P126" s="329">
        <v>482</v>
      </c>
      <c r="Q126" s="329">
        <v>1500</v>
      </c>
      <c r="R126" s="329">
        <v>116</v>
      </c>
      <c r="S126" s="329">
        <v>108</v>
      </c>
      <c r="T126" s="329">
        <v>224</v>
      </c>
      <c r="U126" s="329">
        <v>0</v>
      </c>
      <c r="V126" s="329">
        <v>0</v>
      </c>
      <c r="W126" s="329">
        <v>0</v>
      </c>
      <c r="X126" s="330">
        <v>6370</v>
      </c>
      <c r="Y126" s="330">
        <v>3749</v>
      </c>
      <c r="Z126" s="330">
        <v>10119</v>
      </c>
      <c r="AA126" s="13"/>
      <c r="AB126" s="13"/>
    </row>
    <row r="127" spans="2:28" hidden="1" outlineLevel="1" x14ac:dyDescent="0.25">
      <c r="B127" s="304">
        <v>42401</v>
      </c>
      <c r="C127" s="329">
        <v>0</v>
      </c>
      <c r="D127" s="329">
        <v>0</v>
      </c>
      <c r="E127" s="329">
        <v>0</v>
      </c>
      <c r="F127" s="329">
        <v>0</v>
      </c>
      <c r="G127" s="329">
        <v>0</v>
      </c>
      <c r="H127" s="329">
        <v>0</v>
      </c>
      <c r="I127" s="329">
        <v>1711</v>
      </c>
      <c r="J127" s="329">
        <v>513</v>
      </c>
      <c r="K127" s="329">
        <v>2224</v>
      </c>
      <c r="L127" s="329">
        <v>3950</v>
      </c>
      <c r="M127" s="329">
        <v>2852</v>
      </c>
      <c r="N127" s="329">
        <v>6802</v>
      </c>
      <c r="O127" s="329">
        <v>971</v>
      </c>
      <c r="P127" s="329">
        <v>432</v>
      </c>
      <c r="Q127" s="329">
        <v>1403</v>
      </c>
      <c r="R127" s="329">
        <v>123</v>
      </c>
      <c r="S127" s="329">
        <v>93</v>
      </c>
      <c r="T127" s="329">
        <v>216</v>
      </c>
      <c r="U127" s="329">
        <v>0</v>
      </c>
      <c r="V127" s="329">
        <v>0</v>
      </c>
      <c r="W127" s="329">
        <v>0</v>
      </c>
      <c r="X127" s="330">
        <v>6755</v>
      </c>
      <c r="Y127" s="330">
        <v>3890</v>
      </c>
      <c r="Z127" s="330">
        <v>10645</v>
      </c>
      <c r="AA127" s="13"/>
      <c r="AB127" s="13"/>
    </row>
    <row r="128" spans="2:28" hidden="1" outlineLevel="1" x14ac:dyDescent="0.25">
      <c r="B128" s="304">
        <v>42430</v>
      </c>
      <c r="C128" s="329">
        <v>0</v>
      </c>
      <c r="D128" s="329">
        <v>0</v>
      </c>
      <c r="E128" s="329">
        <v>0</v>
      </c>
      <c r="F128" s="329">
        <v>0</v>
      </c>
      <c r="G128" s="329">
        <v>0</v>
      </c>
      <c r="H128" s="329">
        <v>0</v>
      </c>
      <c r="I128" s="329">
        <v>1817</v>
      </c>
      <c r="J128" s="329">
        <v>533</v>
      </c>
      <c r="K128" s="329">
        <v>2350</v>
      </c>
      <c r="L128" s="329">
        <v>3961</v>
      </c>
      <c r="M128" s="329">
        <v>2964</v>
      </c>
      <c r="N128" s="329">
        <v>6925</v>
      </c>
      <c r="O128" s="329">
        <v>1127</v>
      </c>
      <c r="P128" s="329">
        <v>474</v>
      </c>
      <c r="Q128" s="329">
        <v>1601</v>
      </c>
      <c r="R128" s="329">
        <v>111</v>
      </c>
      <c r="S128" s="329">
        <v>96</v>
      </c>
      <c r="T128" s="329">
        <v>207</v>
      </c>
      <c r="U128" s="329">
        <v>0</v>
      </c>
      <c r="V128" s="329">
        <v>0</v>
      </c>
      <c r="W128" s="329">
        <v>0</v>
      </c>
      <c r="X128" s="330">
        <v>7016</v>
      </c>
      <c r="Y128" s="330">
        <v>4067</v>
      </c>
      <c r="Z128" s="330">
        <v>11083</v>
      </c>
      <c r="AA128" s="13"/>
      <c r="AB128" s="13"/>
    </row>
    <row r="129" spans="2:28" hidden="1" outlineLevel="1" x14ac:dyDescent="0.25">
      <c r="B129" s="304">
        <v>42461</v>
      </c>
      <c r="C129" s="329">
        <v>0</v>
      </c>
      <c r="D129" s="329">
        <v>0</v>
      </c>
      <c r="E129" s="329">
        <v>0</v>
      </c>
      <c r="F129" s="329">
        <v>0</v>
      </c>
      <c r="G129" s="329">
        <v>0</v>
      </c>
      <c r="H129" s="329">
        <v>0</v>
      </c>
      <c r="I129" s="329">
        <v>2437</v>
      </c>
      <c r="J129" s="329">
        <v>854</v>
      </c>
      <c r="K129" s="329">
        <v>3291</v>
      </c>
      <c r="L129" s="329">
        <v>4247</v>
      </c>
      <c r="M129" s="329">
        <v>3258</v>
      </c>
      <c r="N129" s="329">
        <v>7505</v>
      </c>
      <c r="O129" s="329">
        <v>1057</v>
      </c>
      <c r="P129" s="329">
        <v>474</v>
      </c>
      <c r="Q129" s="329">
        <v>1531</v>
      </c>
      <c r="R129" s="329">
        <v>101</v>
      </c>
      <c r="S129" s="329">
        <v>104</v>
      </c>
      <c r="T129" s="329">
        <v>205</v>
      </c>
      <c r="U129" s="329">
        <v>0</v>
      </c>
      <c r="V129" s="329">
        <v>0</v>
      </c>
      <c r="W129" s="329">
        <v>0</v>
      </c>
      <c r="X129" s="330">
        <v>7842</v>
      </c>
      <c r="Y129" s="330">
        <v>4690</v>
      </c>
      <c r="Z129" s="330">
        <v>12532</v>
      </c>
      <c r="AA129" s="13"/>
      <c r="AB129" s="13"/>
    </row>
    <row r="130" spans="2:28" hidden="1" outlineLevel="1" x14ac:dyDescent="0.25">
      <c r="B130" s="304">
        <v>42491</v>
      </c>
      <c r="C130" s="329">
        <v>0</v>
      </c>
      <c r="D130" s="329">
        <v>0</v>
      </c>
      <c r="E130" s="329">
        <v>0</v>
      </c>
      <c r="F130" s="329">
        <v>0</v>
      </c>
      <c r="G130" s="329">
        <v>0</v>
      </c>
      <c r="H130" s="329">
        <v>0</v>
      </c>
      <c r="I130" s="329">
        <v>2081</v>
      </c>
      <c r="J130" s="329">
        <v>683</v>
      </c>
      <c r="K130" s="329">
        <v>2764</v>
      </c>
      <c r="L130" s="329">
        <v>4674</v>
      </c>
      <c r="M130" s="329">
        <v>4590</v>
      </c>
      <c r="N130" s="329">
        <v>9264</v>
      </c>
      <c r="O130" s="329">
        <v>1097</v>
      </c>
      <c r="P130" s="329">
        <v>482</v>
      </c>
      <c r="Q130" s="329">
        <v>1579</v>
      </c>
      <c r="R130" s="329">
        <v>124</v>
      </c>
      <c r="S130" s="329">
        <v>100</v>
      </c>
      <c r="T130" s="329">
        <v>224</v>
      </c>
      <c r="U130" s="329">
        <v>0</v>
      </c>
      <c r="V130" s="329">
        <v>0</v>
      </c>
      <c r="W130" s="329">
        <v>0</v>
      </c>
      <c r="X130" s="330">
        <v>7976</v>
      </c>
      <c r="Y130" s="330">
        <v>5855</v>
      </c>
      <c r="Z130" s="330">
        <v>13831</v>
      </c>
      <c r="AA130" s="13"/>
      <c r="AB130" s="13"/>
    </row>
    <row r="131" spans="2:28" hidden="1" outlineLevel="1" x14ac:dyDescent="0.25">
      <c r="B131" s="304">
        <v>42522</v>
      </c>
      <c r="C131" s="329">
        <v>0</v>
      </c>
      <c r="D131" s="329">
        <v>0</v>
      </c>
      <c r="E131" s="329">
        <v>0</v>
      </c>
      <c r="F131" s="329">
        <v>0</v>
      </c>
      <c r="G131" s="329">
        <v>0</v>
      </c>
      <c r="H131" s="329">
        <v>0</v>
      </c>
      <c r="I131" s="329">
        <v>1853</v>
      </c>
      <c r="J131" s="329">
        <v>625</v>
      </c>
      <c r="K131" s="329">
        <v>2478</v>
      </c>
      <c r="L131" s="329">
        <v>3907</v>
      </c>
      <c r="M131" s="329">
        <v>3013</v>
      </c>
      <c r="N131" s="329">
        <v>6920</v>
      </c>
      <c r="O131" s="329">
        <v>971</v>
      </c>
      <c r="P131" s="329">
        <v>474</v>
      </c>
      <c r="Q131" s="329">
        <v>1445</v>
      </c>
      <c r="R131" s="329">
        <v>84</v>
      </c>
      <c r="S131" s="329">
        <v>90</v>
      </c>
      <c r="T131" s="329">
        <v>174</v>
      </c>
      <c r="U131" s="329">
        <v>0</v>
      </c>
      <c r="V131" s="329">
        <v>0</v>
      </c>
      <c r="W131" s="329">
        <v>0</v>
      </c>
      <c r="X131" s="330">
        <v>6815</v>
      </c>
      <c r="Y131" s="330">
        <v>4202</v>
      </c>
      <c r="Z131" s="330">
        <v>11017</v>
      </c>
      <c r="AA131" s="13"/>
      <c r="AB131" s="13"/>
    </row>
    <row r="132" spans="2:28" hidden="1" outlineLevel="1" x14ac:dyDescent="0.25">
      <c r="B132" s="304">
        <v>42552</v>
      </c>
      <c r="C132" s="329">
        <v>0</v>
      </c>
      <c r="D132" s="329">
        <v>0</v>
      </c>
      <c r="E132" s="329">
        <v>0</v>
      </c>
      <c r="F132" s="329">
        <v>0</v>
      </c>
      <c r="G132" s="329">
        <v>0</v>
      </c>
      <c r="H132" s="329">
        <v>0</v>
      </c>
      <c r="I132" s="329">
        <v>2036</v>
      </c>
      <c r="J132" s="329">
        <v>627</v>
      </c>
      <c r="K132" s="329">
        <v>2663</v>
      </c>
      <c r="L132" s="329">
        <v>3956</v>
      </c>
      <c r="M132" s="329">
        <v>3040</v>
      </c>
      <c r="N132" s="329">
        <v>6996</v>
      </c>
      <c r="O132" s="329">
        <v>1013</v>
      </c>
      <c r="P132" s="329">
        <v>501</v>
      </c>
      <c r="Q132" s="329">
        <v>1514</v>
      </c>
      <c r="R132" s="329">
        <v>95</v>
      </c>
      <c r="S132" s="329">
        <v>103</v>
      </c>
      <c r="T132" s="329">
        <v>198</v>
      </c>
      <c r="U132" s="329">
        <v>0</v>
      </c>
      <c r="V132" s="329">
        <v>0</v>
      </c>
      <c r="W132" s="329">
        <v>0</v>
      </c>
      <c r="X132" s="330">
        <v>7100</v>
      </c>
      <c r="Y132" s="330">
        <v>4271</v>
      </c>
      <c r="Z132" s="330">
        <v>11371</v>
      </c>
      <c r="AA132" s="13"/>
      <c r="AB132" s="13"/>
    </row>
    <row r="133" spans="2:28" hidden="1" outlineLevel="1" x14ac:dyDescent="0.25">
      <c r="B133" s="304">
        <v>42583</v>
      </c>
      <c r="C133" s="329">
        <v>0</v>
      </c>
      <c r="D133" s="329">
        <v>0</v>
      </c>
      <c r="E133" s="329">
        <v>0</v>
      </c>
      <c r="F133" s="329">
        <v>0</v>
      </c>
      <c r="G133" s="329">
        <v>0</v>
      </c>
      <c r="H133" s="329">
        <v>0</v>
      </c>
      <c r="I133" s="329">
        <v>2227</v>
      </c>
      <c r="J133" s="329">
        <v>722</v>
      </c>
      <c r="K133" s="329">
        <v>2949</v>
      </c>
      <c r="L133" s="329">
        <v>5089</v>
      </c>
      <c r="M133" s="329">
        <v>3894</v>
      </c>
      <c r="N133" s="329">
        <v>8983</v>
      </c>
      <c r="O133" s="329">
        <v>1257</v>
      </c>
      <c r="P133" s="329">
        <v>593</v>
      </c>
      <c r="Q133" s="329">
        <v>1850</v>
      </c>
      <c r="R133" s="329">
        <v>131</v>
      </c>
      <c r="S133" s="329">
        <v>114</v>
      </c>
      <c r="T133" s="329">
        <v>245</v>
      </c>
      <c r="U133" s="329">
        <v>0</v>
      </c>
      <c r="V133" s="329">
        <v>0</v>
      </c>
      <c r="W133" s="329">
        <v>0</v>
      </c>
      <c r="X133" s="330">
        <v>8704</v>
      </c>
      <c r="Y133" s="330">
        <v>5323</v>
      </c>
      <c r="Z133" s="330">
        <v>14027</v>
      </c>
      <c r="AA133" s="13"/>
      <c r="AB133" s="13"/>
    </row>
    <row r="134" spans="2:28" hidden="1" outlineLevel="1" x14ac:dyDescent="0.25">
      <c r="B134" s="304">
        <v>42614</v>
      </c>
      <c r="C134" s="329">
        <v>0</v>
      </c>
      <c r="D134" s="329">
        <v>0</v>
      </c>
      <c r="E134" s="329">
        <v>0</v>
      </c>
      <c r="F134" s="329">
        <v>0</v>
      </c>
      <c r="G134" s="329">
        <v>0</v>
      </c>
      <c r="H134" s="329">
        <v>0</v>
      </c>
      <c r="I134" s="329">
        <v>2052</v>
      </c>
      <c r="J134" s="329">
        <v>664</v>
      </c>
      <c r="K134" s="329">
        <v>2716</v>
      </c>
      <c r="L134" s="329">
        <v>4556</v>
      </c>
      <c r="M134" s="329">
        <v>3304</v>
      </c>
      <c r="N134" s="329">
        <v>7860</v>
      </c>
      <c r="O134" s="329">
        <v>1093</v>
      </c>
      <c r="P134" s="329">
        <v>521</v>
      </c>
      <c r="Q134" s="329">
        <v>1614</v>
      </c>
      <c r="R134" s="329">
        <v>110</v>
      </c>
      <c r="S134" s="329">
        <v>103</v>
      </c>
      <c r="T134" s="329">
        <v>213</v>
      </c>
      <c r="U134" s="329">
        <v>0</v>
      </c>
      <c r="V134" s="329">
        <v>0</v>
      </c>
      <c r="W134" s="329">
        <v>0</v>
      </c>
      <c r="X134" s="330">
        <v>7811</v>
      </c>
      <c r="Y134" s="330">
        <v>4592</v>
      </c>
      <c r="Z134" s="330">
        <v>12403</v>
      </c>
      <c r="AA134" s="13"/>
      <c r="AB134" s="13"/>
    </row>
    <row r="135" spans="2:28" hidden="1" outlineLevel="1" x14ac:dyDescent="0.25">
      <c r="B135" s="304">
        <v>42644</v>
      </c>
      <c r="C135" s="329">
        <v>0</v>
      </c>
      <c r="D135" s="329">
        <v>0</v>
      </c>
      <c r="E135" s="329">
        <v>0</v>
      </c>
      <c r="F135" s="329">
        <v>0</v>
      </c>
      <c r="G135" s="329">
        <v>0</v>
      </c>
      <c r="H135" s="329">
        <v>0</v>
      </c>
      <c r="I135" s="329">
        <v>1705</v>
      </c>
      <c r="J135" s="329">
        <v>569</v>
      </c>
      <c r="K135" s="329">
        <v>2274</v>
      </c>
      <c r="L135" s="329">
        <v>3870</v>
      </c>
      <c r="M135" s="329">
        <v>2806</v>
      </c>
      <c r="N135" s="329">
        <v>6676</v>
      </c>
      <c r="O135" s="329">
        <v>898</v>
      </c>
      <c r="P135" s="329">
        <v>433</v>
      </c>
      <c r="Q135" s="329">
        <v>1331</v>
      </c>
      <c r="R135" s="329">
        <v>105</v>
      </c>
      <c r="S135" s="329">
        <v>110</v>
      </c>
      <c r="T135" s="329">
        <v>215</v>
      </c>
      <c r="U135" s="329">
        <v>0</v>
      </c>
      <c r="V135" s="329">
        <v>0</v>
      </c>
      <c r="W135" s="329">
        <v>0</v>
      </c>
      <c r="X135" s="330">
        <v>6578</v>
      </c>
      <c r="Y135" s="330">
        <v>3918</v>
      </c>
      <c r="Z135" s="330">
        <v>10496</v>
      </c>
      <c r="AA135" s="13"/>
      <c r="AB135" s="13"/>
    </row>
    <row r="136" spans="2:28" hidden="1" outlineLevel="1" x14ac:dyDescent="0.25">
      <c r="B136" s="304">
        <v>42675</v>
      </c>
      <c r="C136" s="329">
        <v>0</v>
      </c>
      <c r="D136" s="329">
        <v>0</v>
      </c>
      <c r="E136" s="329">
        <v>0</v>
      </c>
      <c r="F136" s="329">
        <v>0</v>
      </c>
      <c r="G136" s="329">
        <v>0</v>
      </c>
      <c r="H136" s="329">
        <v>0</v>
      </c>
      <c r="I136" s="329">
        <v>1871</v>
      </c>
      <c r="J136" s="329">
        <v>554</v>
      </c>
      <c r="K136" s="329">
        <v>2425</v>
      </c>
      <c r="L136" s="329">
        <v>3912</v>
      </c>
      <c r="M136" s="329">
        <v>2822</v>
      </c>
      <c r="N136" s="329">
        <v>6734</v>
      </c>
      <c r="O136" s="329">
        <v>830</v>
      </c>
      <c r="P136" s="329">
        <v>429</v>
      </c>
      <c r="Q136" s="329">
        <v>1259</v>
      </c>
      <c r="R136" s="329">
        <v>111</v>
      </c>
      <c r="S136" s="329">
        <v>97</v>
      </c>
      <c r="T136" s="329">
        <v>208</v>
      </c>
      <c r="U136" s="329">
        <v>0</v>
      </c>
      <c r="V136" s="329">
        <v>0</v>
      </c>
      <c r="W136" s="329">
        <v>0</v>
      </c>
      <c r="X136" s="330">
        <v>6724</v>
      </c>
      <c r="Y136" s="330">
        <v>3902</v>
      </c>
      <c r="Z136" s="330">
        <v>10626</v>
      </c>
      <c r="AA136" s="13"/>
      <c r="AB136" s="13"/>
    </row>
    <row r="137" spans="2:28" collapsed="1" x14ac:dyDescent="0.25">
      <c r="B137" s="304">
        <v>42705</v>
      </c>
      <c r="C137" s="329">
        <v>0</v>
      </c>
      <c r="D137" s="329">
        <v>0</v>
      </c>
      <c r="E137" s="329">
        <v>0</v>
      </c>
      <c r="F137" s="329">
        <v>0</v>
      </c>
      <c r="G137" s="329">
        <v>0</v>
      </c>
      <c r="H137" s="329">
        <v>0</v>
      </c>
      <c r="I137" s="329">
        <v>1848</v>
      </c>
      <c r="J137" s="329">
        <v>588</v>
      </c>
      <c r="K137" s="329">
        <v>2436</v>
      </c>
      <c r="L137" s="329">
        <v>3814</v>
      </c>
      <c r="M137" s="329">
        <v>2788</v>
      </c>
      <c r="N137" s="329">
        <v>6602</v>
      </c>
      <c r="O137" s="329">
        <v>999</v>
      </c>
      <c r="P137" s="329">
        <v>468</v>
      </c>
      <c r="Q137" s="329">
        <v>1467</v>
      </c>
      <c r="R137" s="329">
        <v>117</v>
      </c>
      <c r="S137" s="329">
        <v>131</v>
      </c>
      <c r="T137" s="329">
        <v>248</v>
      </c>
      <c r="U137" s="329">
        <v>0</v>
      </c>
      <c r="V137" s="329">
        <v>0</v>
      </c>
      <c r="W137" s="329">
        <v>0</v>
      </c>
      <c r="X137" s="330">
        <v>6778</v>
      </c>
      <c r="Y137" s="330">
        <v>3975</v>
      </c>
      <c r="Z137" s="330">
        <v>10753</v>
      </c>
      <c r="AA137" s="13"/>
      <c r="AB137" s="13"/>
    </row>
    <row r="138" spans="2:28" hidden="1" outlineLevel="1" x14ac:dyDescent="0.25">
      <c r="B138" s="304">
        <v>42736</v>
      </c>
      <c r="C138" s="329">
        <v>0</v>
      </c>
      <c r="D138" s="329">
        <v>0</v>
      </c>
      <c r="E138" s="329">
        <v>0</v>
      </c>
      <c r="F138" s="329">
        <v>0</v>
      </c>
      <c r="G138" s="329">
        <v>0</v>
      </c>
      <c r="H138" s="329">
        <v>0</v>
      </c>
      <c r="I138" s="329">
        <v>2361</v>
      </c>
      <c r="J138" s="329">
        <v>761</v>
      </c>
      <c r="K138" s="329">
        <v>3122</v>
      </c>
      <c r="L138" s="329">
        <v>4532</v>
      </c>
      <c r="M138" s="329">
        <v>3448</v>
      </c>
      <c r="N138" s="329">
        <v>7980</v>
      </c>
      <c r="O138" s="329">
        <v>1006</v>
      </c>
      <c r="P138" s="329">
        <v>502</v>
      </c>
      <c r="Q138" s="329">
        <v>1508</v>
      </c>
      <c r="R138" s="329">
        <v>145</v>
      </c>
      <c r="S138" s="329">
        <v>124</v>
      </c>
      <c r="T138" s="329">
        <v>269</v>
      </c>
      <c r="U138" s="329">
        <v>0</v>
      </c>
      <c r="V138" s="329">
        <v>0</v>
      </c>
      <c r="W138" s="329">
        <v>0</v>
      </c>
      <c r="X138" s="330">
        <v>8044</v>
      </c>
      <c r="Y138" s="330">
        <v>4835</v>
      </c>
      <c r="Z138" s="330">
        <v>12879</v>
      </c>
      <c r="AA138" s="13"/>
      <c r="AB138" s="13"/>
    </row>
    <row r="139" spans="2:28" hidden="1" outlineLevel="1" x14ac:dyDescent="0.25">
      <c r="B139" s="304">
        <v>42767</v>
      </c>
      <c r="C139" s="329">
        <v>0</v>
      </c>
      <c r="D139" s="329">
        <v>0</v>
      </c>
      <c r="E139" s="329">
        <v>0</v>
      </c>
      <c r="F139" s="329">
        <v>0</v>
      </c>
      <c r="G139" s="329">
        <v>0</v>
      </c>
      <c r="H139" s="329">
        <v>0</v>
      </c>
      <c r="I139" s="329">
        <v>1789</v>
      </c>
      <c r="J139" s="329">
        <v>588</v>
      </c>
      <c r="K139" s="329">
        <v>2377</v>
      </c>
      <c r="L139" s="329">
        <v>4079</v>
      </c>
      <c r="M139" s="329">
        <v>3203</v>
      </c>
      <c r="N139" s="329">
        <v>7282</v>
      </c>
      <c r="O139" s="329">
        <v>940</v>
      </c>
      <c r="P139" s="329">
        <v>435</v>
      </c>
      <c r="Q139" s="329">
        <v>1375</v>
      </c>
      <c r="R139" s="329">
        <v>101</v>
      </c>
      <c r="S139" s="329">
        <v>112</v>
      </c>
      <c r="T139" s="329">
        <v>213</v>
      </c>
      <c r="U139" s="329">
        <v>0</v>
      </c>
      <c r="V139" s="329">
        <v>0</v>
      </c>
      <c r="W139" s="329">
        <v>0</v>
      </c>
      <c r="X139" s="330">
        <v>6909</v>
      </c>
      <c r="Y139" s="330">
        <v>4338</v>
      </c>
      <c r="Z139" s="330">
        <v>11247</v>
      </c>
      <c r="AA139" s="13"/>
      <c r="AB139" s="13"/>
    </row>
    <row r="140" spans="2:28" hidden="1" outlineLevel="1" x14ac:dyDescent="0.25">
      <c r="B140" s="304">
        <v>42795</v>
      </c>
      <c r="C140" s="329">
        <v>0</v>
      </c>
      <c r="D140" s="329">
        <v>0</v>
      </c>
      <c r="E140" s="329">
        <v>0</v>
      </c>
      <c r="F140" s="329">
        <v>0</v>
      </c>
      <c r="G140" s="329">
        <v>0</v>
      </c>
      <c r="H140" s="329">
        <v>0</v>
      </c>
      <c r="I140" s="329">
        <v>1724</v>
      </c>
      <c r="J140" s="329">
        <v>567</v>
      </c>
      <c r="K140" s="329">
        <v>2291</v>
      </c>
      <c r="L140" s="329">
        <v>4970</v>
      </c>
      <c r="M140" s="329">
        <v>3941</v>
      </c>
      <c r="N140" s="329">
        <v>8911</v>
      </c>
      <c r="O140" s="329">
        <v>1221</v>
      </c>
      <c r="P140" s="329">
        <v>541</v>
      </c>
      <c r="Q140" s="329">
        <v>1762</v>
      </c>
      <c r="R140" s="329">
        <v>117</v>
      </c>
      <c r="S140" s="329">
        <v>107</v>
      </c>
      <c r="T140" s="329">
        <v>224</v>
      </c>
      <c r="U140" s="329">
        <v>0</v>
      </c>
      <c r="V140" s="329">
        <v>0</v>
      </c>
      <c r="W140" s="329">
        <v>0</v>
      </c>
      <c r="X140" s="330">
        <v>8032</v>
      </c>
      <c r="Y140" s="330">
        <v>5156</v>
      </c>
      <c r="Z140" s="330">
        <v>13188</v>
      </c>
      <c r="AA140" s="13"/>
      <c r="AB140" s="13"/>
    </row>
    <row r="141" spans="2:28" hidden="1" outlineLevel="1" x14ac:dyDescent="0.25">
      <c r="B141" s="304">
        <v>42826</v>
      </c>
      <c r="C141" s="329">
        <v>0</v>
      </c>
      <c r="D141" s="329">
        <v>0</v>
      </c>
      <c r="E141" s="329">
        <v>0</v>
      </c>
      <c r="F141" s="329">
        <v>0</v>
      </c>
      <c r="G141" s="329">
        <v>0</v>
      </c>
      <c r="H141" s="329">
        <v>0</v>
      </c>
      <c r="I141" s="329">
        <v>1749</v>
      </c>
      <c r="J141" s="329">
        <v>571</v>
      </c>
      <c r="K141" s="329">
        <v>2320</v>
      </c>
      <c r="L141" s="329">
        <v>3906</v>
      </c>
      <c r="M141" s="329">
        <v>3116</v>
      </c>
      <c r="N141" s="329">
        <v>7022</v>
      </c>
      <c r="O141" s="329">
        <v>979</v>
      </c>
      <c r="P141" s="329">
        <v>442</v>
      </c>
      <c r="Q141" s="329">
        <v>1421</v>
      </c>
      <c r="R141" s="329">
        <v>107</v>
      </c>
      <c r="S141" s="329">
        <v>105</v>
      </c>
      <c r="T141" s="329">
        <v>212</v>
      </c>
      <c r="U141" s="329">
        <v>0</v>
      </c>
      <c r="V141" s="329">
        <v>0</v>
      </c>
      <c r="W141" s="329">
        <v>0</v>
      </c>
      <c r="X141" s="330">
        <v>6741</v>
      </c>
      <c r="Y141" s="330">
        <v>4234</v>
      </c>
      <c r="Z141" s="330">
        <v>10975</v>
      </c>
      <c r="AA141" s="13"/>
      <c r="AB141" s="13"/>
    </row>
    <row r="142" spans="2:28" hidden="1" outlineLevel="1" x14ac:dyDescent="0.25">
      <c r="B142" s="304">
        <v>42856</v>
      </c>
      <c r="C142" s="329">
        <v>0</v>
      </c>
      <c r="D142" s="329">
        <v>0</v>
      </c>
      <c r="E142" s="329">
        <v>0</v>
      </c>
      <c r="F142" s="329">
        <v>0</v>
      </c>
      <c r="G142" s="329">
        <v>0</v>
      </c>
      <c r="H142" s="329">
        <v>0</v>
      </c>
      <c r="I142" s="329">
        <v>2060</v>
      </c>
      <c r="J142" s="329">
        <v>666</v>
      </c>
      <c r="K142" s="329">
        <v>2726</v>
      </c>
      <c r="L142" s="329">
        <v>4943</v>
      </c>
      <c r="M142" s="329">
        <v>4994</v>
      </c>
      <c r="N142" s="329">
        <v>9937</v>
      </c>
      <c r="O142" s="329">
        <v>1125</v>
      </c>
      <c r="P142" s="329">
        <v>457</v>
      </c>
      <c r="Q142" s="329">
        <v>1582</v>
      </c>
      <c r="R142" s="329">
        <v>122</v>
      </c>
      <c r="S142" s="329">
        <v>148</v>
      </c>
      <c r="T142" s="329">
        <v>270</v>
      </c>
      <c r="U142" s="329">
        <v>0</v>
      </c>
      <c r="V142" s="329">
        <v>0</v>
      </c>
      <c r="W142" s="329">
        <v>0</v>
      </c>
      <c r="X142" s="330">
        <v>8250</v>
      </c>
      <c r="Y142" s="330">
        <v>6265</v>
      </c>
      <c r="Z142" s="330">
        <v>14515</v>
      </c>
      <c r="AA142" s="13"/>
      <c r="AB142" s="13"/>
    </row>
    <row r="143" spans="2:28" hidden="1" outlineLevel="1" x14ac:dyDescent="0.25">
      <c r="B143" s="304">
        <v>42887</v>
      </c>
      <c r="C143" s="329">
        <v>0</v>
      </c>
      <c r="D143" s="329">
        <v>0</v>
      </c>
      <c r="E143" s="329">
        <v>0</v>
      </c>
      <c r="F143" s="329">
        <v>0</v>
      </c>
      <c r="G143" s="329">
        <v>0</v>
      </c>
      <c r="H143" s="329">
        <v>0</v>
      </c>
      <c r="I143" s="329">
        <v>1857</v>
      </c>
      <c r="J143" s="329">
        <v>610</v>
      </c>
      <c r="K143" s="329">
        <v>2467</v>
      </c>
      <c r="L143" s="329">
        <v>4274</v>
      </c>
      <c r="M143" s="329">
        <v>3699</v>
      </c>
      <c r="N143" s="329">
        <v>7973</v>
      </c>
      <c r="O143" s="329">
        <v>990</v>
      </c>
      <c r="P143" s="329">
        <v>484</v>
      </c>
      <c r="Q143" s="329">
        <v>1474</v>
      </c>
      <c r="R143" s="329">
        <v>105</v>
      </c>
      <c r="S143" s="329">
        <v>113</v>
      </c>
      <c r="T143" s="329">
        <v>218</v>
      </c>
      <c r="U143" s="329">
        <v>0</v>
      </c>
      <c r="V143" s="329">
        <v>0</v>
      </c>
      <c r="W143" s="329">
        <v>0</v>
      </c>
      <c r="X143" s="330">
        <v>7226</v>
      </c>
      <c r="Y143" s="330">
        <v>4906</v>
      </c>
      <c r="Z143" s="330">
        <v>12132</v>
      </c>
      <c r="AA143" s="13"/>
      <c r="AB143" s="13"/>
    </row>
    <row r="144" spans="2:28" hidden="1" outlineLevel="1" x14ac:dyDescent="0.25">
      <c r="B144" s="304">
        <v>42917</v>
      </c>
      <c r="C144" s="329">
        <v>0</v>
      </c>
      <c r="D144" s="329">
        <v>0</v>
      </c>
      <c r="E144" s="329">
        <v>0</v>
      </c>
      <c r="F144" s="329">
        <v>0</v>
      </c>
      <c r="G144" s="329">
        <v>0</v>
      </c>
      <c r="H144" s="329">
        <v>0</v>
      </c>
      <c r="I144" s="329">
        <v>2074</v>
      </c>
      <c r="J144" s="329">
        <v>735</v>
      </c>
      <c r="K144" s="329">
        <v>2809</v>
      </c>
      <c r="L144" s="329">
        <v>5358</v>
      </c>
      <c r="M144" s="329">
        <v>4174</v>
      </c>
      <c r="N144" s="329">
        <v>9532</v>
      </c>
      <c r="O144" s="329">
        <v>1126</v>
      </c>
      <c r="P144" s="329">
        <v>500</v>
      </c>
      <c r="Q144" s="329">
        <v>1626</v>
      </c>
      <c r="R144" s="329">
        <v>168</v>
      </c>
      <c r="S144" s="329">
        <v>126</v>
      </c>
      <c r="T144" s="329">
        <v>294</v>
      </c>
      <c r="U144" s="329">
        <v>0</v>
      </c>
      <c r="V144" s="329">
        <v>0</v>
      </c>
      <c r="W144" s="329">
        <v>0</v>
      </c>
      <c r="X144" s="330">
        <v>8726</v>
      </c>
      <c r="Y144" s="330">
        <v>5535</v>
      </c>
      <c r="Z144" s="330">
        <v>14261</v>
      </c>
      <c r="AA144" s="13"/>
      <c r="AB144" s="13"/>
    </row>
    <row r="145" spans="2:28" hidden="1" outlineLevel="1" x14ac:dyDescent="0.25">
      <c r="B145" s="304">
        <v>42948</v>
      </c>
      <c r="C145" s="329">
        <v>0</v>
      </c>
      <c r="D145" s="329">
        <v>0</v>
      </c>
      <c r="E145" s="329">
        <v>0</v>
      </c>
      <c r="F145" s="329">
        <v>0</v>
      </c>
      <c r="G145" s="329">
        <v>0</v>
      </c>
      <c r="H145" s="329">
        <v>0</v>
      </c>
      <c r="I145" s="329">
        <v>2285</v>
      </c>
      <c r="J145" s="329">
        <v>711</v>
      </c>
      <c r="K145" s="329">
        <v>2996</v>
      </c>
      <c r="L145" s="329">
        <v>5558</v>
      </c>
      <c r="M145" s="329">
        <v>4389</v>
      </c>
      <c r="N145" s="329">
        <v>9947</v>
      </c>
      <c r="O145" s="329">
        <v>1155</v>
      </c>
      <c r="P145" s="329">
        <v>518</v>
      </c>
      <c r="Q145" s="329">
        <v>1673</v>
      </c>
      <c r="R145" s="329">
        <v>143</v>
      </c>
      <c r="S145" s="329">
        <v>162</v>
      </c>
      <c r="T145" s="329">
        <v>305</v>
      </c>
      <c r="U145" s="329">
        <v>0</v>
      </c>
      <c r="V145" s="329">
        <v>0</v>
      </c>
      <c r="W145" s="329">
        <v>0</v>
      </c>
      <c r="X145" s="330">
        <v>9141</v>
      </c>
      <c r="Y145" s="330">
        <v>5780</v>
      </c>
      <c r="Z145" s="330">
        <v>14921</v>
      </c>
      <c r="AA145" s="13"/>
      <c r="AB145" s="13"/>
    </row>
    <row r="146" spans="2:28" hidden="1" outlineLevel="1" x14ac:dyDescent="0.25">
      <c r="B146" s="304">
        <v>42979</v>
      </c>
      <c r="C146" s="329">
        <v>0</v>
      </c>
      <c r="D146" s="329">
        <v>0</v>
      </c>
      <c r="E146" s="329">
        <v>0</v>
      </c>
      <c r="F146" s="329">
        <v>0</v>
      </c>
      <c r="G146" s="329">
        <v>0</v>
      </c>
      <c r="H146" s="329">
        <v>0</v>
      </c>
      <c r="I146" s="329">
        <v>2012</v>
      </c>
      <c r="J146" s="329">
        <v>670</v>
      </c>
      <c r="K146" s="329">
        <v>2682</v>
      </c>
      <c r="L146" s="329">
        <v>4575</v>
      </c>
      <c r="M146" s="329">
        <v>3682</v>
      </c>
      <c r="N146" s="329">
        <v>8257</v>
      </c>
      <c r="O146" s="329">
        <v>921</v>
      </c>
      <c r="P146" s="329">
        <v>450</v>
      </c>
      <c r="Q146" s="329">
        <v>1371</v>
      </c>
      <c r="R146" s="329">
        <v>136</v>
      </c>
      <c r="S146" s="329">
        <v>123</v>
      </c>
      <c r="T146" s="329">
        <v>259</v>
      </c>
      <c r="U146" s="329">
        <v>0</v>
      </c>
      <c r="V146" s="329">
        <v>0</v>
      </c>
      <c r="W146" s="329">
        <v>0</v>
      </c>
      <c r="X146" s="330">
        <v>7644</v>
      </c>
      <c r="Y146" s="330">
        <v>4925</v>
      </c>
      <c r="Z146" s="330">
        <v>12569</v>
      </c>
      <c r="AA146" s="13"/>
      <c r="AB146" s="13"/>
    </row>
    <row r="147" spans="2:28" hidden="1" outlineLevel="1" x14ac:dyDescent="0.25">
      <c r="B147" s="304">
        <v>43009</v>
      </c>
      <c r="C147" s="329">
        <v>0</v>
      </c>
      <c r="D147" s="329">
        <v>0</v>
      </c>
      <c r="E147" s="329">
        <v>0</v>
      </c>
      <c r="F147" s="329">
        <v>0</v>
      </c>
      <c r="G147" s="329">
        <v>0</v>
      </c>
      <c r="H147" s="329">
        <v>0</v>
      </c>
      <c r="I147" s="329">
        <v>2346</v>
      </c>
      <c r="J147" s="329">
        <v>688</v>
      </c>
      <c r="K147" s="329">
        <v>3034</v>
      </c>
      <c r="L147" s="329">
        <v>5388</v>
      </c>
      <c r="M147" s="329">
        <v>4297</v>
      </c>
      <c r="N147" s="329">
        <v>9685</v>
      </c>
      <c r="O147" s="329">
        <v>1071</v>
      </c>
      <c r="P147" s="329">
        <v>514</v>
      </c>
      <c r="Q147" s="329">
        <v>1585</v>
      </c>
      <c r="R147" s="329">
        <v>165</v>
      </c>
      <c r="S147" s="329">
        <v>147</v>
      </c>
      <c r="T147" s="329">
        <v>312</v>
      </c>
      <c r="U147" s="329">
        <v>0</v>
      </c>
      <c r="V147" s="329">
        <v>0</v>
      </c>
      <c r="W147" s="329">
        <v>0</v>
      </c>
      <c r="X147" s="330">
        <v>8970</v>
      </c>
      <c r="Y147" s="330">
        <v>5646</v>
      </c>
      <c r="Z147" s="330">
        <v>14616</v>
      </c>
      <c r="AA147" s="13"/>
      <c r="AB147" s="13"/>
    </row>
    <row r="148" spans="2:28" hidden="1" outlineLevel="1" x14ac:dyDescent="0.25">
      <c r="B148" s="304">
        <v>43040</v>
      </c>
      <c r="C148" s="329">
        <v>0</v>
      </c>
      <c r="D148" s="329">
        <v>0</v>
      </c>
      <c r="E148" s="329">
        <v>0</v>
      </c>
      <c r="F148" s="329">
        <v>0</v>
      </c>
      <c r="G148" s="329">
        <v>0</v>
      </c>
      <c r="H148" s="329">
        <v>0</v>
      </c>
      <c r="I148" s="329">
        <v>2115</v>
      </c>
      <c r="J148" s="329">
        <v>641</v>
      </c>
      <c r="K148" s="329">
        <v>2756</v>
      </c>
      <c r="L148" s="329">
        <v>5113</v>
      </c>
      <c r="M148" s="329">
        <v>3942</v>
      </c>
      <c r="N148" s="329">
        <v>9055</v>
      </c>
      <c r="O148" s="329">
        <v>1146</v>
      </c>
      <c r="P148" s="329">
        <v>518</v>
      </c>
      <c r="Q148" s="329">
        <v>1664</v>
      </c>
      <c r="R148" s="329">
        <v>150</v>
      </c>
      <c r="S148" s="329">
        <v>166</v>
      </c>
      <c r="T148" s="329">
        <v>316</v>
      </c>
      <c r="U148" s="329">
        <v>0</v>
      </c>
      <c r="V148" s="329">
        <v>0</v>
      </c>
      <c r="W148" s="329">
        <v>0</v>
      </c>
      <c r="X148" s="330">
        <v>8524</v>
      </c>
      <c r="Y148" s="330">
        <v>5267</v>
      </c>
      <c r="Z148" s="330">
        <v>13791</v>
      </c>
      <c r="AA148" s="13"/>
      <c r="AB148" s="13"/>
    </row>
    <row r="149" spans="2:28" collapsed="1" x14ac:dyDescent="0.25">
      <c r="B149" s="304">
        <v>43070</v>
      </c>
      <c r="C149" s="329">
        <v>0</v>
      </c>
      <c r="D149" s="329">
        <v>0</v>
      </c>
      <c r="E149" s="329">
        <v>0</v>
      </c>
      <c r="F149" s="329">
        <v>0</v>
      </c>
      <c r="G149" s="329">
        <v>0</v>
      </c>
      <c r="H149" s="329">
        <v>0</v>
      </c>
      <c r="I149" s="329">
        <v>1793</v>
      </c>
      <c r="J149" s="329">
        <v>608</v>
      </c>
      <c r="K149" s="329">
        <v>2401</v>
      </c>
      <c r="L149" s="329">
        <v>4249</v>
      </c>
      <c r="M149" s="329">
        <v>3652</v>
      </c>
      <c r="N149" s="329">
        <v>7901</v>
      </c>
      <c r="O149" s="329">
        <v>900</v>
      </c>
      <c r="P149" s="329">
        <v>394</v>
      </c>
      <c r="Q149" s="329">
        <v>1294</v>
      </c>
      <c r="R149" s="329">
        <v>135</v>
      </c>
      <c r="S149" s="329">
        <v>140</v>
      </c>
      <c r="T149" s="329">
        <v>275</v>
      </c>
      <c r="U149" s="329">
        <v>0</v>
      </c>
      <c r="V149" s="329">
        <v>0</v>
      </c>
      <c r="W149" s="329">
        <v>0</v>
      </c>
      <c r="X149" s="330">
        <v>7077</v>
      </c>
      <c r="Y149" s="330">
        <v>4794</v>
      </c>
      <c r="Z149" s="330">
        <v>11871</v>
      </c>
      <c r="AA149" s="13"/>
      <c r="AB149" s="13"/>
    </row>
    <row r="150" spans="2:28" hidden="1" outlineLevel="1" x14ac:dyDescent="0.25">
      <c r="B150" s="304">
        <v>43101</v>
      </c>
      <c r="C150" s="329">
        <v>0</v>
      </c>
      <c r="D150" s="329">
        <v>0</v>
      </c>
      <c r="E150" s="329">
        <v>0</v>
      </c>
      <c r="F150" s="329">
        <v>0</v>
      </c>
      <c r="G150" s="329">
        <v>0</v>
      </c>
      <c r="H150" s="329">
        <v>0</v>
      </c>
      <c r="I150" s="329">
        <v>2086</v>
      </c>
      <c r="J150" s="329">
        <v>635</v>
      </c>
      <c r="K150" s="329">
        <v>2721</v>
      </c>
      <c r="L150" s="329">
        <v>6381</v>
      </c>
      <c r="M150" s="329">
        <v>4778</v>
      </c>
      <c r="N150" s="329">
        <v>11159</v>
      </c>
      <c r="O150" s="329">
        <v>988</v>
      </c>
      <c r="P150" s="329">
        <v>465</v>
      </c>
      <c r="Q150" s="329">
        <v>1453</v>
      </c>
      <c r="R150" s="329">
        <v>206</v>
      </c>
      <c r="S150" s="329">
        <v>195</v>
      </c>
      <c r="T150" s="329">
        <v>401</v>
      </c>
      <c r="U150" s="329">
        <v>0</v>
      </c>
      <c r="V150" s="329">
        <v>0</v>
      </c>
      <c r="W150" s="329">
        <v>0</v>
      </c>
      <c r="X150" s="330">
        <v>9661</v>
      </c>
      <c r="Y150" s="330">
        <v>6073</v>
      </c>
      <c r="Z150" s="330">
        <v>15734</v>
      </c>
      <c r="AA150" s="13"/>
      <c r="AB150" s="13"/>
    </row>
    <row r="151" spans="2:28" hidden="1" outlineLevel="1" x14ac:dyDescent="0.25">
      <c r="B151" s="304">
        <v>43132</v>
      </c>
      <c r="C151" s="329">
        <v>0</v>
      </c>
      <c r="D151" s="329">
        <v>0</v>
      </c>
      <c r="E151" s="329">
        <v>0</v>
      </c>
      <c r="F151" s="329">
        <v>0</v>
      </c>
      <c r="G151" s="329">
        <v>0</v>
      </c>
      <c r="H151" s="329">
        <v>0</v>
      </c>
      <c r="I151" s="329">
        <v>1731</v>
      </c>
      <c r="J151" s="329">
        <v>570</v>
      </c>
      <c r="K151" s="329">
        <v>2301</v>
      </c>
      <c r="L151" s="329">
        <v>6536</v>
      </c>
      <c r="M151" s="329">
        <v>4515</v>
      </c>
      <c r="N151" s="329">
        <v>11051</v>
      </c>
      <c r="O151" s="329">
        <v>807</v>
      </c>
      <c r="P151" s="329">
        <v>366</v>
      </c>
      <c r="Q151" s="329">
        <v>1173</v>
      </c>
      <c r="R151" s="329">
        <v>393</v>
      </c>
      <c r="S151" s="329">
        <v>339</v>
      </c>
      <c r="T151" s="329">
        <v>732</v>
      </c>
      <c r="U151" s="329">
        <v>0</v>
      </c>
      <c r="V151" s="329">
        <v>0</v>
      </c>
      <c r="W151" s="329">
        <v>0</v>
      </c>
      <c r="X151" s="330">
        <v>9467</v>
      </c>
      <c r="Y151" s="330">
        <v>5790</v>
      </c>
      <c r="Z151" s="330">
        <v>15257</v>
      </c>
      <c r="AA151" s="13"/>
      <c r="AB151" s="13"/>
    </row>
    <row r="152" spans="2:28" hidden="1" outlineLevel="1" x14ac:dyDescent="0.25">
      <c r="B152" s="304">
        <v>43160</v>
      </c>
      <c r="C152" s="329">
        <v>0</v>
      </c>
      <c r="D152" s="329">
        <v>0</v>
      </c>
      <c r="E152" s="329">
        <v>0</v>
      </c>
      <c r="F152" s="329">
        <v>0</v>
      </c>
      <c r="G152" s="329">
        <v>0</v>
      </c>
      <c r="H152" s="329">
        <v>0</v>
      </c>
      <c r="I152" s="329">
        <v>1975</v>
      </c>
      <c r="J152" s="329">
        <v>651</v>
      </c>
      <c r="K152" s="329">
        <v>2626</v>
      </c>
      <c r="L152" s="329">
        <v>5801</v>
      </c>
      <c r="M152" s="329">
        <v>4589</v>
      </c>
      <c r="N152" s="329">
        <v>10390</v>
      </c>
      <c r="O152" s="329">
        <v>1022</v>
      </c>
      <c r="P152" s="329">
        <v>436</v>
      </c>
      <c r="Q152" s="329">
        <v>1458</v>
      </c>
      <c r="R152" s="329">
        <v>464</v>
      </c>
      <c r="S152" s="329">
        <v>457</v>
      </c>
      <c r="T152" s="329">
        <v>921</v>
      </c>
      <c r="U152" s="329">
        <v>0</v>
      </c>
      <c r="V152" s="329">
        <v>0</v>
      </c>
      <c r="W152" s="329">
        <v>0</v>
      </c>
      <c r="X152" s="330">
        <v>9262</v>
      </c>
      <c r="Y152" s="330">
        <v>6133</v>
      </c>
      <c r="Z152" s="330">
        <v>15395</v>
      </c>
      <c r="AA152" s="13"/>
      <c r="AB152" s="13"/>
    </row>
    <row r="153" spans="2:28" hidden="1" outlineLevel="1" x14ac:dyDescent="0.25">
      <c r="B153" s="304">
        <v>43191</v>
      </c>
      <c r="C153" s="329">
        <v>0</v>
      </c>
      <c r="D153" s="329">
        <v>0</v>
      </c>
      <c r="E153" s="329">
        <v>0</v>
      </c>
      <c r="F153" s="329">
        <v>0</v>
      </c>
      <c r="G153" s="329">
        <v>0</v>
      </c>
      <c r="H153" s="329">
        <v>0</v>
      </c>
      <c r="I153" s="329">
        <v>1962</v>
      </c>
      <c r="J153" s="329">
        <v>605</v>
      </c>
      <c r="K153" s="329">
        <v>2567</v>
      </c>
      <c r="L153" s="329">
        <v>5284</v>
      </c>
      <c r="M153" s="329">
        <v>4475</v>
      </c>
      <c r="N153" s="329">
        <v>9759</v>
      </c>
      <c r="O153" s="329">
        <v>1037</v>
      </c>
      <c r="P153" s="329">
        <v>474</v>
      </c>
      <c r="Q153" s="329">
        <v>1511</v>
      </c>
      <c r="R153" s="329">
        <v>428</v>
      </c>
      <c r="S153" s="329">
        <v>409</v>
      </c>
      <c r="T153" s="329">
        <v>837</v>
      </c>
      <c r="U153" s="329">
        <v>0</v>
      </c>
      <c r="V153" s="329">
        <v>0</v>
      </c>
      <c r="W153" s="329">
        <v>0</v>
      </c>
      <c r="X153" s="330">
        <v>8711</v>
      </c>
      <c r="Y153" s="330">
        <v>5963</v>
      </c>
      <c r="Z153" s="330">
        <v>14674</v>
      </c>
      <c r="AA153" s="13"/>
      <c r="AB153" s="13"/>
    </row>
    <row r="154" spans="2:28" hidden="1" outlineLevel="1" x14ac:dyDescent="0.25">
      <c r="B154" s="304">
        <v>43221</v>
      </c>
      <c r="C154" s="329">
        <v>0</v>
      </c>
      <c r="D154" s="329">
        <v>0</v>
      </c>
      <c r="E154" s="329">
        <v>0</v>
      </c>
      <c r="F154" s="329">
        <v>0</v>
      </c>
      <c r="G154" s="329">
        <v>0</v>
      </c>
      <c r="H154" s="329">
        <v>0</v>
      </c>
      <c r="I154" s="329">
        <v>2114</v>
      </c>
      <c r="J154" s="329">
        <v>617</v>
      </c>
      <c r="K154" s="329">
        <v>2731</v>
      </c>
      <c r="L154" s="329">
        <v>5710</v>
      </c>
      <c r="M154" s="329">
        <v>5628</v>
      </c>
      <c r="N154" s="329">
        <v>11338</v>
      </c>
      <c r="O154" s="329">
        <v>968</v>
      </c>
      <c r="P154" s="329">
        <v>416</v>
      </c>
      <c r="Q154" s="329">
        <v>1384</v>
      </c>
      <c r="R154" s="329">
        <v>253</v>
      </c>
      <c r="S154" s="329">
        <v>304</v>
      </c>
      <c r="T154" s="329">
        <v>557</v>
      </c>
      <c r="U154" s="329">
        <v>0</v>
      </c>
      <c r="V154" s="329">
        <v>0</v>
      </c>
      <c r="W154" s="329">
        <v>0</v>
      </c>
      <c r="X154" s="330">
        <v>9045</v>
      </c>
      <c r="Y154" s="330">
        <v>6965</v>
      </c>
      <c r="Z154" s="330">
        <v>16010</v>
      </c>
      <c r="AA154" s="13"/>
      <c r="AB154" s="13"/>
    </row>
    <row r="155" spans="2:28" hidden="1" outlineLevel="1" x14ac:dyDescent="0.25">
      <c r="B155" s="304">
        <v>43252</v>
      </c>
      <c r="C155" s="329">
        <v>0</v>
      </c>
      <c r="D155" s="329">
        <v>0</v>
      </c>
      <c r="E155" s="329">
        <v>0</v>
      </c>
      <c r="F155" s="329">
        <v>0</v>
      </c>
      <c r="G155" s="329">
        <v>0</v>
      </c>
      <c r="H155" s="329">
        <v>0</v>
      </c>
      <c r="I155" s="329">
        <v>1925</v>
      </c>
      <c r="J155" s="329">
        <v>583</v>
      </c>
      <c r="K155" s="329">
        <v>2508</v>
      </c>
      <c r="L155" s="329">
        <v>5272</v>
      </c>
      <c r="M155" s="329">
        <v>4572</v>
      </c>
      <c r="N155" s="329">
        <v>9844</v>
      </c>
      <c r="O155" s="329">
        <v>982</v>
      </c>
      <c r="P155" s="329">
        <v>434</v>
      </c>
      <c r="Q155" s="329">
        <v>1416</v>
      </c>
      <c r="R155" s="329">
        <v>238</v>
      </c>
      <c r="S155" s="329">
        <v>286</v>
      </c>
      <c r="T155" s="329">
        <v>524</v>
      </c>
      <c r="U155" s="329">
        <v>0</v>
      </c>
      <c r="V155" s="329">
        <v>0</v>
      </c>
      <c r="W155" s="329">
        <v>0</v>
      </c>
      <c r="X155" s="330">
        <v>8417</v>
      </c>
      <c r="Y155" s="330">
        <v>5875</v>
      </c>
      <c r="Z155" s="330">
        <v>14292</v>
      </c>
      <c r="AA155" s="13"/>
      <c r="AB155" s="13"/>
    </row>
    <row r="156" spans="2:28" hidden="1" outlineLevel="1" x14ac:dyDescent="0.25">
      <c r="B156" s="304">
        <v>43282</v>
      </c>
      <c r="C156" s="329">
        <v>0</v>
      </c>
      <c r="D156" s="329">
        <v>0</v>
      </c>
      <c r="E156" s="329">
        <v>0</v>
      </c>
      <c r="F156" s="329">
        <v>0</v>
      </c>
      <c r="G156" s="329">
        <v>0</v>
      </c>
      <c r="H156" s="329">
        <v>0</v>
      </c>
      <c r="I156" s="329">
        <v>2119</v>
      </c>
      <c r="J156" s="329">
        <v>648</v>
      </c>
      <c r="K156" s="329">
        <v>2767</v>
      </c>
      <c r="L156" s="329">
        <v>5676</v>
      </c>
      <c r="M156" s="329">
        <v>4730</v>
      </c>
      <c r="N156" s="329">
        <v>10406</v>
      </c>
      <c r="O156" s="329">
        <v>969</v>
      </c>
      <c r="P156" s="329">
        <v>488</v>
      </c>
      <c r="Q156" s="329">
        <v>1457</v>
      </c>
      <c r="R156" s="329">
        <v>232</v>
      </c>
      <c r="S156" s="329">
        <v>248</v>
      </c>
      <c r="T156" s="329">
        <v>480</v>
      </c>
      <c r="U156" s="329">
        <v>0</v>
      </c>
      <c r="V156" s="329">
        <v>0</v>
      </c>
      <c r="W156" s="329">
        <v>0</v>
      </c>
      <c r="X156" s="330">
        <v>8996</v>
      </c>
      <c r="Y156" s="330">
        <v>6114</v>
      </c>
      <c r="Z156" s="330">
        <v>15110</v>
      </c>
      <c r="AA156" s="13"/>
      <c r="AB156" s="13"/>
    </row>
    <row r="157" spans="2:28" hidden="1" outlineLevel="1" x14ac:dyDescent="0.25">
      <c r="B157" s="304">
        <v>43313</v>
      </c>
      <c r="C157" s="329">
        <v>0</v>
      </c>
      <c r="D157" s="329">
        <v>0</v>
      </c>
      <c r="E157" s="329">
        <v>0</v>
      </c>
      <c r="F157" s="329">
        <v>0</v>
      </c>
      <c r="G157" s="329">
        <v>0</v>
      </c>
      <c r="H157" s="329">
        <v>0</v>
      </c>
      <c r="I157" s="329">
        <v>2344</v>
      </c>
      <c r="J157" s="329">
        <v>696</v>
      </c>
      <c r="K157" s="329">
        <v>3040</v>
      </c>
      <c r="L157" s="329">
        <v>6147</v>
      </c>
      <c r="M157" s="329">
        <v>4876</v>
      </c>
      <c r="N157" s="329">
        <v>11023</v>
      </c>
      <c r="O157" s="329">
        <v>1128</v>
      </c>
      <c r="P157" s="329">
        <v>513</v>
      </c>
      <c r="Q157" s="329">
        <v>1641</v>
      </c>
      <c r="R157" s="329">
        <v>211</v>
      </c>
      <c r="S157" s="329">
        <v>216</v>
      </c>
      <c r="T157" s="329">
        <v>427</v>
      </c>
      <c r="U157" s="329">
        <v>0</v>
      </c>
      <c r="V157" s="329">
        <v>0</v>
      </c>
      <c r="W157" s="329">
        <v>0</v>
      </c>
      <c r="X157" s="330">
        <v>9830</v>
      </c>
      <c r="Y157" s="330">
        <v>6301</v>
      </c>
      <c r="Z157" s="330">
        <v>16131</v>
      </c>
      <c r="AA157" s="13"/>
      <c r="AB157" s="13"/>
    </row>
    <row r="158" spans="2:28" hidden="1" outlineLevel="1" x14ac:dyDescent="0.25">
      <c r="B158" s="304">
        <v>43344</v>
      </c>
      <c r="C158" s="329">
        <v>0</v>
      </c>
      <c r="D158" s="329">
        <v>0</v>
      </c>
      <c r="E158" s="329">
        <v>0</v>
      </c>
      <c r="F158" s="329">
        <v>0</v>
      </c>
      <c r="G158" s="329">
        <v>0</v>
      </c>
      <c r="H158" s="329">
        <v>0</v>
      </c>
      <c r="I158" s="329">
        <v>1678</v>
      </c>
      <c r="J158" s="329">
        <v>448</v>
      </c>
      <c r="K158" s="329">
        <v>2126</v>
      </c>
      <c r="L158" s="329">
        <v>4884</v>
      </c>
      <c r="M158" s="329">
        <v>3688</v>
      </c>
      <c r="N158" s="329">
        <v>8572</v>
      </c>
      <c r="O158" s="329">
        <v>864</v>
      </c>
      <c r="P158" s="329">
        <v>387</v>
      </c>
      <c r="Q158" s="329">
        <v>1251</v>
      </c>
      <c r="R158" s="329">
        <v>159</v>
      </c>
      <c r="S158" s="329">
        <v>180</v>
      </c>
      <c r="T158" s="329">
        <v>339</v>
      </c>
      <c r="U158" s="329">
        <v>0</v>
      </c>
      <c r="V158" s="329">
        <v>0</v>
      </c>
      <c r="W158" s="329">
        <v>0</v>
      </c>
      <c r="X158" s="330">
        <v>7585</v>
      </c>
      <c r="Y158" s="330">
        <v>4703</v>
      </c>
      <c r="Z158" s="330">
        <v>12288</v>
      </c>
      <c r="AA158" s="13"/>
      <c r="AB158" s="13"/>
    </row>
    <row r="159" spans="2:28" hidden="1" outlineLevel="1" x14ac:dyDescent="0.25">
      <c r="B159" s="304">
        <v>43374</v>
      </c>
      <c r="C159" s="329">
        <v>0</v>
      </c>
      <c r="D159" s="329">
        <v>0</v>
      </c>
      <c r="E159" s="329">
        <v>0</v>
      </c>
      <c r="F159" s="329">
        <v>0</v>
      </c>
      <c r="G159" s="329">
        <v>0</v>
      </c>
      <c r="H159" s="329">
        <v>0</v>
      </c>
      <c r="I159" s="329">
        <v>2458</v>
      </c>
      <c r="J159" s="329">
        <v>723</v>
      </c>
      <c r="K159" s="329">
        <v>3181</v>
      </c>
      <c r="L159" s="329">
        <v>6785</v>
      </c>
      <c r="M159" s="329">
        <v>5097</v>
      </c>
      <c r="N159" s="329">
        <v>11882</v>
      </c>
      <c r="O159" s="329">
        <v>1050</v>
      </c>
      <c r="P159" s="329">
        <v>469</v>
      </c>
      <c r="Q159" s="329">
        <v>1519</v>
      </c>
      <c r="R159" s="329">
        <v>195</v>
      </c>
      <c r="S159" s="329">
        <v>224</v>
      </c>
      <c r="T159" s="329">
        <v>419</v>
      </c>
      <c r="U159" s="329">
        <v>0</v>
      </c>
      <c r="V159" s="329">
        <v>0</v>
      </c>
      <c r="W159" s="329">
        <v>0</v>
      </c>
      <c r="X159" s="330">
        <v>10488</v>
      </c>
      <c r="Y159" s="330">
        <v>6513</v>
      </c>
      <c r="Z159" s="330">
        <v>17001</v>
      </c>
      <c r="AA159" s="13"/>
      <c r="AB159" s="13"/>
    </row>
    <row r="160" spans="2:28" hidden="1" outlineLevel="1" x14ac:dyDescent="0.25">
      <c r="B160" s="304">
        <v>43405</v>
      </c>
      <c r="C160" s="329">
        <v>0</v>
      </c>
      <c r="D160" s="329">
        <v>0</v>
      </c>
      <c r="E160" s="329">
        <v>0</v>
      </c>
      <c r="F160" s="329">
        <v>0</v>
      </c>
      <c r="G160" s="329">
        <v>0</v>
      </c>
      <c r="H160" s="329">
        <v>0</v>
      </c>
      <c r="I160" s="329">
        <v>2005</v>
      </c>
      <c r="J160" s="329">
        <v>625</v>
      </c>
      <c r="K160" s="329">
        <v>2630</v>
      </c>
      <c r="L160" s="329">
        <v>5334</v>
      </c>
      <c r="M160" s="329">
        <v>4162</v>
      </c>
      <c r="N160" s="329">
        <v>9496</v>
      </c>
      <c r="O160" s="329">
        <v>932</v>
      </c>
      <c r="P160" s="329">
        <v>473</v>
      </c>
      <c r="Q160" s="329">
        <v>1405</v>
      </c>
      <c r="R160" s="329">
        <v>147</v>
      </c>
      <c r="S160" s="329">
        <v>161</v>
      </c>
      <c r="T160" s="329">
        <v>308</v>
      </c>
      <c r="U160" s="329">
        <v>0</v>
      </c>
      <c r="V160" s="329">
        <v>0</v>
      </c>
      <c r="W160" s="329">
        <v>0</v>
      </c>
      <c r="X160" s="330">
        <v>8418</v>
      </c>
      <c r="Y160" s="330">
        <v>5421</v>
      </c>
      <c r="Z160" s="330">
        <v>13839</v>
      </c>
      <c r="AA160" s="13"/>
      <c r="AB160" s="13"/>
    </row>
    <row r="161" spans="2:28" collapsed="1" x14ac:dyDescent="0.25">
      <c r="B161" s="304">
        <v>43435</v>
      </c>
      <c r="C161" s="329">
        <v>0</v>
      </c>
      <c r="D161" s="329">
        <v>0</v>
      </c>
      <c r="E161" s="329">
        <v>0</v>
      </c>
      <c r="F161" s="329">
        <v>0</v>
      </c>
      <c r="G161" s="329">
        <v>0</v>
      </c>
      <c r="H161" s="329">
        <v>0</v>
      </c>
      <c r="I161" s="329">
        <v>1836</v>
      </c>
      <c r="J161" s="329">
        <v>537</v>
      </c>
      <c r="K161" s="329">
        <v>2373</v>
      </c>
      <c r="L161" s="329">
        <v>4639</v>
      </c>
      <c r="M161" s="329">
        <v>4008</v>
      </c>
      <c r="N161" s="329">
        <v>8647</v>
      </c>
      <c r="O161" s="329">
        <v>855</v>
      </c>
      <c r="P161" s="329">
        <v>472</v>
      </c>
      <c r="Q161" s="329">
        <v>1327</v>
      </c>
      <c r="R161" s="329">
        <v>168</v>
      </c>
      <c r="S161" s="329">
        <v>159</v>
      </c>
      <c r="T161" s="329">
        <v>327</v>
      </c>
      <c r="U161" s="329">
        <v>0</v>
      </c>
      <c r="V161" s="329">
        <v>0</v>
      </c>
      <c r="W161" s="329">
        <v>0</v>
      </c>
      <c r="X161" s="330">
        <v>7498</v>
      </c>
      <c r="Y161" s="330">
        <v>5176</v>
      </c>
      <c r="Z161" s="330">
        <v>12674</v>
      </c>
      <c r="AA161" s="13"/>
      <c r="AB161" s="13"/>
    </row>
    <row r="162" spans="2:28" hidden="1" outlineLevel="1" x14ac:dyDescent="0.25">
      <c r="B162" s="304">
        <v>43466</v>
      </c>
      <c r="C162" s="329">
        <v>0</v>
      </c>
      <c r="D162" s="329">
        <v>0</v>
      </c>
      <c r="E162" s="329">
        <v>0</v>
      </c>
      <c r="F162" s="329">
        <v>0</v>
      </c>
      <c r="G162" s="329">
        <v>0</v>
      </c>
      <c r="H162" s="329">
        <v>0</v>
      </c>
      <c r="I162" s="329">
        <v>2108</v>
      </c>
      <c r="J162" s="329">
        <v>642</v>
      </c>
      <c r="K162" s="329">
        <v>2750</v>
      </c>
      <c r="L162" s="329">
        <v>5643</v>
      </c>
      <c r="M162" s="329">
        <v>4557</v>
      </c>
      <c r="N162" s="329">
        <v>10200</v>
      </c>
      <c r="O162" s="329">
        <v>981</v>
      </c>
      <c r="P162" s="329">
        <v>481</v>
      </c>
      <c r="Q162" s="329">
        <v>1462</v>
      </c>
      <c r="R162" s="329">
        <v>271</v>
      </c>
      <c r="S162" s="329">
        <v>294</v>
      </c>
      <c r="T162" s="329">
        <v>565</v>
      </c>
      <c r="U162" s="329">
        <v>0</v>
      </c>
      <c r="V162" s="329">
        <v>0</v>
      </c>
      <c r="W162" s="329">
        <v>0</v>
      </c>
      <c r="X162" s="330">
        <v>9003</v>
      </c>
      <c r="Y162" s="330">
        <v>5974</v>
      </c>
      <c r="Z162" s="330">
        <v>14977</v>
      </c>
      <c r="AA162" s="13"/>
      <c r="AB162" s="13"/>
    </row>
    <row r="163" spans="2:28" hidden="1" outlineLevel="1" x14ac:dyDescent="0.25">
      <c r="B163" s="304">
        <v>43497</v>
      </c>
      <c r="C163" s="329">
        <v>0</v>
      </c>
      <c r="D163" s="329">
        <v>0</v>
      </c>
      <c r="E163" s="329">
        <v>0</v>
      </c>
      <c r="F163" s="329">
        <v>0</v>
      </c>
      <c r="G163" s="329">
        <v>0</v>
      </c>
      <c r="H163" s="329">
        <v>0</v>
      </c>
      <c r="I163" s="329">
        <v>1667</v>
      </c>
      <c r="J163" s="329">
        <v>521</v>
      </c>
      <c r="K163" s="329">
        <v>2188</v>
      </c>
      <c r="L163" s="329">
        <v>4680</v>
      </c>
      <c r="M163" s="329">
        <v>3911</v>
      </c>
      <c r="N163" s="329">
        <v>8591</v>
      </c>
      <c r="O163" s="329">
        <v>857</v>
      </c>
      <c r="P163" s="329">
        <v>436</v>
      </c>
      <c r="Q163" s="329">
        <v>1293</v>
      </c>
      <c r="R163" s="329">
        <v>377</v>
      </c>
      <c r="S163" s="329">
        <v>308</v>
      </c>
      <c r="T163" s="329">
        <v>685</v>
      </c>
      <c r="U163" s="329">
        <v>0</v>
      </c>
      <c r="V163" s="329">
        <v>0</v>
      </c>
      <c r="W163" s="329">
        <v>0</v>
      </c>
      <c r="X163" s="330">
        <v>7581</v>
      </c>
      <c r="Y163" s="330">
        <v>5176</v>
      </c>
      <c r="Z163" s="330">
        <v>12757</v>
      </c>
      <c r="AA163" s="13"/>
      <c r="AB163" s="13"/>
    </row>
    <row r="164" spans="2:28" hidden="1" outlineLevel="1" x14ac:dyDescent="0.25">
      <c r="B164" s="304">
        <v>43525</v>
      </c>
      <c r="C164" s="329">
        <v>0</v>
      </c>
      <c r="D164" s="329">
        <v>0</v>
      </c>
      <c r="E164" s="329">
        <v>0</v>
      </c>
      <c r="F164" s="329">
        <v>0</v>
      </c>
      <c r="G164" s="329">
        <v>0</v>
      </c>
      <c r="H164" s="329">
        <v>0</v>
      </c>
      <c r="I164" s="329">
        <v>1895</v>
      </c>
      <c r="J164" s="329">
        <v>602</v>
      </c>
      <c r="K164" s="329">
        <v>2497</v>
      </c>
      <c r="L164" s="329">
        <v>5185</v>
      </c>
      <c r="M164" s="329">
        <v>4233</v>
      </c>
      <c r="N164" s="329">
        <v>9418</v>
      </c>
      <c r="O164" s="329">
        <v>1031</v>
      </c>
      <c r="P164" s="329">
        <v>440</v>
      </c>
      <c r="Q164" s="329">
        <v>1471</v>
      </c>
      <c r="R164" s="329">
        <v>328</v>
      </c>
      <c r="S164" s="329">
        <v>310</v>
      </c>
      <c r="T164" s="329">
        <v>638</v>
      </c>
      <c r="U164" s="329">
        <v>0</v>
      </c>
      <c r="V164" s="329">
        <v>0</v>
      </c>
      <c r="W164" s="329">
        <v>0</v>
      </c>
      <c r="X164" s="330">
        <v>8439</v>
      </c>
      <c r="Y164" s="330">
        <v>5585</v>
      </c>
      <c r="Z164" s="330">
        <v>14024</v>
      </c>
      <c r="AA164" s="13"/>
      <c r="AB164" s="13"/>
    </row>
    <row r="165" spans="2:28" hidden="1" outlineLevel="1" x14ac:dyDescent="0.25">
      <c r="B165" s="304">
        <v>43556</v>
      </c>
      <c r="C165" s="329">
        <v>0</v>
      </c>
      <c r="D165" s="329">
        <v>0</v>
      </c>
      <c r="E165" s="329">
        <v>0</v>
      </c>
      <c r="F165" s="329">
        <v>0</v>
      </c>
      <c r="G165" s="329">
        <v>0</v>
      </c>
      <c r="H165" s="329">
        <v>0</v>
      </c>
      <c r="I165" s="329">
        <v>1810</v>
      </c>
      <c r="J165" s="329">
        <v>578</v>
      </c>
      <c r="K165" s="329">
        <v>2388</v>
      </c>
      <c r="L165" s="329">
        <v>4987</v>
      </c>
      <c r="M165" s="329">
        <v>4199</v>
      </c>
      <c r="N165" s="329">
        <v>9186</v>
      </c>
      <c r="O165" s="329">
        <v>1092</v>
      </c>
      <c r="P165" s="329">
        <v>452</v>
      </c>
      <c r="Q165" s="329">
        <v>1544</v>
      </c>
      <c r="R165" s="329">
        <v>277</v>
      </c>
      <c r="S165" s="329">
        <v>307</v>
      </c>
      <c r="T165" s="329">
        <v>584</v>
      </c>
      <c r="U165" s="329">
        <v>0</v>
      </c>
      <c r="V165" s="329">
        <v>0</v>
      </c>
      <c r="W165" s="329">
        <v>0</v>
      </c>
      <c r="X165" s="330">
        <v>8166</v>
      </c>
      <c r="Y165" s="330">
        <v>5536</v>
      </c>
      <c r="Z165" s="330">
        <v>13702</v>
      </c>
      <c r="AA165" s="13"/>
      <c r="AB165" s="13"/>
    </row>
    <row r="166" spans="2:28" hidden="1" outlineLevel="1" x14ac:dyDescent="0.25">
      <c r="B166" s="304">
        <v>43586</v>
      </c>
      <c r="C166" s="329">
        <v>0</v>
      </c>
      <c r="D166" s="329">
        <v>0</v>
      </c>
      <c r="E166" s="329">
        <v>0</v>
      </c>
      <c r="F166" s="329">
        <v>0</v>
      </c>
      <c r="G166" s="329">
        <v>0</v>
      </c>
      <c r="H166" s="329">
        <v>0</v>
      </c>
      <c r="I166" s="329">
        <v>1849</v>
      </c>
      <c r="J166" s="329">
        <v>579</v>
      </c>
      <c r="K166" s="329">
        <v>2428</v>
      </c>
      <c r="L166" s="329">
        <v>4895</v>
      </c>
      <c r="M166" s="329">
        <v>4562</v>
      </c>
      <c r="N166" s="329">
        <v>9457</v>
      </c>
      <c r="O166" s="329">
        <v>945</v>
      </c>
      <c r="P166" s="329">
        <v>428</v>
      </c>
      <c r="Q166" s="329">
        <v>1373</v>
      </c>
      <c r="R166" s="329">
        <v>232</v>
      </c>
      <c r="S166" s="329">
        <v>251</v>
      </c>
      <c r="T166" s="329">
        <v>483</v>
      </c>
      <c r="U166" s="329">
        <v>0</v>
      </c>
      <c r="V166" s="329">
        <v>0</v>
      </c>
      <c r="W166" s="329">
        <v>0</v>
      </c>
      <c r="X166" s="330">
        <v>7921</v>
      </c>
      <c r="Y166" s="330">
        <v>5820</v>
      </c>
      <c r="Z166" s="330">
        <v>13741</v>
      </c>
      <c r="AA166" s="13"/>
      <c r="AB166" s="13"/>
    </row>
    <row r="167" spans="2:28" hidden="1" outlineLevel="1" x14ac:dyDescent="0.25">
      <c r="B167" s="304">
        <v>43617</v>
      </c>
      <c r="C167" s="329">
        <v>0</v>
      </c>
      <c r="D167" s="329">
        <v>0</v>
      </c>
      <c r="E167" s="329">
        <v>0</v>
      </c>
      <c r="F167" s="329">
        <v>0</v>
      </c>
      <c r="G167" s="329">
        <v>0</v>
      </c>
      <c r="H167" s="329">
        <v>0</v>
      </c>
      <c r="I167" s="329">
        <v>1705</v>
      </c>
      <c r="J167" s="329">
        <v>516</v>
      </c>
      <c r="K167" s="329">
        <v>2221</v>
      </c>
      <c r="L167" s="329">
        <v>4261</v>
      </c>
      <c r="M167" s="329">
        <v>3789</v>
      </c>
      <c r="N167" s="329">
        <v>8050</v>
      </c>
      <c r="O167" s="329">
        <v>897</v>
      </c>
      <c r="P167" s="329">
        <v>469</v>
      </c>
      <c r="Q167" s="329">
        <v>1366</v>
      </c>
      <c r="R167" s="329">
        <v>202</v>
      </c>
      <c r="S167" s="329">
        <v>199</v>
      </c>
      <c r="T167" s="329">
        <v>401</v>
      </c>
      <c r="U167" s="329">
        <v>0</v>
      </c>
      <c r="V167" s="329">
        <v>0</v>
      </c>
      <c r="W167" s="329">
        <v>0</v>
      </c>
      <c r="X167" s="330">
        <v>7065</v>
      </c>
      <c r="Y167" s="330">
        <v>4973</v>
      </c>
      <c r="Z167" s="330">
        <v>12038</v>
      </c>
      <c r="AA167" s="13"/>
      <c r="AB167" s="13"/>
    </row>
    <row r="168" spans="2:28" hidden="1" outlineLevel="1" x14ac:dyDescent="0.25">
      <c r="B168" s="304">
        <v>43647</v>
      </c>
      <c r="C168" s="329">
        <v>0</v>
      </c>
      <c r="D168" s="329">
        <v>0</v>
      </c>
      <c r="E168" s="329">
        <v>0</v>
      </c>
      <c r="F168" s="329">
        <v>0</v>
      </c>
      <c r="G168" s="329">
        <v>0</v>
      </c>
      <c r="H168" s="329">
        <v>0</v>
      </c>
      <c r="I168" s="329">
        <v>2007</v>
      </c>
      <c r="J168" s="329">
        <v>605</v>
      </c>
      <c r="K168" s="329">
        <v>2612</v>
      </c>
      <c r="L168" s="329">
        <v>5493</v>
      </c>
      <c r="M168" s="329">
        <v>4700</v>
      </c>
      <c r="N168" s="329">
        <v>10193</v>
      </c>
      <c r="O168" s="329">
        <v>1061</v>
      </c>
      <c r="P168" s="329">
        <v>513</v>
      </c>
      <c r="Q168" s="329">
        <v>1574</v>
      </c>
      <c r="R168" s="329">
        <v>238</v>
      </c>
      <c r="S168" s="329">
        <v>232</v>
      </c>
      <c r="T168" s="329">
        <v>470</v>
      </c>
      <c r="U168" s="329">
        <v>0</v>
      </c>
      <c r="V168" s="329">
        <v>0</v>
      </c>
      <c r="W168" s="329">
        <v>0</v>
      </c>
      <c r="X168" s="330">
        <v>8799</v>
      </c>
      <c r="Y168" s="330">
        <v>6050</v>
      </c>
      <c r="Z168" s="330">
        <v>14849</v>
      </c>
      <c r="AA168" s="13"/>
      <c r="AB168" s="13"/>
    </row>
    <row r="169" spans="2:28" hidden="1" outlineLevel="1" x14ac:dyDescent="0.25">
      <c r="B169" s="304">
        <v>43678</v>
      </c>
      <c r="C169" s="329">
        <v>0</v>
      </c>
      <c r="D169" s="329">
        <v>0</v>
      </c>
      <c r="E169" s="329">
        <v>0</v>
      </c>
      <c r="F169" s="329">
        <v>0</v>
      </c>
      <c r="G169" s="329">
        <v>0</v>
      </c>
      <c r="H169" s="329">
        <v>0</v>
      </c>
      <c r="I169" s="329">
        <v>2017</v>
      </c>
      <c r="J169" s="329">
        <v>567</v>
      </c>
      <c r="K169" s="329">
        <v>2584</v>
      </c>
      <c r="L169" s="329">
        <v>5353</v>
      </c>
      <c r="M169" s="329">
        <v>4359</v>
      </c>
      <c r="N169" s="329">
        <v>9712</v>
      </c>
      <c r="O169" s="329">
        <v>1022</v>
      </c>
      <c r="P169" s="329">
        <v>466</v>
      </c>
      <c r="Q169" s="329">
        <v>1488</v>
      </c>
      <c r="R169" s="329">
        <v>210</v>
      </c>
      <c r="S169" s="329">
        <v>214</v>
      </c>
      <c r="T169" s="329">
        <v>424</v>
      </c>
      <c r="U169" s="329">
        <v>0</v>
      </c>
      <c r="V169" s="329">
        <v>0</v>
      </c>
      <c r="W169" s="329">
        <v>0</v>
      </c>
      <c r="X169" s="330">
        <v>8602</v>
      </c>
      <c r="Y169" s="330">
        <v>5606</v>
      </c>
      <c r="Z169" s="330">
        <v>14208</v>
      </c>
      <c r="AA169" s="13"/>
      <c r="AB169" s="13"/>
    </row>
    <row r="170" spans="2:28" hidden="1" outlineLevel="1" x14ac:dyDescent="0.25">
      <c r="B170" s="304">
        <v>43709</v>
      </c>
      <c r="C170" s="329">
        <v>0</v>
      </c>
      <c r="D170" s="329">
        <v>0</v>
      </c>
      <c r="E170" s="329">
        <v>0</v>
      </c>
      <c r="F170" s="329">
        <v>0</v>
      </c>
      <c r="G170" s="329">
        <v>0</v>
      </c>
      <c r="H170" s="329">
        <v>0</v>
      </c>
      <c r="I170" s="329">
        <v>1940</v>
      </c>
      <c r="J170" s="329">
        <v>529</v>
      </c>
      <c r="K170" s="329">
        <v>2469</v>
      </c>
      <c r="L170" s="329">
        <v>4857</v>
      </c>
      <c r="M170" s="329">
        <v>3938</v>
      </c>
      <c r="N170" s="329">
        <v>8795</v>
      </c>
      <c r="O170" s="329">
        <v>805</v>
      </c>
      <c r="P170" s="329">
        <v>416</v>
      </c>
      <c r="Q170" s="329">
        <v>1221</v>
      </c>
      <c r="R170" s="329">
        <v>218</v>
      </c>
      <c r="S170" s="329">
        <v>239</v>
      </c>
      <c r="T170" s="329">
        <v>457</v>
      </c>
      <c r="U170" s="329">
        <v>0</v>
      </c>
      <c r="V170" s="329">
        <v>0</v>
      </c>
      <c r="W170" s="329">
        <v>0</v>
      </c>
      <c r="X170" s="330">
        <v>7820</v>
      </c>
      <c r="Y170" s="330">
        <v>5122</v>
      </c>
      <c r="Z170" s="330">
        <v>12942</v>
      </c>
      <c r="AA170" s="13"/>
      <c r="AB170" s="13"/>
    </row>
    <row r="171" spans="2:28" hidden="1" outlineLevel="1" x14ac:dyDescent="0.25">
      <c r="B171" s="304">
        <v>43739</v>
      </c>
      <c r="C171" s="329">
        <v>0</v>
      </c>
      <c r="D171" s="329">
        <v>0</v>
      </c>
      <c r="E171" s="329">
        <v>0</v>
      </c>
      <c r="F171" s="329">
        <v>0</v>
      </c>
      <c r="G171" s="329">
        <v>0</v>
      </c>
      <c r="H171" s="329">
        <v>0</v>
      </c>
      <c r="I171" s="329">
        <v>1865</v>
      </c>
      <c r="J171" s="329">
        <v>519</v>
      </c>
      <c r="K171" s="329">
        <v>2384</v>
      </c>
      <c r="L171" s="329">
        <v>4442</v>
      </c>
      <c r="M171" s="329">
        <v>3407</v>
      </c>
      <c r="N171" s="329">
        <v>7849</v>
      </c>
      <c r="O171" s="329">
        <v>840</v>
      </c>
      <c r="P171" s="329">
        <v>340</v>
      </c>
      <c r="Q171" s="329">
        <v>1180</v>
      </c>
      <c r="R171" s="329">
        <v>184</v>
      </c>
      <c r="S171" s="329">
        <v>176</v>
      </c>
      <c r="T171" s="329">
        <v>360</v>
      </c>
      <c r="U171" s="329">
        <v>0</v>
      </c>
      <c r="V171" s="329">
        <v>0</v>
      </c>
      <c r="W171" s="329">
        <v>0</v>
      </c>
      <c r="X171" s="330">
        <v>7331</v>
      </c>
      <c r="Y171" s="330">
        <v>4442</v>
      </c>
      <c r="Z171" s="330">
        <v>11773</v>
      </c>
      <c r="AA171" s="13"/>
      <c r="AB171" s="13"/>
    </row>
    <row r="172" spans="2:28" hidden="1" outlineLevel="1" x14ac:dyDescent="0.25">
      <c r="B172" s="304">
        <v>43770</v>
      </c>
      <c r="C172" s="329">
        <v>0</v>
      </c>
      <c r="D172" s="329">
        <v>0</v>
      </c>
      <c r="E172" s="329">
        <v>0</v>
      </c>
      <c r="F172" s="329">
        <v>0</v>
      </c>
      <c r="G172" s="329">
        <v>0</v>
      </c>
      <c r="H172" s="329">
        <v>0</v>
      </c>
      <c r="I172" s="329">
        <v>1706</v>
      </c>
      <c r="J172" s="329">
        <v>562</v>
      </c>
      <c r="K172" s="329">
        <v>2268</v>
      </c>
      <c r="L172" s="329">
        <v>4407</v>
      </c>
      <c r="M172" s="329">
        <v>3473</v>
      </c>
      <c r="N172" s="329">
        <v>7880</v>
      </c>
      <c r="O172" s="329">
        <v>688</v>
      </c>
      <c r="P172" s="329">
        <v>316</v>
      </c>
      <c r="Q172" s="329">
        <v>1004</v>
      </c>
      <c r="R172" s="329">
        <v>197</v>
      </c>
      <c r="S172" s="329">
        <v>191</v>
      </c>
      <c r="T172" s="329">
        <v>388</v>
      </c>
      <c r="U172" s="329">
        <v>0</v>
      </c>
      <c r="V172" s="329">
        <v>0</v>
      </c>
      <c r="W172" s="329">
        <v>0</v>
      </c>
      <c r="X172" s="330">
        <v>6998</v>
      </c>
      <c r="Y172" s="330">
        <v>4542</v>
      </c>
      <c r="Z172" s="330">
        <v>11540</v>
      </c>
      <c r="AA172" s="13"/>
      <c r="AB172" s="13"/>
    </row>
    <row r="173" spans="2:28" collapsed="1" x14ac:dyDescent="0.25">
      <c r="B173" s="304">
        <v>43800</v>
      </c>
      <c r="C173" s="329">
        <v>0</v>
      </c>
      <c r="D173" s="329">
        <v>0</v>
      </c>
      <c r="E173" s="329">
        <v>0</v>
      </c>
      <c r="F173" s="329">
        <v>0</v>
      </c>
      <c r="G173" s="329">
        <v>0</v>
      </c>
      <c r="H173" s="329">
        <v>0</v>
      </c>
      <c r="I173" s="329">
        <v>2295</v>
      </c>
      <c r="J173" s="329">
        <v>650</v>
      </c>
      <c r="K173" s="329">
        <v>2945</v>
      </c>
      <c r="L173" s="329">
        <v>7261</v>
      </c>
      <c r="M173" s="329">
        <v>6275</v>
      </c>
      <c r="N173" s="329">
        <v>13536</v>
      </c>
      <c r="O173" s="329">
        <v>1152</v>
      </c>
      <c r="P173" s="329">
        <v>509</v>
      </c>
      <c r="Q173" s="329">
        <v>1661</v>
      </c>
      <c r="R173" s="329">
        <v>290</v>
      </c>
      <c r="S173" s="329">
        <v>330</v>
      </c>
      <c r="T173" s="329">
        <v>620</v>
      </c>
      <c r="U173" s="329">
        <v>0</v>
      </c>
      <c r="V173" s="329">
        <v>0</v>
      </c>
      <c r="W173" s="329">
        <v>0</v>
      </c>
      <c r="X173" s="330">
        <v>10998</v>
      </c>
      <c r="Y173" s="330">
        <v>7764</v>
      </c>
      <c r="Z173" s="330">
        <v>18762</v>
      </c>
      <c r="AA173" s="13"/>
      <c r="AB173" s="13"/>
    </row>
    <row r="174" spans="2:28" hidden="1" outlineLevel="1" x14ac:dyDescent="0.25">
      <c r="B174" s="304">
        <v>43831</v>
      </c>
      <c r="C174" s="329">
        <v>0</v>
      </c>
      <c r="D174" s="329">
        <v>0</v>
      </c>
      <c r="E174" s="329">
        <v>0</v>
      </c>
      <c r="F174" s="329">
        <v>0</v>
      </c>
      <c r="G174" s="329">
        <v>0</v>
      </c>
      <c r="H174" s="329">
        <v>0</v>
      </c>
      <c r="I174" s="329">
        <v>2312</v>
      </c>
      <c r="J174" s="329">
        <v>698</v>
      </c>
      <c r="K174" s="329">
        <v>3010</v>
      </c>
      <c r="L174" s="329">
        <v>10259</v>
      </c>
      <c r="M174" s="329">
        <v>9632</v>
      </c>
      <c r="N174" s="329">
        <v>19891</v>
      </c>
      <c r="O174" s="329">
        <v>1196</v>
      </c>
      <c r="P174" s="329">
        <v>557</v>
      </c>
      <c r="Q174" s="329">
        <v>1753</v>
      </c>
      <c r="R174" s="329">
        <v>371</v>
      </c>
      <c r="S174" s="329">
        <v>370</v>
      </c>
      <c r="T174" s="329">
        <v>741</v>
      </c>
      <c r="U174" s="329">
        <v>0</v>
      </c>
      <c r="V174" s="329">
        <v>0</v>
      </c>
      <c r="W174" s="329">
        <v>0</v>
      </c>
      <c r="X174" s="330">
        <v>14138</v>
      </c>
      <c r="Y174" s="330">
        <v>11257</v>
      </c>
      <c r="Z174" s="330">
        <v>25395</v>
      </c>
      <c r="AA174" s="13"/>
      <c r="AB174" s="13"/>
    </row>
    <row r="175" spans="2:28" hidden="1" outlineLevel="1" x14ac:dyDescent="0.25">
      <c r="B175" s="304">
        <v>43862</v>
      </c>
      <c r="C175" s="329">
        <v>0</v>
      </c>
      <c r="D175" s="329">
        <v>0</v>
      </c>
      <c r="E175" s="329">
        <v>0</v>
      </c>
      <c r="F175" s="329">
        <v>0</v>
      </c>
      <c r="G175" s="329">
        <v>0</v>
      </c>
      <c r="H175" s="329">
        <v>0</v>
      </c>
      <c r="I175" s="329">
        <v>1941</v>
      </c>
      <c r="J175" s="329">
        <v>581</v>
      </c>
      <c r="K175" s="329">
        <v>2522</v>
      </c>
      <c r="L175" s="329">
        <v>12901</v>
      </c>
      <c r="M175" s="329">
        <v>11258</v>
      </c>
      <c r="N175" s="329">
        <v>24159</v>
      </c>
      <c r="O175" s="329">
        <v>1061</v>
      </c>
      <c r="P175" s="329">
        <v>498</v>
      </c>
      <c r="Q175" s="329">
        <v>1559</v>
      </c>
      <c r="R175" s="329">
        <v>396</v>
      </c>
      <c r="S175" s="329">
        <v>449</v>
      </c>
      <c r="T175" s="329">
        <v>845</v>
      </c>
      <c r="U175" s="329">
        <v>0</v>
      </c>
      <c r="V175" s="329">
        <v>0</v>
      </c>
      <c r="W175" s="329">
        <v>0</v>
      </c>
      <c r="X175" s="330">
        <v>16299</v>
      </c>
      <c r="Y175" s="330">
        <v>12786</v>
      </c>
      <c r="Z175" s="330">
        <v>29085</v>
      </c>
      <c r="AA175" s="13"/>
      <c r="AB175" s="13"/>
    </row>
    <row r="176" spans="2:28" hidden="1" outlineLevel="1" x14ac:dyDescent="0.25">
      <c r="B176" s="304">
        <v>43891</v>
      </c>
      <c r="C176" s="329">
        <v>0</v>
      </c>
      <c r="D176" s="329">
        <v>0</v>
      </c>
      <c r="E176" s="329">
        <v>0</v>
      </c>
      <c r="F176" s="329">
        <v>0</v>
      </c>
      <c r="G176" s="329">
        <v>0</v>
      </c>
      <c r="H176" s="329">
        <v>0</v>
      </c>
      <c r="I176" s="329">
        <v>1506</v>
      </c>
      <c r="J176" s="329">
        <v>494</v>
      </c>
      <c r="K176" s="329">
        <v>2000</v>
      </c>
      <c r="L176" s="329">
        <v>6539</v>
      </c>
      <c r="M176" s="329">
        <v>6109</v>
      </c>
      <c r="N176" s="329">
        <v>12648</v>
      </c>
      <c r="O176" s="329">
        <v>721</v>
      </c>
      <c r="P176" s="329">
        <v>398</v>
      </c>
      <c r="Q176" s="329">
        <v>1119</v>
      </c>
      <c r="R176" s="329">
        <v>263</v>
      </c>
      <c r="S176" s="329">
        <v>264</v>
      </c>
      <c r="T176" s="329">
        <v>527</v>
      </c>
      <c r="U176" s="329">
        <v>0</v>
      </c>
      <c r="V176" s="329">
        <v>0</v>
      </c>
      <c r="W176" s="329">
        <v>0</v>
      </c>
      <c r="X176" s="330">
        <v>9029</v>
      </c>
      <c r="Y176" s="330">
        <v>7265</v>
      </c>
      <c r="Z176" s="330">
        <v>16294</v>
      </c>
      <c r="AA176" s="13"/>
      <c r="AB176" s="13"/>
    </row>
    <row r="177" spans="2:28" hidden="1" outlineLevel="1" x14ac:dyDescent="0.25">
      <c r="B177" s="304">
        <v>43922</v>
      </c>
      <c r="C177" s="329">
        <v>0</v>
      </c>
      <c r="D177" s="329">
        <v>0</v>
      </c>
      <c r="E177" s="329">
        <v>0</v>
      </c>
      <c r="F177" s="329">
        <v>0</v>
      </c>
      <c r="G177" s="329">
        <v>0</v>
      </c>
      <c r="H177" s="329">
        <v>0</v>
      </c>
      <c r="I177" s="329">
        <v>1007</v>
      </c>
      <c r="J177" s="329">
        <v>361</v>
      </c>
      <c r="K177" s="329">
        <v>1368</v>
      </c>
      <c r="L177" s="329">
        <v>3390</v>
      </c>
      <c r="M177" s="329">
        <v>3427</v>
      </c>
      <c r="N177" s="329">
        <v>6817</v>
      </c>
      <c r="O177" s="329">
        <v>311</v>
      </c>
      <c r="P177" s="329">
        <v>151</v>
      </c>
      <c r="Q177" s="329">
        <v>462</v>
      </c>
      <c r="R177" s="329">
        <v>229</v>
      </c>
      <c r="S177" s="329">
        <v>221</v>
      </c>
      <c r="T177" s="329">
        <v>450</v>
      </c>
      <c r="U177" s="329">
        <v>0</v>
      </c>
      <c r="V177" s="329">
        <v>0</v>
      </c>
      <c r="W177" s="329">
        <v>0</v>
      </c>
      <c r="X177" s="330">
        <v>4937</v>
      </c>
      <c r="Y177" s="330">
        <v>4160</v>
      </c>
      <c r="Z177" s="330">
        <v>9097</v>
      </c>
      <c r="AA177" s="13"/>
      <c r="AB177" s="13"/>
    </row>
    <row r="178" spans="2:28" hidden="1" outlineLevel="1" x14ac:dyDescent="0.25">
      <c r="B178" s="304">
        <v>43952</v>
      </c>
      <c r="C178" s="329">
        <v>0</v>
      </c>
      <c r="D178" s="329">
        <v>0</v>
      </c>
      <c r="E178" s="329">
        <v>0</v>
      </c>
      <c r="F178" s="329">
        <v>0</v>
      </c>
      <c r="G178" s="329">
        <v>0</v>
      </c>
      <c r="H178" s="329">
        <v>0</v>
      </c>
      <c r="I178" s="329">
        <v>1582</v>
      </c>
      <c r="J178" s="329">
        <v>476</v>
      </c>
      <c r="K178" s="329">
        <v>2058</v>
      </c>
      <c r="L178" s="329">
        <v>5247</v>
      </c>
      <c r="M178" s="329">
        <v>5642</v>
      </c>
      <c r="N178" s="329">
        <v>10889</v>
      </c>
      <c r="O178" s="329">
        <v>574</v>
      </c>
      <c r="P178" s="329">
        <v>269</v>
      </c>
      <c r="Q178" s="329">
        <v>843</v>
      </c>
      <c r="R178" s="329">
        <v>380</v>
      </c>
      <c r="S178" s="329">
        <v>338</v>
      </c>
      <c r="T178" s="329">
        <v>718</v>
      </c>
      <c r="U178" s="329">
        <v>0</v>
      </c>
      <c r="V178" s="329">
        <v>0</v>
      </c>
      <c r="W178" s="329">
        <v>0</v>
      </c>
      <c r="X178" s="330">
        <v>7783</v>
      </c>
      <c r="Y178" s="330">
        <v>6725</v>
      </c>
      <c r="Z178" s="330">
        <v>14508</v>
      </c>
      <c r="AA178" s="13"/>
      <c r="AB178" s="13"/>
    </row>
    <row r="179" spans="2:28" hidden="1" outlineLevel="1" x14ac:dyDescent="0.25">
      <c r="B179" s="304">
        <v>43983</v>
      </c>
      <c r="C179" s="329">
        <v>0</v>
      </c>
      <c r="D179" s="329">
        <v>0</v>
      </c>
      <c r="E179" s="329">
        <v>0</v>
      </c>
      <c r="F179" s="329">
        <v>0</v>
      </c>
      <c r="G179" s="329">
        <v>0</v>
      </c>
      <c r="H179" s="329">
        <v>0</v>
      </c>
      <c r="I179" s="329">
        <v>1449</v>
      </c>
      <c r="J179" s="329">
        <v>470</v>
      </c>
      <c r="K179" s="329">
        <v>1919</v>
      </c>
      <c r="L179" s="329">
        <v>4830</v>
      </c>
      <c r="M179" s="329">
        <v>4771</v>
      </c>
      <c r="N179" s="329">
        <v>9601</v>
      </c>
      <c r="O179" s="329">
        <v>503</v>
      </c>
      <c r="P179" s="329">
        <v>270</v>
      </c>
      <c r="Q179" s="329">
        <v>773</v>
      </c>
      <c r="R179" s="329">
        <v>306</v>
      </c>
      <c r="S179" s="329">
        <v>331</v>
      </c>
      <c r="T179" s="329">
        <v>637</v>
      </c>
      <c r="U179" s="329">
        <v>0</v>
      </c>
      <c r="V179" s="329">
        <v>0</v>
      </c>
      <c r="W179" s="329">
        <v>0</v>
      </c>
      <c r="X179" s="330">
        <v>7088</v>
      </c>
      <c r="Y179" s="330">
        <v>5842</v>
      </c>
      <c r="Z179" s="330">
        <v>12930</v>
      </c>
      <c r="AA179" s="13"/>
      <c r="AB179" s="13"/>
    </row>
    <row r="180" spans="2:28" hidden="1" outlineLevel="1" x14ac:dyDescent="0.25">
      <c r="B180" s="304">
        <v>44013</v>
      </c>
      <c r="C180" s="329">
        <v>0</v>
      </c>
      <c r="D180" s="329">
        <v>0</v>
      </c>
      <c r="E180" s="329">
        <v>0</v>
      </c>
      <c r="F180" s="329">
        <v>0</v>
      </c>
      <c r="G180" s="329">
        <v>0</v>
      </c>
      <c r="H180" s="329">
        <v>0</v>
      </c>
      <c r="I180" s="329">
        <v>2138</v>
      </c>
      <c r="J180" s="329">
        <v>678</v>
      </c>
      <c r="K180" s="329">
        <v>2816</v>
      </c>
      <c r="L180" s="329">
        <v>6230</v>
      </c>
      <c r="M180" s="329">
        <v>5184</v>
      </c>
      <c r="N180" s="329">
        <v>11414</v>
      </c>
      <c r="O180" s="329">
        <v>617</v>
      </c>
      <c r="P180" s="329">
        <v>322</v>
      </c>
      <c r="Q180" s="329">
        <v>939</v>
      </c>
      <c r="R180" s="329">
        <v>249</v>
      </c>
      <c r="S180" s="329">
        <v>281</v>
      </c>
      <c r="T180" s="329">
        <v>530</v>
      </c>
      <c r="U180" s="329">
        <v>0</v>
      </c>
      <c r="V180" s="329">
        <v>0</v>
      </c>
      <c r="W180" s="329">
        <v>0</v>
      </c>
      <c r="X180" s="330">
        <v>9234</v>
      </c>
      <c r="Y180" s="330">
        <v>6465</v>
      </c>
      <c r="Z180" s="330">
        <v>15699</v>
      </c>
      <c r="AA180" s="13"/>
      <c r="AB180" s="13"/>
    </row>
    <row r="181" spans="2:28" hidden="1" outlineLevel="1" x14ac:dyDescent="0.25">
      <c r="B181" s="304">
        <v>44044</v>
      </c>
      <c r="C181" s="329">
        <v>0</v>
      </c>
      <c r="D181" s="329">
        <v>0</v>
      </c>
      <c r="E181" s="329">
        <v>0</v>
      </c>
      <c r="F181" s="329">
        <v>0</v>
      </c>
      <c r="G181" s="329">
        <v>0</v>
      </c>
      <c r="H181" s="329">
        <v>0</v>
      </c>
      <c r="I181" s="329">
        <v>2359</v>
      </c>
      <c r="J181" s="329">
        <v>707</v>
      </c>
      <c r="K181" s="329">
        <v>3066</v>
      </c>
      <c r="L181" s="329">
        <v>8006</v>
      </c>
      <c r="M181" s="329">
        <v>6797</v>
      </c>
      <c r="N181" s="329">
        <v>14803</v>
      </c>
      <c r="O181" s="329">
        <v>779</v>
      </c>
      <c r="P181" s="329">
        <v>402</v>
      </c>
      <c r="Q181" s="329">
        <v>1181</v>
      </c>
      <c r="R181" s="329">
        <v>300</v>
      </c>
      <c r="S181" s="329">
        <v>327</v>
      </c>
      <c r="T181" s="329">
        <v>627</v>
      </c>
      <c r="U181" s="329">
        <v>0</v>
      </c>
      <c r="V181" s="329">
        <v>0</v>
      </c>
      <c r="W181" s="329">
        <v>0</v>
      </c>
      <c r="X181" s="330">
        <v>11444</v>
      </c>
      <c r="Y181" s="330">
        <v>8233</v>
      </c>
      <c r="Z181" s="330">
        <v>19677</v>
      </c>
      <c r="AA181" s="13"/>
      <c r="AB181" s="13"/>
    </row>
    <row r="182" spans="2:28" hidden="1" outlineLevel="1" x14ac:dyDescent="0.25">
      <c r="B182" s="304">
        <v>44075</v>
      </c>
      <c r="C182" s="329">
        <v>0</v>
      </c>
      <c r="D182" s="329">
        <v>0</v>
      </c>
      <c r="E182" s="329">
        <v>0</v>
      </c>
      <c r="F182" s="329">
        <v>0</v>
      </c>
      <c r="G182" s="329">
        <v>0</v>
      </c>
      <c r="H182" s="329">
        <v>0</v>
      </c>
      <c r="I182" s="329">
        <v>2368</v>
      </c>
      <c r="J182" s="329">
        <v>642</v>
      </c>
      <c r="K182" s="329">
        <v>3010</v>
      </c>
      <c r="L182" s="329">
        <v>8207</v>
      </c>
      <c r="M182" s="329">
        <v>6206</v>
      </c>
      <c r="N182" s="329">
        <v>14413</v>
      </c>
      <c r="O182" s="329">
        <v>902</v>
      </c>
      <c r="P182" s="329">
        <v>520</v>
      </c>
      <c r="Q182" s="329">
        <v>1422</v>
      </c>
      <c r="R182" s="329">
        <v>334</v>
      </c>
      <c r="S182" s="329">
        <v>398</v>
      </c>
      <c r="T182" s="329">
        <v>732</v>
      </c>
      <c r="U182" s="329">
        <v>0</v>
      </c>
      <c r="V182" s="329">
        <v>0</v>
      </c>
      <c r="W182" s="329">
        <v>0</v>
      </c>
      <c r="X182" s="330">
        <v>11811</v>
      </c>
      <c r="Y182" s="330">
        <v>7766</v>
      </c>
      <c r="Z182" s="330">
        <v>19577</v>
      </c>
      <c r="AA182" s="13"/>
      <c r="AB182" s="13"/>
    </row>
    <row r="183" spans="2:28" hidden="1" outlineLevel="1" x14ac:dyDescent="0.25">
      <c r="B183" s="304">
        <v>44105</v>
      </c>
      <c r="C183" s="329">
        <v>0</v>
      </c>
      <c r="D183" s="329">
        <v>0</v>
      </c>
      <c r="E183" s="329">
        <v>0</v>
      </c>
      <c r="F183" s="329">
        <v>0</v>
      </c>
      <c r="G183" s="329">
        <v>0</v>
      </c>
      <c r="H183" s="329">
        <v>0</v>
      </c>
      <c r="I183" s="329">
        <v>2462</v>
      </c>
      <c r="J183" s="329">
        <v>773</v>
      </c>
      <c r="K183" s="329">
        <v>3235</v>
      </c>
      <c r="L183" s="329">
        <v>8846</v>
      </c>
      <c r="M183" s="329">
        <v>6567</v>
      </c>
      <c r="N183" s="329">
        <v>15413</v>
      </c>
      <c r="O183" s="329">
        <v>1230</v>
      </c>
      <c r="P183" s="329">
        <v>581</v>
      </c>
      <c r="Q183" s="329">
        <v>1811</v>
      </c>
      <c r="R183" s="329">
        <v>365</v>
      </c>
      <c r="S183" s="329">
        <v>470</v>
      </c>
      <c r="T183" s="329">
        <v>835</v>
      </c>
      <c r="U183" s="329">
        <v>0</v>
      </c>
      <c r="V183" s="329">
        <v>0</v>
      </c>
      <c r="W183" s="329">
        <v>0</v>
      </c>
      <c r="X183" s="330">
        <v>12903</v>
      </c>
      <c r="Y183" s="330">
        <v>8391</v>
      </c>
      <c r="Z183" s="330">
        <v>21294</v>
      </c>
      <c r="AA183" s="13"/>
      <c r="AB183" s="13"/>
    </row>
    <row r="184" spans="2:28" hidden="1" outlineLevel="1" x14ac:dyDescent="0.25">
      <c r="B184" s="304">
        <v>44136</v>
      </c>
      <c r="C184" s="329">
        <v>0</v>
      </c>
      <c r="D184" s="329">
        <v>0</v>
      </c>
      <c r="E184" s="329">
        <v>0</v>
      </c>
      <c r="F184" s="329">
        <v>0</v>
      </c>
      <c r="G184" s="329">
        <v>0</v>
      </c>
      <c r="H184" s="329">
        <v>0</v>
      </c>
      <c r="I184" s="329">
        <v>2171</v>
      </c>
      <c r="J184" s="329">
        <v>688</v>
      </c>
      <c r="K184" s="329">
        <v>2859</v>
      </c>
      <c r="L184" s="329">
        <v>7924</v>
      </c>
      <c r="M184" s="329">
        <v>6059</v>
      </c>
      <c r="N184" s="329">
        <v>13983</v>
      </c>
      <c r="O184" s="329">
        <v>1079</v>
      </c>
      <c r="P184" s="329">
        <v>523</v>
      </c>
      <c r="Q184" s="329">
        <v>1602</v>
      </c>
      <c r="R184" s="329">
        <v>287</v>
      </c>
      <c r="S184" s="329">
        <v>318</v>
      </c>
      <c r="T184" s="329">
        <v>605</v>
      </c>
      <c r="U184" s="329">
        <v>0</v>
      </c>
      <c r="V184" s="329">
        <v>0</v>
      </c>
      <c r="W184" s="329">
        <v>0</v>
      </c>
      <c r="X184" s="330">
        <v>11461</v>
      </c>
      <c r="Y184" s="330">
        <v>7588</v>
      </c>
      <c r="Z184" s="330">
        <v>19049</v>
      </c>
      <c r="AA184" s="13"/>
      <c r="AB184" s="13"/>
    </row>
    <row r="185" spans="2:28" collapsed="1" x14ac:dyDescent="0.25">
      <c r="B185" s="304">
        <v>44166</v>
      </c>
      <c r="C185" s="329">
        <v>0</v>
      </c>
      <c r="D185" s="329">
        <v>0</v>
      </c>
      <c r="E185" s="329">
        <v>0</v>
      </c>
      <c r="F185" s="329">
        <v>0</v>
      </c>
      <c r="G185" s="329">
        <v>0</v>
      </c>
      <c r="H185" s="329">
        <v>0</v>
      </c>
      <c r="I185" s="329">
        <v>2042</v>
      </c>
      <c r="J185" s="329">
        <v>584</v>
      </c>
      <c r="K185" s="329">
        <v>2626</v>
      </c>
      <c r="L185" s="329">
        <v>6956</v>
      </c>
      <c r="M185" s="329">
        <v>5594</v>
      </c>
      <c r="N185" s="329">
        <v>12550</v>
      </c>
      <c r="O185" s="329">
        <v>1029</v>
      </c>
      <c r="P185" s="329">
        <v>515</v>
      </c>
      <c r="Q185" s="329">
        <v>1544</v>
      </c>
      <c r="R185" s="329">
        <v>234</v>
      </c>
      <c r="S185" s="329">
        <v>257</v>
      </c>
      <c r="T185" s="329">
        <v>491</v>
      </c>
      <c r="U185" s="329">
        <v>0</v>
      </c>
      <c r="V185" s="329">
        <v>0</v>
      </c>
      <c r="W185" s="329">
        <v>0</v>
      </c>
      <c r="X185" s="330">
        <v>10261</v>
      </c>
      <c r="Y185" s="330">
        <v>6950</v>
      </c>
      <c r="Z185" s="330">
        <v>17211</v>
      </c>
      <c r="AA185" s="13"/>
      <c r="AB185" s="13"/>
    </row>
    <row r="186" spans="2:28" hidden="1" outlineLevel="1" x14ac:dyDescent="0.25">
      <c r="B186" s="304">
        <v>44197</v>
      </c>
      <c r="C186" s="329">
        <v>0</v>
      </c>
      <c r="D186" s="329">
        <v>0</v>
      </c>
      <c r="E186" s="329">
        <v>0</v>
      </c>
      <c r="F186" s="329">
        <v>0</v>
      </c>
      <c r="G186" s="329">
        <v>0</v>
      </c>
      <c r="H186" s="329">
        <v>0</v>
      </c>
      <c r="I186" s="329">
        <v>2022</v>
      </c>
      <c r="J186" s="329">
        <v>604</v>
      </c>
      <c r="K186" s="329">
        <v>2626</v>
      </c>
      <c r="L186" s="329">
        <v>7345</v>
      </c>
      <c r="M186" s="329">
        <v>5352</v>
      </c>
      <c r="N186" s="329">
        <v>12697</v>
      </c>
      <c r="O186" s="329">
        <v>1166</v>
      </c>
      <c r="P186" s="329">
        <v>720</v>
      </c>
      <c r="Q186" s="329">
        <v>1886</v>
      </c>
      <c r="R186" s="329">
        <v>428</v>
      </c>
      <c r="S186" s="329">
        <v>517</v>
      </c>
      <c r="T186" s="329">
        <v>945</v>
      </c>
      <c r="U186" s="329">
        <v>0</v>
      </c>
      <c r="V186" s="329">
        <v>0</v>
      </c>
      <c r="W186" s="329">
        <v>0</v>
      </c>
      <c r="X186" s="330">
        <v>10961</v>
      </c>
      <c r="Y186" s="330">
        <v>7193</v>
      </c>
      <c r="Z186" s="330">
        <v>18154</v>
      </c>
      <c r="AA186" s="13"/>
      <c r="AB186" s="13"/>
    </row>
    <row r="187" spans="2:28" hidden="1" outlineLevel="1" x14ac:dyDescent="0.25">
      <c r="B187" s="304">
        <v>44228</v>
      </c>
      <c r="C187" s="329">
        <v>0</v>
      </c>
      <c r="D187" s="329">
        <v>0</v>
      </c>
      <c r="E187" s="329">
        <v>0</v>
      </c>
      <c r="F187" s="329">
        <v>0</v>
      </c>
      <c r="G187" s="329">
        <v>0</v>
      </c>
      <c r="H187" s="329">
        <v>0</v>
      </c>
      <c r="I187" s="329">
        <v>1834</v>
      </c>
      <c r="J187" s="329">
        <v>519</v>
      </c>
      <c r="K187" s="329">
        <v>2353</v>
      </c>
      <c r="L187" s="329">
        <v>6860</v>
      </c>
      <c r="M187" s="329">
        <v>5345</v>
      </c>
      <c r="N187" s="329">
        <v>12205</v>
      </c>
      <c r="O187" s="329">
        <v>1033</v>
      </c>
      <c r="P187" s="329">
        <v>574</v>
      </c>
      <c r="Q187" s="329">
        <v>1607</v>
      </c>
      <c r="R187" s="329">
        <v>402</v>
      </c>
      <c r="S187" s="329">
        <v>460</v>
      </c>
      <c r="T187" s="329">
        <v>862</v>
      </c>
      <c r="U187" s="329">
        <v>0</v>
      </c>
      <c r="V187" s="329">
        <v>0</v>
      </c>
      <c r="W187" s="329">
        <v>0</v>
      </c>
      <c r="X187" s="330">
        <v>10129</v>
      </c>
      <c r="Y187" s="330">
        <v>6898</v>
      </c>
      <c r="Z187" s="330">
        <v>17027</v>
      </c>
      <c r="AA187" s="13"/>
      <c r="AB187" s="13"/>
    </row>
    <row r="188" spans="2:28" hidden="1" outlineLevel="1" x14ac:dyDescent="0.25">
      <c r="B188" s="304">
        <v>44256</v>
      </c>
      <c r="C188" s="329">
        <v>0</v>
      </c>
      <c r="D188" s="329">
        <v>0</v>
      </c>
      <c r="E188" s="329">
        <v>0</v>
      </c>
      <c r="F188" s="329">
        <v>0</v>
      </c>
      <c r="G188" s="329">
        <v>0</v>
      </c>
      <c r="H188" s="329">
        <v>0</v>
      </c>
      <c r="I188" s="329">
        <v>1992</v>
      </c>
      <c r="J188" s="329">
        <v>686</v>
      </c>
      <c r="K188" s="329">
        <v>2678</v>
      </c>
      <c r="L188" s="329">
        <v>7991</v>
      </c>
      <c r="M188" s="329">
        <v>6603</v>
      </c>
      <c r="N188" s="329">
        <v>14594</v>
      </c>
      <c r="O188" s="329">
        <v>1277</v>
      </c>
      <c r="P188" s="329">
        <v>654</v>
      </c>
      <c r="Q188" s="329">
        <v>1931</v>
      </c>
      <c r="R188" s="329">
        <v>1205</v>
      </c>
      <c r="S188" s="329">
        <v>1595</v>
      </c>
      <c r="T188" s="329">
        <v>2800</v>
      </c>
      <c r="U188" s="329">
        <v>0</v>
      </c>
      <c r="V188" s="329">
        <v>0</v>
      </c>
      <c r="W188" s="329">
        <v>0</v>
      </c>
      <c r="X188" s="330">
        <v>12465</v>
      </c>
      <c r="Y188" s="330">
        <v>9538</v>
      </c>
      <c r="Z188" s="330">
        <v>22003</v>
      </c>
      <c r="AA188" s="13"/>
      <c r="AB188" s="13"/>
    </row>
    <row r="189" spans="2:28" hidden="1" outlineLevel="1" x14ac:dyDescent="0.25">
      <c r="B189" s="304">
        <v>44287</v>
      </c>
      <c r="C189" s="329">
        <v>0</v>
      </c>
      <c r="D189" s="329">
        <v>0</v>
      </c>
      <c r="E189" s="329">
        <v>0</v>
      </c>
      <c r="F189" s="329">
        <v>0</v>
      </c>
      <c r="G189" s="329">
        <v>0</v>
      </c>
      <c r="H189" s="329">
        <v>0</v>
      </c>
      <c r="I189" s="329">
        <v>2259</v>
      </c>
      <c r="J189" s="329">
        <v>694</v>
      </c>
      <c r="K189" s="329">
        <v>2953</v>
      </c>
      <c r="L189" s="329">
        <v>7730</v>
      </c>
      <c r="M189" s="329">
        <v>6023</v>
      </c>
      <c r="N189" s="329">
        <v>13753</v>
      </c>
      <c r="O189" s="329">
        <v>1437</v>
      </c>
      <c r="P189" s="329">
        <v>690</v>
      </c>
      <c r="Q189" s="329">
        <v>2127</v>
      </c>
      <c r="R189" s="329">
        <v>1351</v>
      </c>
      <c r="S189" s="329">
        <v>1712</v>
      </c>
      <c r="T189" s="329">
        <v>3063</v>
      </c>
      <c r="U189" s="329">
        <v>0</v>
      </c>
      <c r="V189" s="329">
        <v>0</v>
      </c>
      <c r="W189" s="329">
        <v>0</v>
      </c>
      <c r="X189" s="330">
        <v>12777</v>
      </c>
      <c r="Y189" s="330">
        <v>9119</v>
      </c>
      <c r="Z189" s="330">
        <v>21896</v>
      </c>
      <c r="AA189" s="13"/>
      <c r="AB189" s="13"/>
    </row>
    <row r="190" spans="2:28" hidden="1" outlineLevel="1" x14ac:dyDescent="0.25">
      <c r="B190" s="304">
        <v>44317</v>
      </c>
      <c r="C190" s="329">
        <v>0</v>
      </c>
      <c r="D190" s="329">
        <v>0</v>
      </c>
      <c r="E190" s="329">
        <v>0</v>
      </c>
      <c r="F190" s="329">
        <v>0</v>
      </c>
      <c r="G190" s="329">
        <v>0</v>
      </c>
      <c r="H190" s="329">
        <v>0</v>
      </c>
      <c r="I190" s="329">
        <v>2499</v>
      </c>
      <c r="J190" s="329">
        <v>847</v>
      </c>
      <c r="K190" s="329">
        <v>3346</v>
      </c>
      <c r="L190" s="329">
        <v>7824</v>
      </c>
      <c r="M190" s="329">
        <v>5905</v>
      </c>
      <c r="N190" s="329">
        <v>13729</v>
      </c>
      <c r="O190" s="329">
        <v>1460</v>
      </c>
      <c r="P190" s="329">
        <v>817</v>
      </c>
      <c r="Q190" s="329">
        <v>2277</v>
      </c>
      <c r="R190" s="329">
        <v>873</v>
      </c>
      <c r="S190" s="329">
        <v>1246</v>
      </c>
      <c r="T190" s="329">
        <v>2119</v>
      </c>
      <c r="U190" s="329">
        <v>0</v>
      </c>
      <c r="V190" s="329">
        <v>0</v>
      </c>
      <c r="W190" s="329">
        <v>0</v>
      </c>
      <c r="X190" s="330">
        <v>12656</v>
      </c>
      <c r="Y190" s="330">
        <v>8815</v>
      </c>
      <c r="Z190" s="330">
        <v>21471</v>
      </c>
      <c r="AA190" s="13"/>
      <c r="AB190" s="13"/>
    </row>
    <row r="191" spans="2:28" hidden="1" outlineLevel="1" x14ac:dyDescent="0.25">
      <c r="B191" s="304">
        <v>44348</v>
      </c>
      <c r="C191" s="329">
        <v>0</v>
      </c>
      <c r="D191" s="329">
        <v>0</v>
      </c>
      <c r="E191" s="329">
        <v>0</v>
      </c>
      <c r="F191" s="329">
        <v>0</v>
      </c>
      <c r="G191" s="329">
        <v>0</v>
      </c>
      <c r="H191" s="329">
        <v>0</v>
      </c>
      <c r="I191" s="329">
        <v>2691</v>
      </c>
      <c r="J191" s="329">
        <v>908</v>
      </c>
      <c r="K191" s="329">
        <v>3599</v>
      </c>
      <c r="L191" s="329">
        <v>7728</v>
      </c>
      <c r="M191" s="329">
        <v>5769</v>
      </c>
      <c r="N191" s="329">
        <v>13497</v>
      </c>
      <c r="O191" s="329">
        <v>1392</v>
      </c>
      <c r="P191" s="329">
        <v>733</v>
      </c>
      <c r="Q191" s="329">
        <v>2125</v>
      </c>
      <c r="R191" s="329">
        <v>707</v>
      </c>
      <c r="S191" s="329">
        <v>1031</v>
      </c>
      <c r="T191" s="329">
        <v>1738</v>
      </c>
      <c r="U191" s="329">
        <v>0</v>
      </c>
      <c r="V191" s="329">
        <v>0</v>
      </c>
      <c r="W191" s="329">
        <v>0</v>
      </c>
      <c r="X191" s="330">
        <v>12518</v>
      </c>
      <c r="Y191" s="330">
        <v>8441</v>
      </c>
      <c r="Z191" s="330">
        <v>20959</v>
      </c>
      <c r="AA191" s="13"/>
      <c r="AB191" s="13"/>
    </row>
    <row r="192" spans="2:28" hidden="1" outlineLevel="1" x14ac:dyDescent="0.25">
      <c r="B192" s="304">
        <v>44378</v>
      </c>
      <c r="C192" s="329">
        <v>0</v>
      </c>
      <c r="D192" s="329">
        <v>0</v>
      </c>
      <c r="E192" s="329">
        <v>0</v>
      </c>
      <c r="F192" s="329">
        <v>0</v>
      </c>
      <c r="G192" s="329">
        <v>0</v>
      </c>
      <c r="H192" s="329">
        <v>0</v>
      </c>
      <c r="I192" s="329">
        <v>3028</v>
      </c>
      <c r="J192" s="329">
        <v>1090</v>
      </c>
      <c r="K192" s="329">
        <v>4118</v>
      </c>
      <c r="L192" s="329">
        <v>9141</v>
      </c>
      <c r="M192" s="329">
        <v>6681</v>
      </c>
      <c r="N192" s="329">
        <v>15822</v>
      </c>
      <c r="O192" s="329">
        <v>1586</v>
      </c>
      <c r="P192" s="329">
        <v>823</v>
      </c>
      <c r="Q192" s="329">
        <v>2409</v>
      </c>
      <c r="R192" s="329">
        <v>632</v>
      </c>
      <c r="S192" s="329">
        <v>977</v>
      </c>
      <c r="T192" s="329">
        <v>1609</v>
      </c>
      <c r="U192" s="329">
        <v>0</v>
      </c>
      <c r="V192" s="329">
        <v>0</v>
      </c>
      <c r="W192" s="329">
        <v>0</v>
      </c>
      <c r="X192" s="330">
        <v>14387</v>
      </c>
      <c r="Y192" s="330">
        <v>9571</v>
      </c>
      <c r="Z192" s="330">
        <v>23958</v>
      </c>
      <c r="AA192" s="13"/>
      <c r="AB192" s="13"/>
    </row>
    <row r="193" spans="2:28" hidden="1" outlineLevel="1" x14ac:dyDescent="0.25">
      <c r="B193" s="304">
        <v>44409</v>
      </c>
      <c r="C193" s="329">
        <v>0</v>
      </c>
      <c r="D193" s="329">
        <v>0</v>
      </c>
      <c r="E193" s="329">
        <v>0</v>
      </c>
      <c r="F193" s="329">
        <v>0</v>
      </c>
      <c r="G193" s="329">
        <v>0</v>
      </c>
      <c r="H193" s="329">
        <v>0</v>
      </c>
      <c r="I193" s="329">
        <v>3101</v>
      </c>
      <c r="J193" s="329">
        <v>1197</v>
      </c>
      <c r="K193" s="329">
        <v>4298</v>
      </c>
      <c r="L193" s="329">
        <v>10242</v>
      </c>
      <c r="M193" s="329">
        <v>7981</v>
      </c>
      <c r="N193" s="329">
        <v>18223</v>
      </c>
      <c r="O193" s="329">
        <v>1720</v>
      </c>
      <c r="P193" s="329">
        <v>921</v>
      </c>
      <c r="Q193" s="329">
        <v>2641</v>
      </c>
      <c r="R193" s="329">
        <v>646</v>
      </c>
      <c r="S193" s="329">
        <v>907</v>
      </c>
      <c r="T193" s="329">
        <v>1553</v>
      </c>
      <c r="U193" s="329">
        <v>0</v>
      </c>
      <c r="V193" s="329">
        <v>0</v>
      </c>
      <c r="W193" s="329">
        <v>0</v>
      </c>
      <c r="X193" s="330">
        <v>15709</v>
      </c>
      <c r="Y193" s="330">
        <v>11006</v>
      </c>
      <c r="Z193" s="330">
        <v>26715</v>
      </c>
      <c r="AA193" s="13"/>
      <c r="AB193" s="13"/>
    </row>
    <row r="194" spans="2:28" hidden="1" outlineLevel="1" x14ac:dyDescent="0.25">
      <c r="B194" s="304">
        <v>44440</v>
      </c>
      <c r="C194" s="329">
        <v>0</v>
      </c>
      <c r="D194" s="329">
        <v>0</v>
      </c>
      <c r="E194" s="329">
        <v>0</v>
      </c>
      <c r="F194" s="329">
        <v>0</v>
      </c>
      <c r="G194" s="329">
        <v>0</v>
      </c>
      <c r="H194" s="329">
        <v>0</v>
      </c>
      <c r="I194" s="329">
        <v>3311</v>
      </c>
      <c r="J194" s="329">
        <v>1220</v>
      </c>
      <c r="K194" s="329">
        <v>4531</v>
      </c>
      <c r="L194" s="329">
        <v>11148</v>
      </c>
      <c r="M194" s="329">
        <v>8667</v>
      </c>
      <c r="N194" s="329">
        <v>19815</v>
      </c>
      <c r="O194" s="329">
        <v>1584</v>
      </c>
      <c r="P194" s="329">
        <v>746</v>
      </c>
      <c r="Q194" s="329">
        <v>2330</v>
      </c>
      <c r="R194" s="329">
        <v>603</v>
      </c>
      <c r="S194" s="329">
        <v>841</v>
      </c>
      <c r="T194" s="329">
        <v>1444</v>
      </c>
      <c r="U194" s="329">
        <v>0</v>
      </c>
      <c r="V194" s="329">
        <v>0</v>
      </c>
      <c r="W194" s="329">
        <v>0</v>
      </c>
      <c r="X194" s="330">
        <v>16646</v>
      </c>
      <c r="Y194" s="330">
        <v>11474</v>
      </c>
      <c r="Z194" s="330">
        <v>28120</v>
      </c>
      <c r="AA194" s="13"/>
      <c r="AB194" s="13"/>
    </row>
    <row r="195" spans="2:28" hidden="1" outlineLevel="1" x14ac:dyDescent="0.25">
      <c r="B195" s="304">
        <v>44470</v>
      </c>
      <c r="C195" s="329">
        <v>0</v>
      </c>
      <c r="D195" s="329">
        <v>0</v>
      </c>
      <c r="E195" s="329">
        <v>0</v>
      </c>
      <c r="F195" s="329">
        <v>0</v>
      </c>
      <c r="G195" s="329">
        <v>0</v>
      </c>
      <c r="H195" s="329">
        <v>0</v>
      </c>
      <c r="I195" s="329">
        <v>2513</v>
      </c>
      <c r="J195" s="329">
        <v>964</v>
      </c>
      <c r="K195" s="329">
        <v>3477</v>
      </c>
      <c r="L195" s="329">
        <v>9979</v>
      </c>
      <c r="M195" s="329">
        <v>7722</v>
      </c>
      <c r="N195" s="329">
        <v>17701</v>
      </c>
      <c r="O195" s="329">
        <v>1686</v>
      </c>
      <c r="P195" s="329">
        <v>775</v>
      </c>
      <c r="Q195" s="329">
        <v>2461</v>
      </c>
      <c r="R195" s="329">
        <v>562</v>
      </c>
      <c r="S195" s="329">
        <v>873</v>
      </c>
      <c r="T195" s="329">
        <v>1435</v>
      </c>
      <c r="U195" s="329">
        <v>0</v>
      </c>
      <c r="V195" s="329">
        <v>0</v>
      </c>
      <c r="W195" s="329">
        <v>0</v>
      </c>
      <c r="X195" s="330">
        <v>14740</v>
      </c>
      <c r="Y195" s="330">
        <v>10334</v>
      </c>
      <c r="Z195" s="330">
        <v>25074</v>
      </c>
      <c r="AA195" s="13"/>
      <c r="AB195" s="13"/>
    </row>
    <row r="196" spans="2:28" hidden="1" outlineLevel="1" x14ac:dyDescent="0.25">
      <c r="B196" s="304">
        <v>44501</v>
      </c>
      <c r="C196" s="329">
        <v>0</v>
      </c>
      <c r="D196" s="329">
        <v>0</v>
      </c>
      <c r="E196" s="329">
        <v>0</v>
      </c>
      <c r="F196" s="329">
        <v>0</v>
      </c>
      <c r="G196" s="329">
        <v>0</v>
      </c>
      <c r="H196" s="329">
        <v>0</v>
      </c>
      <c r="I196" s="329">
        <v>2877</v>
      </c>
      <c r="J196" s="329">
        <v>1010</v>
      </c>
      <c r="K196" s="329">
        <v>3887</v>
      </c>
      <c r="L196" s="329">
        <v>11627</v>
      </c>
      <c r="M196" s="329">
        <v>8528</v>
      </c>
      <c r="N196" s="329">
        <v>20155</v>
      </c>
      <c r="O196" s="329">
        <v>1847</v>
      </c>
      <c r="P196" s="329">
        <v>810</v>
      </c>
      <c r="Q196" s="329">
        <v>2657</v>
      </c>
      <c r="R196" s="329">
        <v>575</v>
      </c>
      <c r="S196" s="329">
        <v>923</v>
      </c>
      <c r="T196" s="329">
        <v>1498</v>
      </c>
      <c r="U196" s="329">
        <v>0</v>
      </c>
      <c r="V196" s="329">
        <v>0</v>
      </c>
      <c r="W196" s="329">
        <v>0</v>
      </c>
      <c r="X196" s="330">
        <v>16926</v>
      </c>
      <c r="Y196" s="330">
        <v>11271</v>
      </c>
      <c r="Z196" s="330">
        <v>28197</v>
      </c>
      <c r="AA196" s="13"/>
      <c r="AB196" s="13"/>
    </row>
    <row r="197" spans="2:28" collapsed="1" x14ac:dyDescent="0.25">
      <c r="B197" s="304">
        <v>44531</v>
      </c>
      <c r="C197" s="329">
        <v>0</v>
      </c>
      <c r="D197" s="329">
        <v>0</v>
      </c>
      <c r="E197" s="329">
        <v>0</v>
      </c>
      <c r="F197" s="329">
        <v>0</v>
      </c>
      <c r="G197" s="329">
        <v>0</v>
      </c>
      <c r="H197" s="329">
        <v>0</v>
      </c>
      <c r="I197" s="329">
        <v>2758</v>
      </c>
      <c r="J197" s="329">
        <v>1031</v>
      </c>
      <c r="K197" s="329">
        <v>3789</v>
      </c>
      <c r="L197" s="329">
        <v>10345</v>
      </c>
      <c r="M197" s="329">
        <v>8552</v>
      </c>
      <c r="N197" s="329">
        <v>18897</v>
      </c>
      <c r="O197" s="329">
        <v>1737</v>
      </c>
      <c r="P197" s="329">
        <v>773</v>
      </c>
      <c r="Q197" s="329">
        <v>2510</v>
      </c>
      <c r="R197" s="329">
        <v>606</v>
      </c>
      <c r="S197" s="329">
        <v>846</v>
      </c>
      <c r="T197" s="329">
        <v>1452</v>
      </c>
      <c r="U197" s="329">
        <v>0</v>
      </c>
      <c r="V197" s="329">
        <v>0</v>
      </c>
      <c r="W197" s="329">
        <v>0</v>
      </c>
      <c r="X197" s="330">
        <v>15446</v>
      </c>
      <c r="Y197" s="330">
        <v>11202</v>
      </c>
      <c r="Z197" s="330">
        <v>26648</v>
      </c>
      <c r="AA197" s="13"/>
      <c r="AB197" s="13"/>
    </row>
    <row r="198" spans="2:28" hidden="1" outlineLevel="1" x14ac:dyDescent="0.25">
      <c r="B198" s="304">
        <v>44562</v>
      </c>
      <c r="C198" s="329">
        <v>0</v>
      </c>
      <c r="D198" s="329">
        <v>0</v>
      </c>
      <c r="E198" s="329">
        <v>0</v>
      </c>
      <c r="F198" s="329">
        <v>0</v>
      </c>
      <c r="G198" s="329">
        <v>0</v>
      </c>
      <c r="H198" s="329">
        <v>0</v>
      </c>
      <c r="I198" s="329">
        <v>3626</v>
      </c>
      <c r="J198" s="329">
        <v>1269</v>
      </c>
      <c r="K198" s="329">
        <v>4895</v>
      </c>
      <c r="L198" s="329">
        <v>11678</v>
      </c>
      <c r="M198" s="329">
        <v>10281</v>
      </c>
      <c r="N198" s="329">
        <v>21959</v>
      </c>
      <c r="O198" s="329">
        <v>2260</v>
      </c>
      <c r="P198" s="329">
        <v>937</v>
      </c>
      <c r="Q198" s="329">
        <v>3197</v>
      </c>
      <c r="R198" s="329">
        <v>684</v>
      </c>
      <c r="S198" s="329">
        <v>879</v>
      </c>
      <c r="T198" s="329">
        <v>1563</v>
      </c>
      <c r="U198" s="329">
        <v>0</v>
      </c>
      <c r="V198" s="329">
        <v>0</v>
      </c>
      <c r="W198" s="329">
        <v>0</v>
      </c>
      <c r="X198" s="330">
        <v>18248</v>
      </c>
      <c r="Y198" s="330">
        <v>13366</v>
      </c>
      <c r="Z198" s="330">
        <v>31614</v>
      </c>
      <c r="AA198" s="13"/>
      <c r="AB198" s="13"/>
    </row>
    <row r="199" spans="2:28" hidden="1" outlineLevel="1" x14ac:dyDescent="0.25">
      <c r="B199" s="304">
        <v>44593</v>
      </c>
      <c r="C199" s="329">
        <v>7705</v>
      </c>
      <c r="D199" s="329">
        <v>2470</v>
      </c>
      <c r="E199" s="329">
        <v>10175</v>
      </c>
      <c r="F199" s="329">
        <v>68279</v>
      </c>
      <c r="G199" s="329">
        <v>70760</v>
      </c>
      <c r="H199" s="329">
        <v>139039</v>
      </c>
      <c r="I199" s="329">
        <v>0</v>
      </c>
      <c r="J199" s="329">
        <v>0</v>
      </c>
      <c r="K199" s="329">
        <v>0</v>
      </c>
      <c r="L199" s="329">
        <v>0</v>
      </c>
      <c r="M199" s="329">
        <v>0</v>
      </c>
      <c r="N199" s="329">
        <v>0</v>
      </c>
      <c r="O199" s="329">
        <v>1999</v>
      </c>
      <c r="P199" s="329">
        <v>988</v>
      </c>
      <c r="Q199" s="329">
        <v>2987</v>
      </c>
      <c r="R199" s="329">
        <v>1322</v>
      </c>
      <c r="S199" s="329">
        <v>2031</v>
      </c>
      <c r="T199" s="329">
        <v>3353</v>
      </c>
      <c r="U199" s="329">
        <v>0</v>
      </c>
      <c r="V199" s="329">
        <v>0</v>
      </c>
      <c r="W199" s="329">
        <v>0</v>
      </c>
      <c r="X199" s="330">
        <v>79305</v>
      </c>
      <c r="Y199" s="330">
        <v>76249</v>
      </c>
      <c r="Z199" s="330">
        <v>155554</v>
      </c>
      <c r="AA199" s="13"/>
      <c r="AB199" s="13"/>
    </row>
    <row r="200" spans="2:28" hidden="1" outlineLevel="1" x14ac:dyDescent="0.25">
      <c r="B200" s="304">
        <v>44621</v>
      </c>
      <c r="C200" s="329">
        <v>1839</v>
      </c>
      <c r="D200" s="329">
        <v>1084</v>
      </c>
      <c r="E200" s="329">
        <v>2923</v>
      </c>
      <c r="F200" s="329">
        <v>26323</v>
      </c>
      <c r="G200" s="329">
        <v>28650</v>
      </c>
      <c r="H200" s="329">
        <v>54973</v>
      </c>
      <c r="I200" s="329">
        <v>0</v>
      </c>
      <c r="J200" s="329">
        <v>0</v>
      </c>
      <c r="K200" s="329">
        <v>0</v>
      </c>
      <c r="L200" s="329">
        <v>0</v>
      </c>
      <c r="M200" s="329">
        <v>0</v>
      </c>
      <c r="N200" s="329">
        <v>0</v>
      </c>
      <c r="O200" s="329">
        <v>2329</v>
      </c>
      <c r="P200" s="329">
        <v>1083</v>
      </c>
      <c r="Q200" s="329">
        <v>3412</v>
      </c>
      <c r="R200" s="329">
        <v>768</v>
      </c>
      <c r="S200" s="329">
        <v>1171</v>
      </c>
      <c r="T200" s="329">
        <v>1939</v>
      </c>
      <c r="U200" s="329">
        <v>0</v>
      </c>
      <c r="V200" s="329">
        <v>0</v>
      </c>
      <c r="W200" s="329">
        <v>0</v>
      </c>
      <c r="X200" s="330">
        <v>31259</v>
      </c>
      <c r="Y200" s="330">
        <v>31988</v>
      </c>
      <c r="Z200" s="330">
        <v>63247</v>
      </c>
      <c r="AA200" s="13"/>
      <c r="AB200" s="13"/>
    </row>
    <row r="201" spans="2:28" hidden="1" outlineLevel="1" x14ac:dyDescent="0.25">
      <c r="B201" s="304">
        <v>44652</v>
      </c>
      <c r="C201" s="329">
        <v>2131</v>
      </c>
      <c r="D201" s="329">
        <v>1473</v>
      </c>
      <c r="E201" s="329">
        <v>3604</v>
      </c>
      <c r="F201" s="329">
        <v>15390</v>
      </c>
      <c r="G201" s="329">
        <v>17696</v>
      </c>
      <c r="H201" s="329">
        <v>33086</v>
      </c>
      <c r="I201" s="329">
        <v>0</v>
      </c>
      <c r="J201" s="329">
        <v>0</v>
      </c>
      <c r="K201" s="329">
        <v>0</v>
      </c>
      <c r="L201" s="329">
        <v>0</v>
      </c>
      <c r="M201" s="329">
        <v>0</v>
      </c>
      <c r="N201" s="329">
        <v>0</v>
      </c>
      <c r="O201" s="329">
        <v>2144</v>
      </c>
      <c r="P201" s="329">
        <v>954</v>
      </c>
      <c r="Q201" s="329">
        <v>3098</v>
      </c>
      <c r="R201" s="329">
        <v>567</v>
      </c>
      <c r="S201" s="329">
        <v>792</v>
      </c>
      <c r="T201" s="329">
        <v>1359</v>
      </c>
      <c r="U201" s="329">
        <v>0</v>
      </c>
      <c r="V201" s="329">
        <v>0</v>
      </c>
      <c r="W201" s="329">
        <v>0</v>
      </c>
      <c r="X201" s="330">
        <v>20232</v>
      </c>
      <c r="Y201" s="330">
        <v>20915</v>
      </c>
      <c r="Z201" s="330">
        <v>41147</v>
      </c>
      <c r="AA201" s="13"/>
      <c r="AB201" s="13"/>
    </row>
    <row r="202" spans="2:28" hidden="1" outlineLevel="1" x14ac:dyDescent="0.25">
      <c r="B202" s="304">
        <v>44682</v>
      </c>
      <c r="C202" s="329">
        <v>3027</v>
      </c>
      <c r="D202" s="329">
        <v>2180</v>
      </c>
      <c r="E202" s="329">
        <v>5207</v>
      </c>
      <c r="F202" s="329">
        <v>13628</v>
      </c>
      <c r="G202" s="329">
        <v>16479</v>
      </c>
      <c r="H202" s="329">
        <v>30107</v>
      </c>
      <c r="I202" s="329">
        <v>0</v>
      </c>
      <c r="J202" s="329">
        <v>0</v>
      </c>
      <c r="K202" s="329">
        <v>0</v>
      </c>
      <c r="L202" s="329">
        <v>0</v>
      </c>
      <c r="M202" s="329">
        <v>0</v>
      </c>
      <c r="N202" s="329">
        <v>0</v>
      </c>
      <c r="O202" s="329">
        <v>2159</v>
      </c>
      <c r="P202" s="329">
        <v>904</v>
      </c>
      <c r="Q202" s="329">
        <v>3063</v>
      </c>
      <c r="R202" s="329">
        <v>553</v>
      </c>
      <c r="S202" s="329">
        <v>848</v>
      </c>
      <c r="T202" s="329">
        <v>1401</v>
      </c>
      <c r="U202" s="329">
        <v>0</v>
      </c>
      <c r="V202" s="329">
        <v>0</v>
      </c>
      <c r="W202" s="329">
        <v>0</v>
      </c>
      <c r="X202" s="330">
        <v>19367</v>
      </c>
      <c r="Y202" s="330">
        <v>20411</v>
      </c>
      <c r="Z202" s="330">
        <v>39778</v>
      </c>
      <c r="AA202" s="13"/>
      <c r="AB202" s="13"/>
    </row>
    <row r="203" spans="2:28" hidden="1" outlineLevel="1" x14ac:dyDescent="0.25">
      <c r="B203" s="304">
        <v>44713</v>
      </c>
      <c r="C203" s="329">
        <v>2947</v>
      </c>
      <c r="D203" s="329">
        <v>2295</v>
      </c>
      <c r="E203" s="329">
        <v>5242</v>
      </c>
      <c r="F203" s="329">
        <v>13842</v>
      </c>
      <c r="G203" s="329">
        <v>16899</v>
      </c>
      <c r="H203" s="329">
        <v>30741</v>
      </c>
      <c r="I203" s="329">
        <v>0</v>
      </c>
      <c r="J203" s="329">
        <v>0</v>
      </c>
      <c r="K203" s="329">
        <v>0</v>
      </c>
      <c r="L203" s="329">
        <v>0</v>
      </c>
      <c r="M203" s="329">
        <v>0</v>
      </c>
      <c r="N203" s="329">
        <v>0</v>
      </c>
      <c r="O203" s="329">
        <v>1865</v>
      </c>
      <c r="P203" s="329">
        <v>819</v>
      </c>
      <c r="Q203" s="329">
        <v>2684</v>
      </c>
      <c r="R203" s="329">
        <v>530</v>
      </c>
      <c r="S203" s="329">
        <v>829</v>
      </c>
      <c r="T203" s="329">
        <v>1359</v>
      </c>
      <c r="U203" s="329">
        <v>0</v>
      </c>
      <c r="V203" s="329">
        <v>0</v>
      </c>
      <c r="W203" s="329">
        <v>0</v>
      </c>
      <c r="X203" s="330">
        <v>19184</v>
      </c>
      <c r="Y203" s="330">
        <v>20842</v>
      </c>
      <c r="Z203" s="330">
        <v>40026</v>
      </c>
      <c r="AA203" s="13"/>
      <c r="AB203" s="13"/>
    </row>
    <row r="204" spans="2:28" hidden="1" outlineLevel="1" x14ac:dyDescent="0.25">
      <c r="B204" s="304">
        <v>44743</v>
      </c>
      <c r="C204" s="329">
        <v>3305</v>
      </c>
      <c r="D204" s="329">
        <v>2853</v>
      </c>
      <c r="E204" s="329">
        <v>6158</v>
      </c>
      <c r="F204" s="329">
        <v>15486</v>
      </c>
      <c r="G204" s="329">
        <v>17897</v>
      </c>
      <c r="H204" s="329">
        <v>33383</v>
      </c>
      <c r="I204" s="329">
        <v>0</v>
      </c>
      <c r="J204" s="329">
        <v>0</v>
      </c>
      <c r="K204" s="329">
        <v>0</v>
      </c>
      <c r="L204" s="329">
        <v>0</v>
      </c>
      <c r="M204" s="329">
        <v>0</v>
      </c>
      <c r="N204" s="329">
        <v>0</v>
      </c>
      <c r="O204" s="329">
        <v>2173</v>
      </c>
      <c r="P204" s="329">
        <v>920</v>
      </c>
      <c r="Q204" s="329">
        <v>3093</v>
      </c>
      <c r="R204" s="329">
        <v>603</v>
      </c>
      <c r="S204" s="329">
        <v>959</v>
      </c>
      <c r="T204" s="329">
        <v>1562</v>
      </c>
      <c r="U204" s="329">
        <v>0</v>
      </c>
      <c r="V204" s="329">
        <v>0</v>
      </c>
      <c r="W204" s="329">
        <v>0</v>
      </c>
      <c r="X204" s="330">
        <v>21567</v>
      </c>
      <c r="Y204" s="330">
        <v>22629</v>
      </c>
      <c r="Z204" s="330">
        <v>44196</v>
      </c>
      <c r="AA204" s="13"/>
      <c r="AB204" s="13"/>
    </row>
    <row r="205" spans="2:28" hidden="1" outlineLevel="1" x14ac:dyDescent="0.25">
      <c r="B205" s="304">
        <v>44774</v>
      </c>
      <c r="C205" s="329">
        <v>4773</v>
      </c>
      <c r="D205" s="329">
        <v>5385</v>
      </c>
      <c r="E205" s="329">
        <v>10158</v>
      </c>
      <c r="F205" s="329">
        <v>22083</v>
      </c>
      <c r="G205" s="329">
        <v>25411</v>
      </c>
      <c r="H205" s="329">
        <v>47494</v>
      </c>
      <c r="I205" s="329">
        <v>0</v>
      </c>
      <c r="J205" s="329">
        <v>0</v>
      </c>
      <c r="K205" s="329">
        <v>0</v>
      </c>
      <c r="L205" s="329">
        <v>0</v>
      </c>
      <c r="M205" s="329">
        <v>0</v>
      </c>
      <c r="N205" s="329">
        <v>0</v>
      </c>
      <c r="O205" s="329">
        <v>2599</v>
      </c>
      <c r="P205" s="329">
        <v>1007</v>
      </c>
      <c r="Q205" s="329">
        <v>3606</v>
      </c>
      <c r="R205" s="329">
        <v>794</v>
      </c>
      <c r="S205" s="329">
        <v>1215</v>
      </c>
      <c r="T205" s="329">
        <v>2009</v>
      </c>
      <c r="U205" s="329">
        <v>0</v>
      </c>
      <c r="V205" s="329">
        <v>3</v>
      </c>
      <c r="W205" s="329">
        <v>3</v>
      </c>
      <c r="X205" s="330">
        <v>30249</v>
      </c>
      <c r="Y205" s="330">
        <v>33021</v>
      </c>
      <c r="Z205" s="330">
        <v>63270</v>
      </c>
      <c r="AA205" s="13"/>
      <c r="AB205" s="13"/>
    </row>
    <row r="206" spans="2:28" hidden="1" outlineLevel="1" x14ac:dyDescent="0.25">
      <c r="B206" s="304">
        <v>44805</v>
      </c>
      <c r="C206" s="329">
        <v>3932</v>
      </c>
      <c r="D206" s="329">
        <v>4359</v>
      </c>
      <c r="E206" s="329">
        <v>8291</v>
      </c>
      <c r="F206" s="329">
        <v>13519</v>
      </c>
      <c r="G206" s="329">
        <v>12503</v>
      </c>
      <c r="H206" s="329">
        <v>26022</v>
      </c>
      <c r="I206" s="329">
        <v>0</v>
      </c>
      <c r="J206" s="329">
        <v>0</v>
      </c>
      <c r="K206" s="329">
        <v>0</v>
      </c>
      <c r="L206" s="329">
        <v>0</v>
      </c>
      <c r="M206" s="329">
        <v>0</v>
      </c>
      <c r="N206" s="329">
        <v>0</v>
      </c>
      <c r="O206" s="329">
        <v>1905</v>
      </c>
      <c r="P206" s="329">
        <v>785</v>
      </c>
      <c r="Q206" s="329">
        <v>2690</v>
      </c>
      <c r="R206" s="329">
        <v>504</v>
      </c>
      <c r="S206" s="329">
        <v>798</v>
      </c>
      <c r="T206" s="329">
        <v>1302</v>
      </c>
      <c r="U206" s="329">
        <v>1</v>
      </c>
      <c r="V206" s="329">
        <v>0</v>
      </c>
      <c r="W206" s="329">
        <v>1</v>
      </c>
      <c r="X206" s="330">
        <v>19861</v>
      </c>
      <c r="Y206" s="330">
        <v>18445</v>
      </c>
      <c r="Z206" s="330">
        <v>38306</v>
      </c>
      <c r="AA206" s="13"/>
      <c r="AB206" s="13"/>
    </row>
    <row r="207" spans="2:28" hidden="1" outlineLevel="1" x14ac:dyDescent="0.25">
      <c r="B207" s="304">
        <v>44835</v>
      </c>
      <c r="C207" s="329">
        <v>4734</v>
      </c>
      <c r="D207" s="329">
        <v>5508</v>
      </c>
      <c r="E207" s="329">
        <v>10242</v>
      </c>
      <c r="F207" s="329">
        <v>19291</v>
      </c>
      <c r="G207" s="329">
        <v>16071</v>
      </c>
      <c r="H207" s="329">
        <v>35362</v>
      </c>
      <c r="I207" s="329">
        <v>0</v>
      </c>
      <c r="J207" s="329">
        <v>0</v>
      </c>
      <c r="K207" s="329">
        <v>0</v>
      </c>
      <c r="L207" s="329">
        <v>0</v>
      </c>
      <c r="M207" s="329">
        <v>0</v>
      </c>
      <c r="N207" s="329">
        <v>0</v>
      </c>
      <c r="O207" s="329">
        <v>1972</v>
      </c>
      <c r="P207" s="329">
        <v>768</v>
      </c>
      <c r="Q207" s="329">
        <v>2740</v>
      </c>
      <c r="R207" s="329">
        <v>500</v>
      </c>
      <c r="S207" s="329">
        <v>748</v>
      </c>
      <c r="T207" s="329">
        <v>1248</v>
      </c>
      <c r="U207" s="329">
        <v>0</v>
      </c>
      <c r="V207" s="329">
        <v>0</v>
      </c>
      <c r="W207" s="329">
        <v>0</v>
      </c>
      <c r="X207" s="330">
        <v>26497</v>
      </c>
      <c r="Y207" s="330">
        <v>23095</v>
      </c>
      <c r="Z207" s="330">
        <v>49592</v>
      </c>
      <c r="AA207" s="13"/>
      <c r="AB207" s="13"/>
    </row>
    <row r="208" spans="2:28" hidden="1" outlineLevel="1" x14ac:dyDescent="0.25">
      <c r="B208" s="304">
        <v>44866</v>
      </c>
      <c r="C208" s="329">
        <v>5484</v>
      </c>
      <c r="D208" s="329">
        <v>6861</v>
      </c>
      <c r="E208" s="329">
        <v>12345</v>
      </c>
      <c r="F208" s="329">
        <v>17201</v>
      </c>
      <c r="G208" s="329">
        <v>14007</v>
      </c>
      <c r="H208" s="329">
        <v>31208</v>
      </c>
      <c r="I208" s="329">
        <v>0</v>
      </c>
      <c r="J208" s="329">
        <v>0</v>
      </c>
      <c r="K208" s="329">
        <v>0</v>
      </c>
      <c r="L208" s="329">
        <v>0</v>
      </c>
      <c r="M208" s="329">
        <v>0</v>
      </c>
      <c r="N208" s="329">
        <v>0</v>
      </c>
      <c r="O208" s="329">
        <v>2213</v>
      </c>
      <c r="P208" s="329">
        <v>880</v>
      </c>
      <c r="Q208" s="329">
        <v>3093</v>
      </c>
      <c r="R208" s="329">
        <v>513</v>
      </c>
      <c r="S208" s="329">
        <v>845</v>
      </c>
      <c r="T208" s="329">
        <v>1358</v>
      </c>
      <c r="U208" s="329">
        <v>0</v>
      </c>
      <c r="V208" s="329">
        <v>8</v>
      </c>
      <c r="W208" s="329">
        <v>8</v>
      </c>
      <c r="X208" s="330">
        <v>25411</v>
      </c>
      <c r="Y208" s="330">
        <v>22601</v>
      </c>
      <c r="Z208" s="330">
        <v>48012</v>
      </c>
      <c r="AA208" s="13"/>
      <c r="AB208" s="13"/>
    </row>
    <row r="209" spans="2:28" collapsed="1" x14ac:dyDescent="0.25">
      <c r="B209" s="304">
        <v>44896</v>
      </c>
      <c r="C209" s="329">
        <v>4925</v>
      </c>
      <c r="D209" s="329">
        <v>5922</v>
      </c>
      <c r="E209" s="329">
        <v>10847</v>
      </c>
      <c r="F209" s="329">
        <v>13254</v>
      </c>
      <c r="G209" s="329">
        <v>11155</v>
      </c>
      <c r="H209" s="329">
        <v>24409</v>
      </c>
      <c r="I209" s="329">
        <v>0</v>
      </c>
      <c r="J209" s="329">
        <v>0</v>
      </c>
      <c r="K209" s="329">
        <v>0</v>
      </c>
      <c r="L209" s="329">
        <v>0</v>
      </c>
      <c r="M209" s="329">
        <v>0</v>
      </c>
      <c r="N209" s="329">
        <v>0</v>
      </c>
      <c r="O209" s="329">
        <v>1679</v>
      </c>
      <c r="P209" s="329">
        <v>753</v>
      </c>
      <c r="Q209" s="329">
        <v>2432</v>
      </c>
      <c r="R209" s="329">
        <v>501</v>
      </c>
      <c r="S209" s="329">
        <v>751</v>
      </c>
      <c r="T209" s="329">
        <v>1252</v>
      </c>
      <c r="U209" s="329">
        <v>0</v>
      </c>
      <c r="V209" s="329">
        <v>4</v>
      </c>
      <c r="W209" s="329">
        <v>4</v>
      </c>
      <c r="X209" s="330">
        <v>20359</v>
      </c>
      <c r="Y209" s="330">
        <v>18585</v>
      </c>
      <c r="Z209" s="330">
        <v>38944</v>
      </c>
      <c r="AA209" s="13"/>
      <c r="AB209" s="13"/>
    </row>
    <row r="210" spans="2:28" hidden="1" outlineLevel="1" x14ac:dyDescent="0.25">
      <c r="B210" s="304">
        <v>44927</v>
      </c>
      <c r="C210" s="329">
        <v>4527</v>
      </c>
      <c r="D210" s="329">
        <v>5858</v>
      </c>
      <c r="E210" s="329">
        <v>10385</v>
      </c>
      <c r="F210" s="329">
        <v>11851</v>
      </c>
      <c r="G210" s="329">
        <v>9575</v>
      </c>
      <c r="H210" s="329">
        <v>21426</v>
      </c>
      <c r="I210" s="329">
        <v>0</v>
      </c>
      <c r="J210" s="329">
        <v>0</v>
      </c>
      <c r="K210" s="329">
        <v>0</v>
      </c>
      <c r="L210" s="329">
        <v>0</v>
      </c>
      <c r="M210" s="329">
        <v>0</v>
      </c>
      <c r="N210" s="329">
        <v>0</v>
      </c>
      <c r="O210" s="329">
        <v>2030</v>
      </c>
      <c r="P210" s="329">
        <v>867</v>
      </c>
      <c r="Q210" s="329">
        <v>2897</v>
      </c>
      <c r="R210" s="329">
        <v>528</v>
      </c>
      <c r="S210" s="329">
        <v>842</v>
      </c>
      <c r="T210" s="329">
        <v>1370</v>
      </c>
      <c r="U210" s="329">
        <v>1</v>
      </c>
      <c r="V210" s="329">
        <v>0</v>
      </c>
      <c r="W210" s="329">
        <v>1</v>
      </c>
      <c r="X210" s="330">
        <v>18937</v>
      </c>
      <c r="Y210" s="330">
        <v>17142</v>
      </c>
      <c r="Z210" s="330">
        <v>36079</v>
      </c>
      <c r="AA210" s="13"/>
      <c r="AB210" s="13"/>
    </row>
    <row r="211" spans="2:28" hidden="1" outlineLevel="1" x14ac:dyDescent="0.25">
      <c r="B211" s="304">
        <v>44958</v>
      </c>
      <c r="C211" s="329">
        <v>3614</v>
      </c>
      <c r="D211" s="329">
        <v>4669</v>
      </c>
      <c r="E211" s="329">
        <v>8283</v>
      </c>
      <c r="F211" s="329">
        <v>9130</v>
      </c>
      <c r="G211" s="329">
        <v>7007</v>
      </c>
      <c r="H211" s="329">
        <v>16137</v>
      </c>
      <c r="I211" s="329">
        <v>0</v>
      </c>
      <c r="J211" s="329">
        <v>0</v>
      </c>
      <c r="K211" s="329">
        <v>0</v>
      </c>
      <c r="L211" s="329">
        <v>0</v>
      </c>
      <c r="M211" s="329">
        <v>0</v>
      </c>
      <c r="N211" s="329">
        <v>0</v>
      </c>
      <c r="O211" s="329">
        <v>1733</v>
      </c>
      <c r="P211" s="329">
        <v>733</v>
      </c>
      <c r="Q211" s="329">
        <v>2466</v>
      </c>
      <c r="R211" s="329">
        <v>541</v>
      </c>
      <c r="S211" s="329">
        <v>739</v>
      </c>
      <c r="T211" s="329">
        <v>1280</v>
      </c>
      <c r="U211" s="329">
        <v>0</v>
      </c>
      <c r="V211" s="329">
        <v>0</v>
      </c>
      <c r="W211" s="329">
        <v>0</v>
      </c>
      <c r="X211" s="330">
        <v>15018</v>
      </c>
      <c r="Y211" s="330">
        <v>13148</v>
      </c>
      <c r="Z211" s="330">
        <v>28166</v>
      </c>
      <c r="AA211" s="13"/>
      <c r="AB211" s="13"/>
    </row>
    <row r="212" spans="2:28" hidden="1" outlineLevel="1" x14ac:dyDescent="0.25">
      <c r="B212" s="304">
        <v>44986</v>
      </c>
      <c r="C212" s="329">
        <v>3792</v>
      </c>
      <c r="D212" s="329">
        <v>5596</v>
      </c>
      <c r="E212" s="329">
        <v>9388</v>
      </c>
      <c r="F212" s="329">
        <v>8953</v>
      </c>
      <c r="G212" s="329">
        <v>5984</v>
      </c>
      <c r="H212" s="329">
        <v>14937</v>
      </c>
      <c r="I212" s="329">
        <v>0</v>
      </c>
      <c r="J212" s="329">
        <v>0</v>
      </c>
      <c r="K212" s="329">
        <v>0</v>
      </c>
      <c r="L212" s="329">
        <v>0</v>
      </c>
      <c r="M212" s="329">
        <v>0</v>
      </c>
      <c r="N212" s="329">
        <v>0</v>
      </c>
      <c r="O212" s="329">
        <v>2409</v>
      </c>
      <c r="P212" s="329">
        <v>911</v>
      </c>
      <c r="Q212" s="329">
        <v>3320</v>
      </c>
      <c r="R212" s="329">
        <v>631</v>
      </c>
      <c r="S212" s="329">
        <v>781</v>
      </c>
      <c r="T212" s="329">
        <v>1412</v>
      </c>
      <c r="U212" s="329">
        <v>1</v>
      </c>
      <c r="V212" s="329">
        <v>4</v>
      </c>
      <c r="W212" s="329">
        <v>5</v>
      </c>
      <c r="X212" s="330">
        <v>15786</v>
      </c>
      <c r="Y212" s="330">
        <v>13276</v>
      </c>
      <c r="Z212" s="330">
        <v>29062</v>
      </c>
      <c r="AA212" s="13"/>
      <c r="AB212" s="13"/>
    </row>
    <row r="213" spans="2:28" hidden="1" outlineLevel="1" x14ac:dyDescent="0.25">
      <c r="B213" s="304">
        <v>45017</v>
      </c>
      <c r="C213" s="329">
        <v>3475</v>
      </c>
      <c r="D213" s="329">
        <v>4634</v>
      </c>
      <c r="E213" s="329">
        <v>8109</v>
      </c>
      <c r="F213" s="329">
        <v>8101</v>
      </c>
      <c r="G213" s="329">
        <v>6096</v>
      </c>
      <c r="H213" s="329">
        <v>14197</v>
      </c>
      <c r="I213" s="329">
        <v>0</v>
      </c>
      <c r="J213" s="329">
        <v>0</v>
      </c>
      <c r="K213" s="329">
        <v>0</v>
      </c>
      <c r="L213" s="329">
        <v>0</v>
      </c>
      <c r="M213" s="329">
        <v>0</v>
      </c>
      <c r="N213" s="329">
        <v>0</v>
      </c>
      <c r="O213" s="329">
        <v>1870</v>
      </c>
      <c r="P213" s="329">
        <v>753</v>
      </c>
      <c r="Q213" s="329">
        <v>2623</v>
      </c>
      <c r="R213" s="329">
        <v>469</v>
      </c>
      <c r="S213" s="329">
        <v>673</v>
      </c>
      <c r="T213" s="329">
        <v>1142</v>
      </c>
      <c r="U213" s="329">
        <v>1</v>
      </c>
      <c r="V213" s="329">
        <v>0</v>
      </c>
      <c r="W213" s="329">
        <v>1</v>
      </c>
      <c r="X213" s="330">
        <v>13916</v>
      </c>
      <c r="Y213" s="330">
        <v>12156</v>
      </c>
      <c r="Z213" s="330">
        <v>26072</v>
      </c>
      <c r="AA213" s="13"/>
      <c r="AB213" s="13"/>
    </row>
    <row r="214" spans="2:28" hidden="1" outlineLevel="1" x14ac:dyDescent="0.25">
      <c r="B214" s="304">
        <v>45047</v>
      </c>
      <c r="C214" s="329">
        <v>3648</v>
      </c>
      <c r="D214" s="329">
        <v>4859</v>
      </c>
      <c r="E214" s="329">
        <v>8507</v>
      </c>
      <c r="F214" s="329">
        <v>7793</v>
      </c>
      <c r="G214" s="329">
        <v>5938</v>
      </c>
      <c r="H214" s="329">
        <v>13731</v>
      </c>
      <c r="I214" s="329">
        <v>0</v>
      </c>
      <c r="J214" s="329">
        <v>0</v>
      </c>
      <c r="K214" s="329">
        <v>0</v>
      </c>
      <c r="L214" s="329">
        <v>0</v>
      </c>
      <c r="M214" s="329">
        <v>0</v>
      </c>
      <c r="N214" s="329">
        <v>0</v>
      </c>
      <c r="O214" s="329">
        <v>1964</v>
      </c>
      <c r="P214" s="329">
        <v>867</v>
      </c>
      <c r="Q214" s="329">
        <v>2831</v>
      </c>
      <c r="R214" s="329">
        <v>544</v>
      </c>
      <c r="S214" s="329">
        <v>799</v>
      </c>
      <c r="T214" s="329">
        <v>1343</v>
      </c>
      <c r="U214" s="329">
        <v>1</v>
      </c>
      <c r="V214" s="329">
        <v>1</v>
      </c>
      <c r="W214" s="329">
        <v>2</v>
      </c>
      <c r="X214" s="330">
        <v>13950</v>
      </c>
      <c r="Y214" s="330">
        <v>12464</v>
      </c>
      <c r="Z214" s="330">
        <v>26414</v>
      </c>
      <c r="AA214" s="13"/>
      <c r="AB214" s="13"/>
    </row>
    <row r="215" spans="2:28" hidden="1" outlineLevel="1" x14ac:dyDescent="0.25">
      <c r="B215" s="304">
        <v>45078</v>
      </c>
      <c r="C215" s="329">
        <v>3086</v>
      </c>
      <c r="D215" s="329">
        <v>4302</v>
      </c>
      <c r="E215" s="329">
        <v>7388</v>
      </c>
      <c r="F215" s="329">
        <v>7445</v>
      </c>
      <c r="G215" s="329">
        <v>4869</v>
      </c>
      <c r="H215" s="329">
        <v>12314</v>
      </c>
      <c r="I215" s="329">
        <v>0</v>
      </c>
      <c r="J215" s="329">
        <v>0</v>
      </c>
      <c r="K215" s="329">
        <v>0</v>
      </c>
      <c r="L215" s="329">
        <v>0</v>
      </c>
      <c r="M215" s="329">
        <v>0</v>
      </c>
      <c r="N215" s="329">
        <v>0</v>
      </c>
      <c r="O215" s="329">
        <v>1703</v>
      </c>
      <c r="P215" s="329">
        <v>778</v>
      </c>
      <c r="Q215" s="329">
        <v>2481</v>
      </c>
      <c r="R215" s="329">
        <v>491</v>
      </c>
      <c r="S215" s="329">
        <v>688</v>
      </c>
      <c r="T215" s="329">
        <v>1179</v>
      </c>
      <c r="U215" s="329">
        <v>0</v>
      </c>
      <c r="V215" s="329">
        <v>3</v>
      </c>
      <c r="W215" s="329">
        <v>3</v>
      </c>
      <c r="X215" s="330">
        <v>12725</v>
      </c>
      <c r="Y215" s="330">
        <v>10640</v>
      </c>
      <c r="Z215" s="330">
        <v>23365</v>
      </c>
      <c r="AA215" s="13"/>
      <c r="AB215" s="13"/>
    </row>
    <row r="216" spans="2:28" hidden="1" outlineLevel="1" x14ac:dyDescent="0.25">
      <c r="B216" s="304">
        <v>45108</v>
      </c>
      <c r="C216" s="329">
        <v>3777</v>
      </c>
      <c r="D216" s="329">
        <v>5189</v>
      </c>
      <c r="E216" s="329">
        <v>8966</v>
      </c>
      <c r="F216" s="329">
        <v>8703</v>
      </c>
      <c r="G216" s="329">
        <v>5491</v>
      </c>
      <c r="H216" s="329">
        <v>14194</v>
      </c>
      <c r="I216" s="329">
        <v>0</v>
      </c>
      <c r="J216" s="329">
        <v>0</v>
      </c>
      <c r="K216" s="329">
        <v>0</v>
      </c>
      <c r="L216" s="329">
        <v>0</v>
      </c>
      <c r="M216" s="329">
        <v>0</v>
      </c>
      <c r="N216" s="329">
        <v>0</v>
      </c>
      <c r="O216" s="329">
        <v>1907</v>
      </c>
      <c r="P216" s="329">
        <v>860</v>
      </c>
      <c r="Q216" s="329">
        <v>2767</v>
      </c>
      <c r="R216" s="329">
        <v>476</v>
      </c>
      <c r="S216" s="329">
        <v>740</v>
      </c>
      <c r="T216" s="329">
        <v>1216</v>
      </c>
      <c r="U216" s="329">
        <v>0</v>
      </c>
      <c r="V216" s="329">
        <v>5</v>
      </c>
      <c r="W216" s="329">
        <v>5</v>
      </c>
      <c r="X216" s="330">
        <v>14863</v>
      </c>
      <c r="Y216" s="330">
        <v>12285</v>
      </c>
      <c r="Z216" s="330">
        <v>27148</v>
      </c>
      <c r="AA216" s="13"/>
      <c r="AB216" s="13"/>
    </row>
    <row r="217" spans="2:28" hidden="1" outlineLevel="1" x14ac:dyDescent="0.25">
      <c r="B217" s="304">
        <v>45139</v>
      </c>
      <c r="C217" s="329">
        <v>3444</v>
      </c>
      <c r="D217" s="329">
        <v>5027</v>
      </c>
      <c r="E217" s="329">
        <v>8471</v>
      </c>
      <c r="F217" s="329">
        <v>8398</v>
      </c>
      <c r="G217" s="329">
        <v>5174</v>
      </c>
      <c r="H217" s="329">
        <v>13572</v>
      </c>
      <c r="I217" s="329">
        <v>0</v>
      </c>
      <c r="J217" s="329">
        <v>0</v>
      </c>
      <c r="K217" s="329">
        <v>0</v>
      </c>
      <c r="L217" s="329">
        <v>0</v>
      </c>
      <c r="M217" s="329">
        <v>0</v>
      </c>
      <c r="N217" s="329">
        <v>0</v>
      </c>
      <c r="O217" s="329">
        <v>1975</v>
      </c>
      <c r="P217" s="329">
        <v>828</v>
      </c>
      <c r="Q217" s="329">
        <v>2803</v>
      </c>
      <c r="R217" s="329">
        <v>481</v>
      </c>
      <c r="S217" s="329">
        <v>788</v>
      </c>
      <c r="T217" s="329">
        <v>1269</v>
      </c>
      <c r="U217" s="329">
        <v>0</v>
      </c>
      <c r="V217" s="329">
        <v>3</v>
      </c>
      <c r="W217" s="329">
        <v>3</v>
      </c>
      <c r="X217" s="330">
        <v>14298</v>
      </c>
      <c r="Y217" s="330">
        <v>11820</v>
      </c>
      <c r="Z217" s="330">
        <v>26118</v>
      </c>
      <c r="AA217" s="13"/>
      <c r="AB217" s="13"/>
    </row>
    <row r="218" spans="2:28" hidden="1" outlineLevel="1" x14ac:dyDescent="0.25">
      <c r="B218" s="304">
        <v>45170</v>
      </c>
      <c r="C218" s="329">
        <v>3278</v>
      </c>
      <c r="D218" s="329">
        <v>4909</v>
      </c>
      <c r="E218" s="329">
        <v>8187</v>
      </c>
      <c r="F218" s="329">
        <v>8796</v>
      </c>
      <c r="G218" s="329">
        <v>4652</v>
      </c>
      <c r="H218" s="329">
        <v>13448</v>
      </c>
      <c r="I218" s="329">
        <v>0</v>
      </c>
      <c r="J218" s="329">
        <v>0</v>
      </c>
      <c r="K218" s="329">
        <v>0</v>
      </c>
      <c r="L218" s="329">
        <v>0</v>
      </c>
      <c r="M218" s="329">
        <v>0</v>
      </c>
      <c r="N218" s="329">
        <v>0</v>
      </c>
      <c r="O218" s="329">
        <v>1590</v>
      </c>
      <c r="P218" s="329">
        <v>729</v>
      </c>
      <c r="Q218" s="329">
        <v>2319</v>
      </c>
      <c r="R218" s="329">
        <v>423</v>
      </c>
      <c r="S218" s="329">
        <v>669</v>
      </c>
      <c r="T218" s="329">
        <v>1092</v>
      </c>
      <c r="U218" s="329">
        <v>2</v>
      </c>
      <c r="V218" s="329">
        <v>6</v>
      </c>
      <c r="W218" s="329">
        <v>8</v>
      </c>
      <c r="X218" s="330">
        <v>14089</v>
      </c>
      <c r="Y218" s="330">
        <v>10965</v>
      </c>
      <c r="Z218" s="330">
        <v>25054</v>
      </c>
      <c r="AA218" s="13"/>
      <c r="AB218" s="13"/>
    </row>
    <row r="219" spans="2:28" hidden="1" outlineLevel="1" x14ac:dyDescent="0.25">
      <c r="B219" s="304">
        <v>45200</v>
      </c>
      <c r="C219" s="329">
        <v>3216</v>
      </c>
      <c r="D219" s="329">
        <v>5191</v>
      </c>
      <c r="E219" s="329">
        <v>8407</v>
      </c>
      <c r="F219" s="329">
        <v>7842</v>
      </c>
      <c r="G219" s="329">
        <v>4444</v>
      </c>
      <c r="H219" s="329">
        <v>12286</v>
      </c>
      <c r="I219" s="329">
        <v>0</v>
      </c>
      <c r="J219" s="329">
        <v>0</v>
      </c>
      <c r="K219" s="329">
        <v>0</v>
      </c>
      <c r="L219" s="329">
        <v>0</v>
      </c>
      <c r="M219" s="329">
        <v>0</v>
      </c>
      <c r="N219" s="329">
        <v>0</v>
      </c>
      <c r="O219" s="329">
        <v>1800</v>
      </c>
      <c r="P219" s="329">
        <v>783</v>
      </c>
      <c r="Q219" s="329">
        <v>2583</v>
      </c>
      <c r="R219" s="329">
        <v>452</v>
      </c>
      <c r="S219" s="329">
        <v>694</v>
      </c>
      <c r="T219" s="329">
        <v>1146</v>
      </c>
      <c r="U219" s="329">
        <v>0</v>
      </c>
      <c r="V219" s="329">
        <v>5</v>
      </c>
      <c r="W219" s="329">
        <v>5</v>
      </c>
      <c r="X219" s="330">
        <v>13310</v>
      </c>
      <c r="Y219" s="330">
        <v>11117</v>
      </c>
      <c r="Z219" s="330">
        <v>24427</v>
      </c>
      <c r="AA219" s="13"/>
      <c r="AB219" s="13"/>
    </row>
    <row r="220" spans="2:28" hidden="1" outlineLevel="1" x14ac:dyDescent="0.25">
      <c r="B220" s="304">
        <v>45231</v>
      </c>
      <c r="C220" s="329">
        <v>3240</v>
      </c>
      <c r="D220" s="329">
        <v>5242</v>
      </c>
      <c r="E220" s="329">
        <v>8482</v>
      </c>
      <c r="F220" s="329">
        <v>7358</v>
      </c>
      <c r="G220" s="329">
        <v>4870</v>
      </c>
      <c r="H220" s="329">
        <v>12228</v>
      </c>
      <c r="I220" s="329">
        <v>0</v>
      </c>
      <c r="J220" s="329">
        <v>0</v>
      </c>
      <c r="K220" s="329">
        <v>0</v>
      </c>
      <c r="L220" s="329">
        <v>0</v>
      </c>
      <c r="M220" s="329">
        <v>0</v>
      </c>
      <c r="N220" s="329">
        <v>0</v>
      </c>
      <c r="O220" s="329">
        <v>1975</v>
      </c>
      <c r="P220" s="329">
        <v>827</v>
      </c>
      <c r="Q220" s="329">
        <v>2802</v>
      </c>
      <c r="R220" s="329">
        <v>520</v>
      </c>
      <c r="S220" s="329">
        <v>756</v>
      </c>
      <c r="T220" s="329">
        <v>1276</v>
      </c>
      <c r="U220" s="329">
        <v>0</v>
      </c>
      <c r="V220" s="329">
        <v>7</v>
      </c>
      <c r="W220" s="329">
        <v>7</v>
      </c>
      <c r="X220" s="330">
        <v>13093</v>
      </c>
      <c r="Y220" s="330">
        <v>11702</v>
      </c>
      <c r="Z220" s="330">
        <v>24795</v>
      </c>
      <c r="AA220" s="13"/>
      <c r="AB220" s="13"/>
    </row>
    <row r="221" spans="2:28" collapsed="1" x14ac:dyDescent="0.25">
      <c r="B221" s="304">
        <v>45261</v>
      </c>
      <c r="C221" s="329">
        <v>2508</v>
      </c>
      <c r="D221" s="329">
        <v>4214</v>
      </c>
      <c r="E221" s="329">
        <v>6722</v>
      </c>
      <c r="F221" s="329">
        <v>6216</v>
      </c>
      <c r="G221" s="329">
        <v>4001</v>
      </c>
      <c r="H221" s="329">
        <v>10217</v>
      </c>
      <c r="I221" s="329">
        <v>0</v>
      </c>
      <c r="J221" s="329">
        <v>0</v>
      </c>
      <c r="K221" s="329">
        <v>0</v>
      </c>
      <c r="L221" s="329">
        <v>0</v>
      </c>
      <c r="M221" s="329">
        <v>0</v>
      </c>
      <c r="N221" s="329">
        <v>0</v>
      </c>
      <c r="O221" s="329">
        <v>1571</v>
      </c>
      <c r="P221" s="329">
        <v>730</v>
      </c>
      <c r="Q221" s="329">
        <v>2301</v>
      </c>
      <c r="R221" s="329">
        <v>368</v>
      </c>
      <c r="S221" s="329">
        <v>593</v>
      </c>
      <c r="T221" s="329">
        <v>961</v>
      </c>
      <c r="U221" s="329">
        <v>0</v>
      </c>
      <c r="V221" s="329">
        <v>7</v>
      </c>
      <c r="W221" s="329">
        <v>7</v>
      </c>
      <c r="X221" s="330">
        <v>10663</v>
      </c>
      <c r="Y221" s="330">
        <v>9545</v>
      </c>
      <c r="Z221" s="330">
        <v>20208</v>
      </c>
      <c r="AA221" s="13"/>
      <c r="AB221" s="13"/>
    </row>
    <row r="222" spans="2:28" outlineLevel="1" x14ac:dyDescent="0.25">
      <c r="B222" s="304">
        <v>45292</v>
      </c>
      <c r="C222" s="329">
        <v>3332</v>
      </c>
      <c r="D222" s="329">
        <v>5371</v>
      </c>
      <c r="E222" s="329">
        <v>8703</v>
      </c>
      <c r="F222" s="329">
        <v>8202</v>
      </c>
      <c r="G222" s="329">
        <v>5137</v>
      </c>
      <c r="H222" s="329">
        <v>13339</v>
      </c>
      <c r="I222" s="329">
        <v>0</v>
      </c>
      <c r="J222" s="329">
        <v>0</v>
      </c>
      <c r="K222" s="329">
        <v>0</v>
      </c>
      <c r="L222" s="329">
        <v>0</v>
      </c>
      <c r="M222" s="329">
        <v>0</v>
      </c>
      <c r="N222" s="329">
        <v>0</v>
      </c>
      <c r="O222" s="329">
        <v>2557</v>
      </c>
      <c r="P222" s="329">
        <v>930</v>
      </c>
      <c r="Q222" s="329">
        <v>3487</v>
      </c>
      <c r="R222" s="329">
        <v>515</v>
      </c>
      <c r="S222" s="329">
        <v>678</v>
      </c>
      <c r="T222" s="329">
        <v>1193</v>
      </c>
      <c r="U222" s="329">
        <v>2</v>
      </c>
      <c r="V222" s="329">
        <v>6</v>
      </c>
      <c r="W222" s="329">
        <v>8</v>
      </c>
      <c r="X222" s="330">
        <v>14608</v>
      </c>
      <c r="Y222" s="330">
        <v>12122</v>
      </c>
      <c r="Z222" s="330">
        <v>26730</v>
      </c>
      <c r="AA222" s="13"/>
      <c r="AB222" s="13"/>
    </row>
    <row r="223" spans="2:28" outlineLevel="1" x14ac:dyDescent="0.25">
      <c r="B223" s="304">
        <v>45323</v>
      </c>
      <c r="C223" s="329">
        <v>3032</v>
      </c>
      <c r="D223" s="329">
        <v>4751</v>
      </c>
      <c r="E223" s="329">
        <v>7783</v>
      </c>
      <c r="F223" s="329">
        <v>6905</v>
      </c>
      <c r="G223" s="329">
        <v>4586</v>
      </c>
      <c r="H223" s="329">
        <v>11491</v>
      </c>
      <c r="I223" s="329">
        <v>0</v>
      </c>
      <c r="J223" s="329">
        <v>0</v>
      </c>
      <c r="K223" s="329">
        <v>0</v>
      </c>
      <c r="L223" s="329">
        <v>0</v>
      </c>
      <c r="M223" s="329">
        <v>0</v>
      </c>
      <c r="N223" s="329">
        <v>0</v>
      </c>
      <c r="O223" s="329">
        <v>2114</v>
      </c>
      <c r="P223" s="329">
        <v>782</v>
      </c>
      <c r="Q223" s="329">
        <v>2896</v>
      </c>
      <c r="R223" s="329">
        <v>482</v>
      </c>
      <c r="S223" s="329">
        <v>696</v>
      </c>
      <c r="T223" s="329">
        <v>1178</v>
      </c>
      <c r="U223" s="329">
        <v>2</v>
      </c>
      <c r="V223" s="329">
        <v>4</v>
      </c>
      <c r="W223" s="329">
        <v>6</v>
      </c>
      <c r="X223" s="330">
        <v>12535</v>
      </c>
      <c r="Y223" s="330">
        <v>10819</v>
      </c>
      <c r="Z223" s="330">
        <v>23354</v>
      </c>
      <c r="AA223" s="13"/>
      <c r="AB223" s="13"/>
    </row>
    <row r="224" spans="2:28" outlineLevel="1" x14ac:dyDescent="0.25">
      <c r="B224" s="304">
        <v>45352</v>
      </c>
      <c r="C224" s="329">
        <v>2997</v>
      </c>
      <c r="D224" s="329">
        <v>4408</v>
      </c>
      <c r="E224" s="329">
        <v>7405</v>
      </c>
      <c r="F224" s="329">
        <v>7453</v>
      </c>
      <c r="G224" s="329">
        <v>4600</v>
      </c>
      <c r="H224" s="329">
        <v>12053</v>
      </c>
      <c r="I224" s="329">
        <v>0</v>
      </c>
      <c r="J224" s="329">
        <v>0</v>
      </c>
      <c r="K224" s="329">
        <v>0</v>
      </c>
      <c r="L224" s="329">
        <v>0</v>
      </c>
      <c r="M224" s="329">
        <v>0</v>
      </c>
      <c r="N224" s="329">
        <v>0</v>
      </c>
      <c r="O224" s="329">
        <v>2337</v>
      </c>
      <c r="P224" s="329">
        <v>892</v>
      </c>
      <c r="Q224" s="329">
        <v>3229</v>
      </c>
      <c r="R224" s="329">
        <v>496</v>
      </c>
      <c r="S224" s="329">
        <v>668</v>
      </c>
      <c r="T224" s="329">
        <v>1164</v>
      </c>
      <c r="U224" s="329">
        <v>0</v>
      </c>
      <c r="V224" s="329">
        <v>8</v>
      </c>
      <c r="W224" s="329">
        <v>8</v>
      </c>
      <c r="X224" s="330">
        <v>13283</v>
      </c>
      <c r="Y224" s="330">
        <v>10576</v>
      </c>
      <c r="Z224" s="330">
        <v>23859</v>
      </c>
      <c r="AA224" s="13"/>
      <c r="AB224" s="13"/>
    </row>
    <row r="225" spans="2:28" outlineLevel="1" x14ac:dyDescent="0.25">
      <c r="B225" s="304">
        <v>45383</v>
      </c>
      <c r="C225" s="329">
        <v>3656</v>
      </c>
      <c r="D225" s="329">
        <v>4963</v>
      </c>
      <c r="E225" s="329">
        <v>8619</v>
      </c>
      <c r="F225" s="329">
        <v>6799</v>
      </c>
      <c r="G225" s="329">
        <v>4047</v>
      </c>
      <c r="H225" s="329">
        <v>10846</v>
      </c>
      <c r="I225" s="329">
        <v>0</v>
      </c>
      <c r="J225" s="329">
        <v>0</v>
      </c>
      <c r="K225" s="329">
        <v>0</v>
      </c>
      <c r="L225" s="329">
        <v>0</v>
      </c>
      <c r="M225" s="329">
        <v>0</v>
      </c>
      <c r="N225" s="329">
        <v>0</v>
      </c>
      <c r="O225" s="329">
        <v>2553</v>
      </c>
      <c r="P225" s="329">
        <v>881</v>
      </c>
      <c r="Q225" s="329">
        <v>3434</v>
      </c>
      <c r="R225" s="329">
        <v>518</v>
      </c>
      <c r="S225" s="329">
        <v>681</v>
      </c>
      <c r="T225" s="329">
        <v>1199</v>
      </c>
      <c r="U225" s="329">
        <v>2</v>
      </c>
      <c r="V225" s="329">
        <v>5</v>
      </c>
      <c r="W225" s="329">
        <v>7</v>
      </c>
      <c r="X225" s="330">
        <v>13528</v>
      </c>
      <c r="Y225" s="330">
        <v>10577</v>
      </c>
      <c r="Z225" s="330">
        <v>24105</v>
      </c>
      <c r="AA225" s="13"/>
      <c r="AB225" s="13"/>
    </row>
    <row r="226" spans="2:28" outlineLevel="1" x14ac:dyDescent="0.25">
      <c r="B226" s="304">
        <v>45413</v>
      </c>
      <c r="C226" s="329">
        <v>4350</v>
      </c>
      <c r="D226" s="329">
        <v>4720</v>
      </c>
      <c r="E226" s="329">
        <v>9070</v>
      </c>
      <c r="F226" s="329">
        <v>5467</v>
      </c>
      <c r="G226" s="329">
        <v>3438</v>
      </c>
      <c r="H226" s="329">
        <v>8905</v>
      </c>
      <c r="I226" s="329">
        <v>0</v>
      </c>
      <c r="J226" s="329">
        <v>0</v>
      </c>
      <c r="K226" s="329">
        <v>0</v>
      </c>
      <c r="L226" s="329">
        <v>0</v>
      </c>
      <c r="M226" s="329">
        <v>0</v>
      </c>
      <c r="N226" s="329">
        <v>0</v>
      </c>
      <c r="O226" s="329">
        <v>2656</v>
      </c>
      <c r="P226" s="329">
        <v>875</v>
      </c>
      <c r="Q226" s="329">
        <v>3531</v>
      </c>
      <c r="R226" s="329">
        <v>511</v>
      </c>
      <c r="S226" s="329">
        <v>676</v>
      </c>
      <c r="T226" s="329">
        <v>1187</v>
      </c>
      <c r="U226" s="329">
        <v>1</v>
      </c>
      <c r="V226" s="329">
        <v>5</v>
      </c>
      <c r="W226" s="329">
        <v>6</v>
      </c>
      <c r="X226" s="330">
        <v>12985</v>
      </c>
      <c r="Y226" s="330">
        <v>9714</v>
      </c>
      <c r="Z226" s="330">
        <v>22699</v>
      </c>
      <c r="AA226" s="13"/>
      <c r="AB226" s="13"/>
    </row>
    <row r="227" spans="2:28" outlineLevel="1" x14ac:dyDescent="0.25">
      <c r="B227" s="304">
        <v>45444</v>
      </c>
      <c r="C227" s="329">
        <v>6954</v>
      </c>
      <c r="D227" s="329">
        <v>5629</v>
      </c>
      <c r="E227" s="329">
        <v>12583</v>
      </c>
      <c r="F227" s="329">
        <v>10324</v>
      </c>
      <c r="G227" s="329">
        <v>11790</v>
      </c>
      <c r="H227" s="329">
        <v>22114</v>
      </c>
      <c r="I227" s="329">
        <v>0</v>
      </c>
      <c r="J227" s="329">
        <v>0</v>
      </c>
      <c r="K227" s="329">
        <v>0</v>
      </c>
      <c r="L227" s="329">
        <v>0</v>
      </c>
      <c r="M227" s="329">
        <v>0</v>
      </c>
      <c r="N227" s="329">
        <v>0</v>
      </c>
      <c r="O227" s="329">
        <v>2213</v>
      </c>
      <c r="P227" s="329">
        <v>808</v>
      </c>
      <c r="Q227" s="329">
        <v>3021</v>
      </c>
      <c r="R227" s="329">
        <v>543</v>
      </c>
      <c r="S227" s="329">
        <v>721</v>
      </c>
      <c r="T227" s="329">
        <v>1264</v>
      </c>
      <c r="U227" s="329">
        <v>5</v>
      </c>
      <c r="V227" s="329">
        <v>9</v>
      </c>
      <c r="W227" s="329">
        <v>14</v>
      </c>
      <c r="X227" s="330">
        <v>20039</v>
      </c>
      <c r="Y227" s="330">
        <v>18957</v>
      </c>
      <c r="Z227" s="330">
        <v>38996</v>
      </c>
      <c r="AA227" s="13"/>
      <c r="AB227" s="13"/>
    </row>
    <row r="228" spans="2:28" outlineLevel="1" x14ac:dyDescent="0.25">
      <c r="B228" s="304">
        <v>45474</v>
      </c>
      <c r="C228" s="329">
        <v>6366</v>
      </c>
      <c r="D228" s="329">
        <v>5590</v>
      </c>
      <c r="E228" s="329">
        <v>11956</v>
      </c>
      <c r="F228" s="329">
        <v>5598</v>
      </c>
      <c r="G228" s="329">
        <v>4256</v>
      </c>
      <c r="H228" s="329">
        <v>9854</v>
      </c>
      <c r="I228" s="329">
        <v>0</v>
      </c>
      <c r="J228" s="329">
        <v>0</v>
      </c>
      <c r="K228" s="329">
        <v>0</v>
      </c>
      <c r="L228" s="329">
        <v>0</v>
      </c>
      <c r="M228" s="329">
        <v>0</v>
      </c>
      <c r="N228" s="329">
        <v>0</v>
      </c>
      <c r="O228" s="329">
        <v>2983</v>
      </c>
      <c r="P228" s="329">
        <v>973</v>
      </c>
      <c r="Q228" s="329">
        <v>3956</v>
      </c>
      <c r="R228" s="329">
        <v>889</v>
      </c>
      <c r="S228" s="329">
        <v>930</v>
      </c>
      <c r="T228" s="329">
        <v>1819</v>
      </c>
      <c r="U228" s="329">
        <v>5</v>
      </c>
      <c r="V228" s="329">
        <v>12</v>
      </c>
      <c r="W228" s="329">
        <v>17</v>
      </c>
      <c r="X228" s="330">
        <v>15841</v>
      </c>
      <c r="Y228" s="330">
        <v>11761</v>
      </c>
      <c r="Z228" s="330">
        <v>27602</v>
      </c>
      <c r="AA228" s="13"/>
      <c r="AB228" s="13"/>
    </row>
    <row r="229" spans="2:28" outlineLevel="1" x14ac:dyDescent="0.25">
      <c r="B229" s="304">
        <v>45505</v>
      </c>
      <c r="C229" s="329">
        <v>6623</v>
      </c>
      <c r="D229" s="329">
        <v>5725</v>
      </c>
      <c r="E229" s="329">
        <v>12348</v>
      </c>
      <c r="F229" s="329">
        <v>5529</v>
      </c>
      <c r="G229" s="329">
        <v>4993</v>
      </c>
      <c r="H229" s="329">
        <v>10522</v>
      </c>
      <c r="I229" s="329">
        <v>0</v>
      </c>
      <c r="J229" s="329">
        <v>0</v>
      </c>
      <c r="K229" s="329">
        <v>0</v>
      </c>
      <c r="L229" s="329">
        <v>0</v>
      </c>
      <c r="M229" s="329">
        <v>0</v>
      </c>
      <c r="N229" s="329">
        <v>0</v>
      </c>
      <c r="O229" s="329">
        <v>2525</v>
      </c>
      <c r="P229" s="329">
        <v>836</v>
      </c>
      <c r="Q229" s="329">
        <v>3361</v>
      </c>
      <c r="R229" s="329">
        <v>1111</v>
      </c>
      <c r="S229" s="329">
        <v>1263</v>
      </c>
      <c r="T229" s="329">
        <v>2374</v>
      </c>
      <c r="U229" s="329">
        <v>3</v>
      </c>
      <c r="V229" s="329">
        <v>17</v>
      </c>
      <c r="W229" s="329">
        <v>20</v>
      </c>
      <c r="X229" s="330">
        <v>15791</v>
      </c>
      <c r="Y229" s="330">
        <v>12834</v>
      </c>
      <c r="Z229" s="330">
        <v>28625</v>
      </c>
      <c r="AA229" s="13"/>
      <c r="AB229" s="13"/>
    </row>
    <row r="230" spans="2:28" x14ac:dyDescent="0.25">
      <c r="B230" s="304">
        <v>45536</v>
      </c>
      <c r="C230" s="329">
        <v>5344</v>
      </c>
      <c r="D230" s="329">
        <v>6297</v>
      </c>
      <c r="E230" s="329">
        <v>11641</v>
      </c>
      <c r="F230" s="329">
        <v>4243</v>
      </c>
      <c r="G230" s="329">
        <v>1885</v>
      </c>
      <c r="H230" s="329">
        <v>6128</v>
      </c>
      <c r="I230" s="329">
        <v>0</v>
      </c>
      <c r="J230" s="329">
        <v>0</v>
      </c>
      <c r="K230" s="329">
        <v>0</v>
      </c>
      <c r="L230" s="329">
        <v>0</v>
      </c>
      <c r="M230" s="329">
        <v>0</v>
      </c>
      <c r="N230" s="329">
        <v>0</v>
      </c>
      <c r="O230" s="329">
        <v>1903</v>
      </c>
      <c r="P230" s="329">
        <v>697</v>
      </c>
      <c r="Q230" s="329">
        <v>2600</v>
      </c>
      <c r="R230" s="329">
        <v>978</v>
      </c>
      <c r="S230" s="329">
        <v>1089</v>
      </c>
      <c r="T230" s="329">
        <v>2067</v>
      </c>
      <c r="U230" s="329">
        <v>1</v>
      </c>
      <c r="V230" s="329">
        <v>2</v>
      </c>
      <c r="W230" s="329">
        <v>3</v>
      </c>
      <c r="X230" s="330">
        <v>12469</v>
      </c>
      <c r="Y230" s="330">
        <v>9970</v>
      </c>
      <c r="Z230" s="330">
        <v>22439</v>
      </c>
      <c r="AA230" s="13"/>
      <c r="AB230" s="13"/>
    </row>
    <row r="231" spans="2:28" ht="32.25" x14ac:dyDescent="0.25">
      <c r="B231" s="305" t="s">
        <v>876</v>
      </c>
      <c r="C231" s="330">
        <v>129061</v>
      </c>
      <c r="D231" s="330">
        <v>147534</v>
      </c>
      <c r="E231" s="330">
        <v>276595</v>
      </c>
      <c r="F231" s="330">
        <v>399402</v>
      </c>
      <c r="G231" s="330">
        <v>360361</v>
      </c>
      <c r="H231" s="330">
        <v>759763</v>
      </c>
      <c r="I231" s="330">
        <v>429235</v>
      </c>
      <c r="J231" s="330">
        <v>131296</v>
      </c>
      <c r="K231" s="330">
        <v>560531</v>
      </c>
      <c r="L231" s="330">
        <v>1010414</v>
      </c>
      <c r="M231" s="330">
        <v>786518</v>
      </c>
      <c r="N231" s="330">
        <v>1796932</v>
      </c>
      <c r="O231" s="330">
        <v>287561</v>
      </c>
      <c r="P231" s="330">
        <v>113724</v>
      </c>
      <c r="Q231" s="330">
        <v>401285</v>
      </c>
      <c r="R231" s="330">
        <v>78333</v>
      </c>
      <c r="S231" s="330">
        <v>80002</v>
      </c>
      <c r="T231" s="330">
        <v>158335</v>
      </c>
      <c r="U231" s="330">
        <v>28</v>
      </c>
      <c r="V231" s="330">
        <v>124</v>
      </c>
      <c r="W231" s="330">
        <v>152</v>
      </c>
      <c r="X231" s="330">
        <v>2334034</v>
      </c>
      <c r="Y231" s="330">
        <v>1619559</v>
      </c>
      <c r="Z231" s="330">
        <v>3953593</v>
      </c>
      <c r="AA231" s="13"/>
      <c r="AB231" s="13"/>
    </row>
    <row r="232" spans="2:28" ht="68.25" customHeight="1" x14ac:dyDescent="0.25">
      <c r="B232" s="454" t="s">
        <v>864</v>
      </c>
      <c r="C232" s="454"/>
      <c r="D232" s="454"/>
      <c r="E232" s="454"/>
      <c r="F232" s="454"/>
      <c r="G232" s="454"/>
      <c r="H232" s="454"/>
      <c r="I232" s="454"/>
      <c r="J232" s="454"/>
      <c r="K232" s="454"/>
      <c r="L232" s="454"/>
      <c r="M232" s="454"/>
      <c r="N232" s="454"/>
      <c r="O232" s="454"/>
      <c r="P232" s="454"/>
      <c r="Q232" s="454"/>
      <c r="R232" s="454"/>
      <c r="S232" s="454"/>
      <c r="T232" s="454"/>
      <c r="U232" s="454"/>
      <c r="V232" s="454"/>
      <c r="W232" s="454"/>
      <c r="X232" s="13"/>
      <c r="Y232" s="13"/>
    </row>
    <row r="233" spans="2:28" x14ac:dyDescent="0.25">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2:28" x14ac:dyDescent="0.25">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2:28" x14ac:dyDescent="0.25">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2:28" x14ac:dyDescent="0.25">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2:28" x14ac:dyDescent="0.25">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2:28" x14ac:dyDescent="0.25">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2:28" x14ac:dyDescent="0.25">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2:28" x14ac:dyDescent="0.25">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3:25" x14ac:dyDescent="0.25">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3:25" x14ac:dyDescent="0.25">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3:25" x14ac:dyDescent="0.25">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3:25" x14ac:dyDescent="0.25">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3:25" x14ac:dyDescent="0.25">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3:25" x14ac:dyDescent="0.25">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3:25" x14ac:dyDescent="0.25">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3:25" x14ac:dyDescent="0.25">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3:25" x14ac:dyDescent="0.25">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3:25" x14ac:dyDescent="0.25">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3:25" x14ac:dyDescent="0.25">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3:25" x14ac:dyDescent="0.25">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3:25" x14ac:dyDescent="0.25">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3:25" x14ac:dyDescent="0.25">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3:25" x14ac:dyDescent="0.25">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3:25" x14ac:dyDescent="0.25">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3:25" x14ac:dyDescent="0.25">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3:25" x14ac:dyDescent="0.25">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3:25" x14ac:dyDescent="0.25">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3: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3: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3: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3: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3: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3: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3: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3: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3: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3: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3: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3: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3: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2: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2: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2:25" x14ac:dyDescent="0.25">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2:25" x14ac:dyDescent="0.25">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9" spans="2:25" x14ac:dyDescent="0.25">
      <c r="B279" s="157"/>
      <c r="C279" s="189"/>
      <c r="D279" s="189"/>
      <c r="E279" s="189"/>
      <c r="F279" s="189"/>
      <c r="G279" s="189"/>
      <c r="H279" s="189"/>
      <c r="I279" s="13"/>
      <c r="J279" s="13"/>
      <c r="K279" s="13"/>
      <c r="L279" s="13"/>
      <c r="M279" s="13"/>
      <c r="N279" s="13"/>
      <c r="O279" s="13"/>
      <c r="P279" s="13"/>
      <c r="Q279" s="13"/>
      <c r="R279" s="13"/>
      <c r="S279" s="13"/>
      <c r="T279" s="13"/>
      <c r="U279" s="13"/>
      <c r="V279" s="13"/>
      <c r="W279" s="13"/>
      <c r="X279" s="13"/>
      <c r="Y279" s="13"/>
    </row>
  </sheetData>
  <mergeCells count="27">
    <mergeCell ref="D7:O7"/>
    <mergeCell ref="B7:B9"/>
    <mergeCell ref="C7:C9"/>
    <mergeCell ref="L8:M8"/>
    <mergeCell ref="H8:I8"/>
    <mergeCell ref="D8:E8"/>
    <mergeCell ref="F8:G8"/>
    <mergeCell ref="N8:O8"/>
    <mergeCell ref="J8:K8"/>
    <mergeCell ref="B10:B12"/>
    <mergeCell ref="B16:B18"/>
    <mergeCell ref="B19:B21"/>
    <mergeCell ref="B25:B27"/>
    <mergeCell ref="B28:O28"/>
    <mergeCell ref="B22:B24"/>
    <mergeCell ref="U34:W34"/>
    <mergeCell ref="C33:W33"/>
    <mergeCell ref="B232:W232"/>
    <mergeCell ref="X33:Z34"/>
    <mergeCell ref="B13:B15"/>
    <mergeCell ref="C34:E34"/>
    <mergeCell ref="B33:B35"/>
    <mergeCell ref="F34:H34"/>
    <mergeCell ref="I34:K34"/>
    <mergeCell ref="L34:N34"/>
    <mergeCell ref="O34:Q34"/>
    <mergeCell ref="R34:T34"/>
  </mergeCells>
  <phoneticPr fontId="27" type="noConversion"/>
  <pageMargins left="0.7" right="0.7" top="0.75" bottom="0.75" header="0.3" footer="0.3"/>
  <pageSetup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 workbookViewId="1"/>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19</v>
      </c>
      <c r="C2"/>
      <c r="D2"/>
    </row>
    <row r="3" spans="2:35" ht="17.45" customHeight="1" x14ac:dyDescent="0.35">
      <c r="B3" s="203" t="s">
        <v>542</v>
      </c>
    </row>
    <row r="4" spans="2:35" ht="18.75" x14ac:dyDescent="0.3">
      <c r="B4" s="2" t="s">
        <v>20</v>
      </c>
      <c r="C4" s="2"/>
      <c r="D4" s="2"/>
      <c r="E4" s="2"/>
      <c r="F4" s="2"/>
      <c r="G4" s="2"/>
      <c r="H4" s="2"/>
      <c r="I4" s="8"/>
    </row>
    <row r="5" spans="2:35" x14ac:dyDescent="0.25">
      <c r="B5" s="15" t="s">
        <v>0</v>
      </c>
      <c r="C5" s="9"/>
      <c r="D5" s="9"/>
      <c r="E5" s="9"/>
      <c r="F5" s="9"/>
      <c r="G5" s="9"/>
      <c r="H5" s="9"/>
    </row>
    <row r="7" spans="2:35" ht="32.450000000000003" customHeight="1" x14ac:dyDescent="0.25">
      <c r="B7" s="465" t="s">
        <v>9</v>
      </c>
      <c r="C7" s="466" t="s">
        <v>21</v>
      </c>
      <c r="D7" s="467"/>
      <c r="E7" s="467"/>
      <c r="F7" s="467"/>
      <c r="G7" s="467"/>
      <c r="H7" s="467"/>
    </row>
    <row r="8" spans="2:35" ht="37.9" customHeight="1" x14ac:dyDescent="0.25">
      <c r="B8" s="465"/>
      <c r="C8" s="16" t="s">
        <v>22</v>
      </c>
      <c r="D8" s="16" t="s">
        <v>23</v>
      </c>
      <c r="E8" s="17" t="s">
        <v>12</v>
      </c>
      <c r="F8" s="16" t="s">
        <v>24</v>
      </c>
      <c r="G8" s="16" t="s">
        <v>13</v>
      </c>
      <c r="H8" s="18" t="s">
        <v>25</v>
      </c>
      <c r="K8" s="202" t="s">
        <v>541</v>
      </c>
    </row>
    <row r="9" spans="2:35" ht="15.75" customHeight="1" x14ac:dyDescent="0.3">
      <c r="B9" s="19" t="s">
        <v>26</v>
      </c>
      <c r="C9" s="20">
        <v>83903</v>
      </c>
      <c r="D9" s="20">
        <v>36885</v>
      </c>
      <c r="E9" s="20">
        <v>12630</v>
      </c>
      <c r="F9" s="20">
        <v>5944</v>
      </c>
      <c r="G9" s="20"/>
      <c r="H9" s="20">
        <f t="shared" ref="H9:H28" si="0">SUM(C9:F9)</f>
        <v>139362</v>
      </c>
      <c r="K9" s="21" t="s">
        <v>27</v>
      </c>
      <c r="L9" s="8"/>
      <c r="M9" s="8"/>
      <c r="N9" s="8"/>
      <c r="O9" s="8"/>
      <c r="P9" s="8"/>
      <c r="Q9" s="8"/>
      <c r="R9" s="8"/>
      <c r="S9" s="8"/>
      <c r="T9" s="8"/>
      <c r="AD9" s="21" t="s">
        <v>27</v>
      </c>
    </row>
    <row r="10" spans="2:35" ht="15.75" customHeight="1" x14ac:dyDescent="0.25">
      <c r="B10" s="19" t="s">
        <v>28</v>
      </c>
      <c r="C10" s="20">
        <v>59154</v>
      </c>
      <c r="D10" s="20">
        <v>35458</v>
      </c>
      <c r="E10" s="20">
        <v>298121</v>
      </c>
      <c r="F10" s="20">
        <v>11707</v>
      </c>
      <c r="G10" s="20"/>
      <c r="H10" s="20">
        <f t="shared" si="0"/>
        <v>404440</v>
      </c>
      <c r="K10" s="3" t="s">
        <v>0</v>
      </c>
      <c r="AD10" s="3" t="s">
        <v>504</v>
      </c>
    </row>
    <row r="11" spans="2:35" ht="15.75" customHeight="1" thickBot="1" x14ac:dyDescent="0.3">
      <c r="B11" s="19" t="s">
        <v>29</v>
      </c>
      <c r="C11" s="20">
        <v>40733</v>
      </c>
      <c r="D11" s="20">
        <v>24967</v>
      </c>
      <c r="E11" s="20">
        <v>168046</v>
      </c>
      <c r="F11" s="20">
        <v>11929</v>
      </c>
      <c r="G11" s="20"/>
      <c r="H11" s="20">
        <f t="shared" si="0"/>
        <v>245675</v>
      </c>
    </row>
    <row r="12" spans="2:35" ht="15.75" customHeight="1" thickBot="1" x14ac:dyDescent="0.3">
      <c r="B12" s="19" t="s">
        <v>30</v>
      </c>
      <c r="C12" s="20">
        <v>37414</v>
      </c>
      <c r="D12" s="20">
        <v>20938</v>
      </c>
      <c r="E12" s="20">
        <v>126071</v>
      </c>
      <c r="F12" s="20">
        <v>10368</v>
      </c>
      <c r="G12" s="20"/>
      <c r="H12" s="20">
        <f t="shared" si="0"/>
        <v>194791</v>
      </c>
      <c r="K12" s="22" t="s">
        <v>31</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25</v>
      </c>
      <c r="AD12" s="195" t="s">
        <v>31</v>
      </c>
      <c r="AE12" s="196">
        <v>44835</v>
      </c>
      <c r="AF12" s="196">
        <v>44866</v>
      </c>
      <c r="AG12" s="196">
        <v>44896</v>
      </c>
      <c r="AH12" s="195" t="s">
        <v>473</v>
      </c>
      <c r="AI12"/>
    </row>
    <row r="13" spans="2:35" ht="15.75" customHeight="1" x14ac:dyDescent="0.25">
      <c r="B13" s="19" t="s">
        <v>32</v>
      </c>
      <c r="C13" s="20">
        <v>34111</v>
      </c>
      <c r="D13" s="20">
        <v>19594</v>
      </c>
      <c r="E13" s="20">
        <v>130339</v>
      </c>
      <c r="F13" s="20">
        <v>8226</v>
      </c>
      <c r="G13" s="20"/>
      <c r="H13" s="20">
        <f t="shared" si="0"/>
        <v>192270</v>
      </c>
      <c r="K13" s="26" t="s">
        <v>33</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3" t="s">
        <v>33</v>
      </c>
      <c r="AE13" s="194">
        <v>19719</v>
      </c>
      <c r="AF13" s="194">
        <v>22796</v>
      </c>
      <c r="AG13" s="194">
        <v>17770</v>
      </c>
      <c r="AH13" s="194">
        <f>SUM(AE13:AG13)</f>
        <v>60285</v>
      </c>
      <c r="AI13"/>
    </row>
    <row r="14" spans="2:35" ht="15.75" customHeight="1" x14ac:dyDescent="0.25">
      <c r="B14" s="19" t="s">
        <v>34</v>
      </c>
      <c r="C14" s="20">
        <v>32718</v>
      </c>
      <c r="D14" s="20">
        <v>17032</v>
      </c>
      <c r="E14" s="20">
        <v>76989</v>
      </c>
      <c r="F14" s="20">
        <v>7295</v>
      </c>
      <c r="G14" s="20"/>
      <c r="H14" s="20">
        <f t="shared" si="0"/>
        <v>134034</v>
      </c>
      <c r="K14" s="31" t="s">
        <v>35</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3" t="s">
        <v>35</v>
      </c>
      <c r="AE14" s="194">
        <v>6527</v>
      </c>
      <c r="AF14" s="194">
        <v>6510</v>
      </c>
      <c r="AG14" s="194">
        <v>5625</v>
      </c>
      <c r="AH14" s="194">
        <f t="shared" ref="AH14:AH17" si="2">SUM(AE14:AG14)</f>
        <v>18662</v>
      </c>
      <c r="AI14"/>
    </row>
    <row r="15" spans="2:35" ht="15.75" customHeight="1" x14ac:dyDescent="0.25">
      <c r="B15" s="19" t="s">
        <v>36</v>
      </c>
      <c r="C15" s="20">
        <v>39392</v>
      </c>
      <c r="D15" s="20">
        <v>17573</v>
      </c>
      <c r="E15" s="20">
        <v>88545</v>
      </c>
      <c r="F15" s="20">
        <v>6054</v>
      </c>
      <c r="G15" s="20"/>
      <c r="H15" s="20">
        <f t="shared" si="0"/>
        <v>151564</v>
      </c>
      <c r="I15" s="36"/>
      <c r="K15" s="31" t="s">
        <v>37</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3" t="s">
        <v>37</v>
      </c>
      <c r="AE15" s="194">
        <v>623</v>
      </c>
      <c r="AF15" s="194">
        <v>681</v>
      </c>
      <c r="AG15" s="194">
        <v>385</v>
      </c>
      <c r="AH15" s="194">
        <f t="shared" si="2"/>
        <v>1689</v>
      </c>
      <c r="AI15"/>
    </row>
    <row r="16" spans="2:35" x14ac:dyDescent="0.25">
      <c r="B16" s="19" t="s">
        <v>38</v>
      </c>
      <c r="C16" s="20">
        <v>31042</v>
      </c>
      <c r="D16" s="20">
        <v>18557</v>
      </c>
      <c r="E16" s="20">
        <v>88878</v>
      </c>
      <c r="F16" s="20">
        <v>2501</v>
      </c>
      <c r="G16" s="20"/>
      <c r="H16" s="20">
        <f t="shared" si="0"/>
        <v>140978</v>
      </c>
      <c r="I16" s="36"/>
      <c r="K16" s="31" t="s">
        <v>39</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3" t="s">
        <v>39</v>
      </c>
      <c r="AE16" s="194">
        <v>2426</v>
      </c>
      <c r="AF16" s="194">
        <v>2788</v>
      </c>
      <c r="AG16" s="194">
        <v>2390</v>
      </c>
      <c r="AH16" s="194">
        <f t="shared" si="2"/>
        <v>7604</v>
      </c>
      <c r="AI16"/>
    </row>
    <row r="17" spans="2:35" x14ac:dyDescent="0.25">
      <c r="B17" s="37" t="s">
        <v>40</v>
      </c>
      <c r="C17" s="33">
        <v>2173</v>
      </c>
      <c r="D17" s="33">
        <v>1500</v>
      </c>
      <c r="E17" s="33">
        <v>6222</v>
      </c>
      <c r="F17" s="33">
        <v>224</v>
      </c>
      <c r="G17" s="33"/>
      <c r="H17" s="33">
        <f t="shared" si="0"/>
        <v>10119</v>
      </c>
      <c r="K17" s="31" t="s">
        <v>41</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3" t="s">
        <v>41</v>
      </c>
      <c r="AE17" s="194">
        <v>20297</v>
      </c>
      <c r="AF17" s="194">
        <v>15246</v>
      </c>
      <c r="AG17" s="194">
        <v>12744</v>
      </c>
      <c r="AH17" s="194">
        <f t="shared" si="2"/>
        <v>48287</v>
      </c>
      <c r="AI17"/>
    </row>
    <row r="18" spans="2:35" x14ac:dyDescent="0.25">
      <c r="B18" s="37" t="s">
        <v>42</v>
      </c>
      <c r="C18" s="33">
        <v>2224</v>
      </c>
      <c r="D18" s="33">
        <v>1403</v>
      </c>
      <c r="E18" s="33">
        <v>6802</v>
      </c>
      <c r="F18" s="33">
        <v>216</v>
      </c>
      <c r="G18" s="33"/>
      <c r="H18" s="33">
        <f t="shared" si="0"/>
        <v>10645</v>
      </c>
      <c r="K18" s="31" t="s">
        <v>43</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3" t="s">
        <v>43</v>
      </c>
      <c r="AE18" s="194"/>
      <c r="AF18" s="194"/>
      <c r="AG18" s="194"/>
      <c r="AH18" s="194"/>
      <c r="AI18"/>
    </row>
    <row r="19" spans="2:35" ht="15.75" thickBot="1" x14ac:dyDescent="0.3">
      <c r="B19" s="37" t="s">
        <v>44</v>
      </c>
      <c r="C19" s="33">
        <v>2350</v>
      </c>
      <c r="D19" s="33">
        <v>1601</v>
      </c>
      <c r="E19" s="33">
        <v>6925</v>
      </c>
      <c r="F19" s="33">
        <v>207</v>
      </c>
      <c r="G19" s="33"/>
      <c r="H19" s="33">
        <f t="shared" si="0"/>
        <v>11083</v>
      </c>
      <c r="K19" s="38" t="s">
        <v>25</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7" t="s">
        <v>25</v>
      </c>
      <c r="AE19" s="139">
        <f>SUM(AE13:AE18)</f>
        <v>49592</v>
      </c>
      <c r="AF19" s="139">
        <f t="shared" ref="AF19:AH19" si="4">SUM(AF13:AF18)</f>
        <v>48021</v>
      </c>
      <c r="AG19" s="139">
        <f t="shared" si="4"/>
        <v>38914</v>
      </c>
      <c r="AH19" s="139">
        <f t="shared" si="4"/>
        <v>136527</v>
      </c>
      <c r="AI19"/>
    </row>
    <row r="20" spans="2:35" x14ac:dyDescent="0.25">
      <c r="B20" s="37" t="s">
        <v>45</v>
      </c>
      <c r="C20" s="33">
        <v>3284</v>
      </c>
      <c r="D20" s="33">
        <v>1531</v>
      </c>
      <c r="E20" s="33">
        <v>7503</v>
      </c>
      <c r="F20" s="33">
        <v>205</v>
      </c>
      <c r="G20" s="33"/>
      <c r="H20" s="33">
        <f t="shared" si="0"/>
        <v>12523</v>
      </c>
      <c r="K20" s="5" t="s">
        <v>17</v>
      </c>
    </row>
    <row r="21" spans="2:35" x14ac:dyDescent="0.25">
      <c r="B21" s="37" t="s">
        <v>46</v>
      </c>
      <c r="C21" s="33">
        <v>2764</v>
      </c>
      <c r="D21" s="33">
        <v>1579</v>
      </c>
      <c r="E21" s="33">
        <v>9264</v>
      </c>
      <c r="F21" s="33">
        <v>224</v>
      </c>
      <c r="G21" s="33"/>
      <c r="H21" s="33">
        <f t="shared" si="0"/>
        <v>13831</v>
      </c>
    </row>
    <row r="22" spans="2:35" x14ac:dyDescent="0.25">
      <c r="B22" s="37" t="s">
        <v>47</v>
      </c>
      <c r="C22" s="33">
        <v>2478</v>
      </c>
      <c r="D22" s="33">
        <v>1445</v>
      </c>
      <c r="E22" s="33">
        <v>6920</v>
      </c>
      <c r="F22" s="33">
        <v>174</v>
      </c>
      <c r="G22" s="33"/>
      <c r="H22" s="33">
        <f t="shared" si="0"/>
        <v>11017</v>
      </c>
    </row>
    <row r="23" spans="2:35" ht="18.75" x14ac:dyDescent="0.3">
      <c r="B23" s="37" t="s">
        <v>48</v>
      </c>
      <c r="C23" s="33">
        <v>2663</v>
      </c>
      <c r="D23" s="33">
        <v>1514</v>
      </c>
      <c r="E23" s="33">
        <v>6996</v>
      </c>
      <c r="F23" s="33">
        <v>198</v>
      </c>
      <c r="G23" s="33"/>
      <c r="H23" s="33">
        <f t="shared" si="0"/>
        <v>11371</v>
      </c>
      <c r="K23" s="21" t="s">
        <v>49</v>
      </c>
      <c r="L23" s="8"/>
      <c r="M23" s="8"/>
      <c r="N23" s="8"/>
      <c r="O23" s="8"/>
      <c r="P23" s="8"/>
      <c r="Q23" s="8"/>
      <c r="R23" s="8"/>
      <c r="S23" s="8"/>
      <c r="T23" s="8"/>
    </row>
    <row r="24" spans="2:35" x14ac:dyDescent="0.25">
      <c r="B24" s="37" t="s">
        <v>50</v>
      </c>
      <c r="C24" s="33">
        <v>2949</v>
      </c>
      <c r="D24" s="33">
        <v>1850</v>
      </c>
      <c r="E24" s="33">
        <v>8983</v>
      </c>
      <c r="F24" s="33">
        <v>245</v>
      </c>
      <c r="G24" s="33"/>
      <c r="H24" s="33">
        <f t="shared" si="0"/>
        <v>14027</v>
      </c>
      <c r="K24" s="15" t="s">
        <v>8</v>
      </c>
    </row>
    <row r="25" spans="2:35" ht="15.75" thickBot="1" x14ac:dyDescent="0.3">
      <c r="B25" s="37" t="s">
        <v>51</v>
      </c>
      <c r="C25" s="33">
        <v>2715</v>
      </c>
      <c r="D25" s="33">
        <v>1614</v>
      </c>
      <c r="E25" s="33">
        <v>7860</v>
      </c>
      <c r="F25" s="33">
        <v>213</v>
      </c>
      <c r="G25" s="33"/>
      <c r="H25" s="33">
        <f t="shared" si="0"/>
        <v>12402</v>
      </c>
    </row>
    <row r="26" spans="2:35" ht="15.75" thickBot="1" x14ac:dyDescent="0.3">
      <c r="B26" s="37" t="s">
        <v>52</v>
      </c>
      <c r="C26" s="33">
        <v>2274</v>
      </c>
      <c r="D26" s="33">
        <v>1331</v>
      </c>
      <c r="E26" s="33">
        <v>6676</v>
      </c>
      <c r="F26" s="33">
        <v>215</v>
      </c>
      <c r="G26" s="33"/>
      <c r="H26" s="33">
        <f t="shared" si="0"/>
        <v>10496</v>
      </c>
      <c r="K26" s="22" t="s">
        <v>31</v>
      </c>
      <c r="L26" s="43" t="s">
        <v>42</v>
      </c>
      <c r="M26" s="44" t="s">
        <v>44</v>
      </c>
      <c r="N26" s="44" t="s">
        <v>45</v>
      </c>
      <c r="O26" s="44" t="s">
        <v>46</v>
      </c>
      <c r="P26" s="44" t="s">
        <v>47</v>
      </c>
      <c r="Q26" s="44" t="s">
        <v>48</v>
      </c>
      <c r="R26" s="44" t="s">
        <v>50</v>
      </c>
      <c r="S26" s="44" t="s">
        <v>51</v>
      </c>
      <c r="T26" s="44" t="s">
        <v>52</v>
      </c>
      <c r="U26" s="44" t="s">
        <v>53</v>
      </c>
      <c r="V26" s="45" t="s">
        <v>54</v>
      </c>
      <c r="W26" s="22" t="s">
        <v>25</v>
      </c>
    </row>
    <row r="27" spans="2:35" x14ac:dyDescent="0.25">
      <c r="B27" s="37" t="s">
        <v>53</v>
      </c>
      <c r="C27" s="33">
        <v>2376</v>
      </c>
      <c r="D27" s="33">
        <v>1259</v>
      </c>
      <c r="E27" s="33">
        <v>6679</v>
      </c>
      <c r="F27" s="33">
        <v>208</v>
      </c>
      <c r="G27" s="33"/>
      <c r="H27" s="33">
        <f t="shared" si="0"/>
        <v>10522</v>
      </c>
      <c r="K27" s="26" t="s">
        <v>33</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54</v>
      </c>
      <c r="C28" s="33">
        <v>2435</v>
      </c>
      <c r="D28" s="33">
        <v>1467</v>
      </c>
      <c r="E28" s="33">
        <v>6602</v>
      </c>
      <c r="F28" s="33">
        <v>248</v>
      </c>
      <c r="G28" s="33"/>
      <c r="H28" s="33">
        <f t="shared" si="0"/>
        <v>10752</v>
      </c>
      <c r="K28" s="31" t="s">
        <v>35</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55</v>
      </c>
      <c r="C29" s="20">
        <f t="shared" ref="C29:H29" si="6">SUM(C17:C28)</f>
        <v>30685</v>
      </c>
      <c r="D29" s="20">
        <f t="shared" si="6"/>
        <v>18094</v>
      </c>
      <c r="E29" s="20">
        <f t="shared" si="6"/>
        <v>87432</v>
      </c>
      <c r="F29" s="20">
        <f t="shared" si="6"/>
        <v>2577</v>
      </c>
      <c r="G29" s="20"/>
      <c r="H29" s="20">
        <f t="shared" si="6"/>
        <v>138788</v>
      </c>
      <c r="I29" s="36"/>
      <c r="K29" s="31" t="s">
        <v>37</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40</v>
      </c>
      <c r="C30" s="33">
        <v>3122</v>
      </c>
      <c r="D30" s="33">
        <v>1508</v>
      </c>
      <c r="E30" s="33">
        <v>7979</v>
      </c>
      <c r="F30" s="33">
        <v>269</v>
      </c>
      <c r="G30" s="33"/>
      <c r="H30" s="33">
        <f t="shared" ref="H30:H41" si="7">SUM(C30:F30)</f>
        <v>12878</v>
      </c>
      <c r="K30" s="31" t="s">
        <v>39</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42</v>
      </c>
      <c r="C31" s="33">
        <v>2377</v>
      </c>
      <c r="D31" s="33">
        <v>1375</v>
      </c>
      <c r="E31" s="33">
        <v>7282</v>
      </c>
      <c r="F31" s="33">
        <v>213</v>
      </c>
      <c r="G31" s="33"/>
      <c r="H31" s="33">
        <f t="shared" si="7"/>
        <v>11247</v>
      </c>
      <c r="K31" s="31" t="s">
        <v>43</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44</v>
      </c>
      <c r="C32" s="33">
        <v>2340</v>
      </c>
      <c r="D32" s="33">
        <v>1762</v>
      </c>
      <c r="E32" s="33">
        <v>8966</v>
      </c>
      <c r="F32" s="33">
        <v>224</v>
      </c>
      <c r="G32" s="33"/>
      <c r="H32" s="33">
        <f t="shared" si="7"/>
        <v>13292</v>
      </c>
      <c r="K32" s="48" t="s">
        <v>25</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45</v>
      </c>
      <c r="C33" s="33">
        <v>2319</v>
      </c>
      <c r="D33" s="33">
        <v>1421</v>
      </c>
      <c r="E33" s="33">
        <v>7022</v>
      </c>
      <c r="F33" s="33">
        <v>212</v>
      </c>
      <c r="G33" s="33"/>
      <c r="H33" s="33">
        <f t="shared" si="7"/>
        <v>10974</v>
      </c>
      <c r="K33" s="5" t="s">
        <v>17</v>
      </c>
    </row>
    <row r="34" spans="2:18" x14ac:dyDescent="0.25">
      <c r="B34" s="37" t="s">
        <v>46</v>
      </c>
      <c r="C34" s="33">
        <v>2725</v>
      </c>
      <c r="D34" s="33">
        <v>1582</v>
      </c>
      <c r="E34" s="33">
        <v>9937</v>
      </c>
      <c r="F34" s="33">
        <v>270</v>
      </c>
      <c r="G34" s="33"/>
      <c r="H34" s="33">
        <f t="shared" si="7"/>
        <v>14514</v>
      </c>
    </row>
    <row r="35" spans="2:18" x14ac:dyDescent="0.25">
      <c r="B35" s="37" t="s">
        <v>47</v>
      </c>
      <c r="C35" s="33">
        <v>2467</v>
      </c>
      <c r="D35" s="33">
        <v>1474</v>
      </c>
      <c r="E35" s="33">
        <v>7973</v>
      </c>
      <c r="F35" s="33">
        <v>218</v>
      </c>
      <c r="G35" s="33"/>
      <c r="H35" s="33">
        <f t="shared" si="7"/>
        <v>12132</v>
      </c>
    </row>
    <row r="36" spans="2:18" ht="18.75" x14ac:dyDescent="0.3">
      <c r="B36" s="37" t="s">
        <v>48</v>
      </c>
      <c r="C36" s="33">
        <v>2809</v>
      </c>
      <c r="D36" s="33">
        <v>1626</v>
      </c>
      <c r="E36" s="33">
        <v>9532</v>
      </c>
      <c r="F36" s="33">
        <v>294</v>
      </c>
      <c r="G36" s="33"/>
      <c r="H36" s="33">
        <f t="shared" si="7"/>
        <v>14261</v>
      </c>
      <c r="K36" s="2" t="s">
        <v>56</v>
      </c>
      <c r="L36" s="8"/>
      <c r="M36" s="8"/>
      <c r="N36" s="8"/>
      <c r="O36" s="8"/>
      <c r="P36" s="8"/>
      <c r="Q36" s="8"/>
      <c r="R36" s="8"/>
    </row>
    <row r="37" spans="2:18" x14ac:dyDescent="0.25">
      <c r="B37" s="37" t="s">
        <v>50</v>
      </c>
      <c r="C37" s="33">
        <v>2996</v>
      </c>
      <c r="D37" s="33">
        <v>1673</v>
      </c>
      <c r="E37" s="33">
        <v>9947</v>
      </c>
      <c r="F37" s="33">
        <v>305</v>
      </c>
      <c r="G37" s="33"/>
      <c r="H37" s="33">
        <f t="shared" si="7"/>
        <v>14921</v>
      </c>
      <c r="K37" s="15" t="s">
        <v>8</v>
      </c>
    </row>
    <row r="38" spans="2:18" ht="15.75" thickBot="1" x14ac:dyDescent="0.3">
      <c r="B38" s="37" t="s">
        <v>51</v>
      </c>
      <c r="C38" s="33">
        <v>2682</v>
      </c>
      <c r="D38" s="33">
        <v>1371</v>
      </c>
      <c r="E38" s="33">
        <v>8257</v>
      </c>
      <c r="F38" s="33">
        <v>259</v>
      </c>
      <c r="G38" s="33"/>
      <c r="H38" s="33">
        <f t="shared" si="7"/>
        <v>12569</v>
      </c>
    </row>
    <row r="39" spans="2:18" ht="15.75" thickBot="1" x14ac:dyDescent="0.3">
      <c r="B39" s="37" t="s">
        <v>52</v>
      </c>
      <c r="C39" s="33">
        <v>3034</v>
      </c>
      <c r="D39" s="33">
        <v>1585</v>
      </c>
      <c r="E39" s="33">
        <v>9685</v>
      </c>
      <c r="F39" s="33">
        <v>312</v>
      </c>
      <c r="G39" s="33"/>
      <c r="H39" s="33">
        <f t="shared" si="7"/>
        <v>14616</v>
      </c>
      <c r="K39" s="52" t="s">
        <v>57</v>
      </c>
      <c r="L39" s="53" t="s">
        <v>22</v>
      </c>
      <c r="M39" s="54" t="s">
        <v>23</v>
      </c>
      <c r="N39" s="54" t="s">
        <v>11</v>
      </c>
      <c r="O39" s="54" t="s">
        <v>24</v>
      </c>
      <c r="P39" s="54" t="s">
        <v>13</v>
      </c>
      <c r="Q39" s="55" t="s">
        <v>25</v>
      </c>
    </row>
    <row r="40" spans="2:18" x14ac:dyDescent="0.25">
      <c r="B40" s="37" t="s">
        <v>53</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54</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58</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40</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42</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44</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45</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46</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47</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48</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50</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51</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52</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53</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54</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59</v>
      </c>
      <c r="C55" s="20">
        <f>SUM(C43:C54)</f>
        <v>31567</v>
      </c>
      <c r="D55" s="20">
        <f t="shared" ref="D55:F55" si="12">SUM(D43:D54)</f>
        <v>16995</v>
      </c>
      <c r="E55" s="20">
        <f t="shared" si="12"/>
        <v>123567</v>
      </c>
      <c r="F55" s="20">
        <f t="shared" si="12"/>
        <v>6272</v>
      </c>
      <c r="G55" s="20"/>
      <c r="H55" s="20">
        <f>SUM(H43:H54)</f>
        <v>178401</v>
      </c>
      <c r="I55" s="36"/>
      <c r="J55" s="68"/>
      <c r="K55" s="69" t="s">
        <v>25</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40</v>
      </c>
      <c r="C56" s="46">
        <v>2750</v>
      </c>
      <c r="D56" s="33">
        <v>1462</v>
      </c>
      <c r="E56" s="33">
        <v>10200</v>
      </c>
      <c r="F56" s="33">
        <v>565</v>
      </c>
      <c r="G56" s="33"/>
      <c r="H56" s="33">
        <f t="shared" ref="H56:H80" si="14">SUM(C56:F56)</f>
        <v>14977</v>
      </c>
      <c r="K56" s="5" t="s">
        <v>17</v>
      </c>
    </row>
    <row r="57" spans="2:19" x14ac:dyDescent="0.25">
      <c r="B57" s="37" t="s">
        <v>42</v>
      </c>
      <c r="C57" s="46">
        <v>2188</v>
      </c>
      <c r="D57" s="33">
        <v>1293</v>
      </c>
      <c r="E57" s="33">
        <v>8591</v>
      </c>
      <c r="F57" s="33">
        <v>685</v>
      </c>
      <c r="G57" s="33"/>
      <c r="H57" s="33">
        <f t="shared" si="14"/>
        <v>12757</v>
      </c>
      <c r="K57" s="468" t="s">
        <v>18</v>
      </c>
      <c r="L57" s="468"/>
      <c r="M57" s="468"/>
      <c r="N57" s="468"/>
      <c r="O57" s="468"/>
      <c r="P57" s="468"/>
      <c r="Q57" s="468"/>
      <c r="R57" s="70"/>
      <c r="S57" s="70"/>
    </row>
    <row r="58" spans="2:19" x14ac:dyDescent="0.25">
      <c r="B58" s="37" t="s">
        <v>44</v>
      </c>
      <c r="C58" s="46">
        <v>2496</v>
      </c>
      <c r="D58" s="33">
        <v>1471</v>
      </c>
      <c r="E58" s="33">
        <v>9418</v>
      </c>
      <c r="F58" s="33">
        <v>638</v>
      </c>
      <c r="G58" s="33"/>
      <c r="H58" s="33">
        <f t="shared" si="14"/>
        <v>14023</v>
      </c>
      <c r="K58" s="468"/>
      <c r="L58" s="468"/>
      <c r="M58" s="468"/>
      <c r="N58" s="468"/>
      <c r="O58" s="468"/>
      <c r="P58" s="468"/>
      <c r="Q58" s="468"/>
      <c r="R58" s="70"/>
      <c r="S58" s="70"/>
    </row>
    <row r="59" spans="2:19" x14ac:dyDescent="0.25">
      <c r="B59" s="37" t="s">
        <v>45</v>
      </c>
      <c r="C59" s="46">
        <v>2388</v>
      </c>
      <c r="D59" s="33">
        <v>1544</v>
      </c>
      <c r="E59" s="33">
        <v>9186</v>
      </c>
      <c r="F59" s="33">
        <v>584</v>
      </c>
      <c r="G59" s="33"/>
      <c r="H59" s="33">
        <f t="shared" si="14"/>
        <v>13702</v>
      </c>
      <c r="K59" s="468"/>
      <c r="L59" s="468"/>
      <c r="M59" s="468"/>
      <c r="N59" s="468"/>
      <c r="O59" s="468"/>
      <c r="P59" s="468"/>
      <c r="Q59" s="468"/>
      <c r="R59" s="70"/>
      <c r="S59" s="70"/>
    </row>
    <row r="60" spans="2:19" x14ac:dyDescent="0.25">
      <c r="B60" s="37" t="s">
        <v>46</v>
      </c>
      <c r="C60" s="46">
        <v>2428</v>
      </c>
      <c r="D60" s="33">
        <v>1373</v>
      </c>
      <c r="E60" s="33">
        <v>9457</v>
      </c>
      <c r="F60" s="33">
        <v>483</v>
      </c>
      <c r="G60" s="33"/>
      <c r="H60" s="33">
        <f t="shared" si="14"/>
        <v>13741</v>
      </c>
      <c r="K60" s="468"/>
      <c r="L60" s="468"/>
      <c r="M60" s="468"/>
      <c r="N60" s="468"/>
      <c r="O60" s="468"/>
      <c r="P60" s="468"/>
      <c r="Q60" s="468"/>
      <c r="R60" s="70"/>
      <c r="S60" s="70"/>
    </row>
    <row r="61" spans="2:19" x14ac:dyDescent="0.25">
      <c r="B61" s="37" t="s">
        <v>47</v>
      </c>
      <c r="C61" s="46">
        <v>2221</v>
      </c>
      <c r="D61" s="33">
        <v>1366</v>
      </c>
      <c r="E61" s="33">
        <v>8050</v>
      </c>
      <c r="F61" s="33">
        <v>401</v>
      </c>
      <c r="G61" s="33"/>
      <c r="H61" s="33">
        <f t="shared" si="14"/>
        <v>12038</v>
      </c>
      <c r="K61" s="468"/>
      <c r="L61" s="468"/>
      <c r="M61" s="468"/>
      <c r="N61" s="468"/>
      <c r="O61" s="468"/>
      <c r="P61" s="468"/>
      <c r="Q61" s="468"/>
      <c r="R61" s="70"/>
      <c r="S61" s="70"/>
    </row>
    <row r="62" spans="2:19" x14ac:dyDescent="0.25">
      <c r="B62" s="37" t="s">
        <v>48</v>
      </c>
      <c r="C62" s="46">
        <v>2612</v>
      </c>
      <c r="D62" s="33">
        <v>1574</v>
      </c>
      <c r="E62" s="33">
        <v>10193</v>
      </c>
      <c r="F62" s="33">
        <v>470</v>
      </c>
      <c r="G62" s="33"/>
      <c r="H62" s="33">
        <f t="shared" si="14"/>
        <v>14849</v>
      </c>
      <c r="K62" s="468"/>
      <c r="L62" s="468"/>
      <c r="M62" s="468"/>
      <c r="N62" s="468"/>
      <c r="O62" s="468"/>
      <c r="P62" s="468"/>
      <c r="Q62" s="468"/>
      <c r="R62" s="70"/>
      <c r="S62" s="70"/>
    </row>
    <row r="63" spans="2:19" x14ac:dyDescent="0.25">
      <c r="B63" s="37" t="s">
        <v>50</v>
      </c>
      <c r="C63" s="46">
        <v>2584</v>
      </c>
      <c r="D63" s="33">
        <v>1488</v>
      </c>
      <c r="E63" s="33">
        <v>9712</v>
      </c>
      <c r="F63" s="33">
        <v>424</v>
      </c>
      <c r="G63" s="33"/>
      <c r="H63" s="33">
        <f t="shared" si="14"/>
        <v>14208</v>
      </c>
      <c r="K63" s="468"/>
      <c r="L63" s="468"/>
      <c r="M63" s="468"/>
      <c r="N63" s="468"/>
      <c r="O63" s="468"/>
      <c r="P63" s="468"/>
      <c r="Q63" s="468"/>
      <c r="R63" s="70"/>
      <c r="S63" s="70"/>
    </row>
    <row r="64" spans="2:19" x14ac:dyDescent="0.25">
      <c r="B64" s="37" t="s">
        <v>51</v>
      </c>
      <c r="C64" s="46">
        <v>2469</v>
      </c>
      <c r="D64" s="33">
        <v>1221</v>
      </c>
      <c r="E64" s="33">
        <v>8795</v>
      </c>
      <c r="F64" s="33">
        <v>457</v>
      </c>
      <c r="G64" s="33"/>
      <c r="H64" s="33">
        <f t="shared" si="14"/>
        <v>12942</v>
      </c>
      <c r="K64" s="468"/>
      <c r="L64" s="468"/>
      <c r="M64" s="468"/>
      <c r="N64" s="468"/>
      <c r="O64" s="468"/>
      <c r="P64" s="468"/>
      <c r="Q64" s="468"/>
    </row>
    <row r="65" spans="2:17" x14ac:dyDescent="0.25">
      <c r="B65" s="37" t="s">
        <v>52</v>
      </c>
      <c r="C65" s="46">
        <v>2384</v>
      </c>
      <c r="D65" s="33">
        <v>1180</v>
      </c>
      <c r="E65" s="33">
        <v>7849</v>
      </c>
      <c r="F65" s="33">
        <v>360</v>
      </c>
      <c r="G65" s="33"/>
      <c r="H65" s="33">
        <f t="shared" si="14"/>
        <v>11773</v>
      </c>
      <c r="K65" s="468"/>
      <c r="L65" s="468"/>
      <c r="M65" s="468"/>
      <c r="N65" s="468"/>
      <c r="O65" s="468"/>
      <c r="P65" s="468"/>
      <c r="Q65" s="468"/>
    </row>
    <row r="66" spans="2:17" x14ac:dyDescent="0.25">
      <c r="B66" s="37" t="s">
        <v>53</v>
      </c>
      <c r="C66" s="46">
        <v>2268</v>
      </c>
      <c r="D66" s="33">
        <v>1004</v>
      </c>
      <c r="E66" s="33">
        <v>7880</v>
      </c>
      <c r="F66" s="33">
        <v>388</v>
      </c>
      <c r="G66" s="33"/>
      <c r="H66" s="33">
        <f t="shared" si="14"/>
        <v>11540</v>
      </c>
      <c r="K66" s="468"/>
      <c r="L66" s="468"/>
      <c r="M66" s="468"/>
      <c r="N66" s="468"/>
      <c r="O66" s="468"/>
      <c r="P66" s="468"/>
      <c r="Q66" s="468"/>
    </row>
    <row r="67" spans="2:17" x14ac:dyDescent="0.25">
      <c r="B67" s="37" t="s">
        <v>54</v>
      </c>
      <c r="C67" s="46">
        <v>2945</v>
      </c>
      <c r="D67" s="33">
        <v>1661</v>
      </c>
      <c r="E67" s="33">
        <v>13536</v>
      </c>
      <c r="F67" s="33">
        <v>620</v>
      </c>
      <c r="G67" s="33"/>
      <c r="H67" s="33">
        <f t="shared" si="14"/>
        <v>18762</v>
      </c>
      <c r="K67" s="13"/>
      <c r="L67" s="13"/>
      <c r="M67" s="13"/>
      <c r="N67" s="13"/>
      <c r="O67" s="13"/>
      <c r="P67" s="13"/>
      <c r="Q67" s="13"/>
    </row>
    <row r="68" spans="2:17" x14ac:dyDescent="0.25">
      <c r="B68" s="19" t="s">
        <v>60</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40</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42</v>
      </c>
      <c r="C70" s="46">
        <v>2521</v>
      </c>
      <c r="D70" s="33">
        <v>1559</v>
      </c>
      <c r="E70" s="33">
        <v>24159</v>
      </c>
      <c r="F70" s="33">
        <v>845</v>
      </c>
      <c r="G70" s="33"/>
      <c r="H70" s="74">
        <f t="shared" si="14"/>
        <v>29084</v>
      </c>
      <c r="J70" s="75"/>
      <c r="K70" s="21" t="s">
        <v>61</v>
      </c>
      <c r="L70" s="8"/>
      <c r="M70" s="8"/>
      <c r="N70" s="8"/>
      <c r="O70" s="77"/>
    </row>
    <row r="71" spans="2:17" x14ac:dyDescent="0.25">
      <c r="B71" s="37" t="s">
        <v>44</v>
      </c>
      <c r="C71" s="46">
        <v>2000</v>
      </c>
      <c r="D71" s="33">
        <v>1119</v>
      </c>
      <c r="E71" s="33">
        <v>12648</v>
      </c>
      <c r="F71" s="33">
        <v>527</v>
      </c>
      <c r="G71" s="33"/>
      <c r="H71" s="74">
        <f t="shared" si="14"/>
        <v>16294</v>
      </c>
      <c r="J71" s="75"/>
      <c r="K71"/>
      <c r="O71" s="77"/>
    </row>
    <row r="72" spans="2:17" x14ac:dyDescent="0.25">
      <c r="B72" s="37" t="s">
        <v>45</v>
      </c>
      <c r="C72" s="46">
        <v>1368</v>
      </c>
      <c r="D72" s="33">
        <v>462</v>
      </c>
      <c r="E72" s="33">
        <v>6817</v>
      </c>
      <c r="F72" s="33">
        <v>450</v>
      </c>
      <c r="G72" s="33"/>
      <c r="H72" s="74">
        <f t="shared" si="14"/>
        <v>9097</v>
      </c>
      <c r="J72" s="75"/>
      <c r="K72" s="78">
        <v>40000</v>
      </c>
      <c r="O72" s="77"/>
    </row>
    <row r="73" spans="2:17" x14ac:dyDescent="0.25">
      <c r="B73" s="37" t="s">
        <v>46</v>
      </c>
      <c r="C73" s="46">
        <v>2058</v>
      </c>
      <c r="D73" s="33">
        <v>843</v>
      </c>
      <c r="E73" s="33">
        <v>10889</v>
      </c>
      <c r="F73" s="33">
        <v>718</v>
      </c>
      <c r="G73" s="33"/>
      <c r="H73" s="74">
        <f t="shared" si="14"/>
        <v>14508</v>
      </c>
      <c r="J73" s="75"/>
      <c r="K73" s="5" t="s">
        <v>62</v>
      </c>
      <c r="O73" s="77"/>
    </row>
    <row r="74" spans="2:17" x14ac:dyDescent="0.25">
      <c r="B74" s="37" t="s">
        <v>47</v>
      </c>
      <c r="C74" s="46">
        <v>1919</v>
      </c>
      <c r="D74" s="33">
        <v>773</v>
      </c>
      <c r="E74" s="33">
        <v>9601</v>
      </c>
      <c r="F74" s="33">
        <v>637</v>
      </c>
      <c r="G74" s="33"/>
      <c r="H74" s="74">
        <f t="shared" si="14"/>
        <v>12930</v>
      </c>
      <c r="J74" s="75"/>
      <c r="O74" s="77"/>
    </row>
    <row r="75" spans="2:17" x14ac:dyDescent="0.25">
      <c r="B75" s="37" t="s">
        <v>48</v>
      </c>
      <c r="C75" s="46">
        <v>2816</v>
      </c>
      <c r="D75" s="33">
        <v>939</v>
      </c>
      <c r="E75" s="33">
        <v>11414</v>
      </c>
      <c r="F75" s="33">
        <v>530</v>
      </c>
      <c r="G75" s="33"/>
      <c r="H75" s="74">
        <f t="shared" si="14"/>
        <v>15699</v>
      </c>
      <c r="J75" s="75"/>
      <c r="O75" s="77"/>
    </row>
    <row r="76" spans="2:17" ht="18.75" x14ac:dyDescent="0.3">
      <c r="B76" s="37" t="s">
        <v>50</v>
      </c>
      <c r="C76" s="46">
        <v>3066</v>
      </c>
      <c r="D76" s="33">
        <v>1181</v>
      </c>
      <c r="E76" s="33">
        <v>14803</v>
      </c>
      <c r="F76" s="33">
        <v>627</v>
      </c>
      <c r="G76" s="33"/>
      <c r="H76" s="74">
        <f t="shared" si="14"/>
        <v>19677</v>
      </c>
      <c r="J76" s="75"/>
      <c r="K76" s="21" t="s">
        <v>63</v>
      </c>
      <c r="L76" s="8"/>
      <c r="M76" s="8"/>
      <c r="N76" s="8"/>
      <c r="O76" s="77"/>
    </row>
    <row r="77" spans="2:17" x14ac:dyDescent="0.25">
      <c r="B77" s="37" t="s">
        <v>51</v>
      </c>
      <c r="C77" s="46">
        <v>3009</v>
      </c>
      <c r="D77" s="33">
        <v>1422</v>
      </c>
      <c r="E77" s="33">
        <v>14413</v>
      </c>
      <c r="F77" s="33">
        <v>732</v>
      </c>
      <c r="G77" s="33"/>
      <c r="H77" s="74">
        <f t="shared" si="14"/>
        <v>19576</v>
      </c>
      <c r="J77" s="75"/>
      <c r="K77"/>
      <c r="O77" s="77"/>
    </row>
    <row r="78" spans="2:17" x14ac:dyDescent="0.25">
      <c r="B78" s="37" t="s">
        <v>52</v>
      </c>
      <c r="C78" s="46">
        <v>3231</v>
      </c>
      <c r="D78" s="33">
        <v>1811</v>
      </c>
      <c r="E78" s="33">
        <v>15413</v>
      </c>
      <c r="F78" s="33">
        <v>835</v>
      </c>
      <c r="G78" s="33"/>
      <c r="H78" s="74">
        <f t="shared" si="14"/>
        <v>21290</v>
      </c>
      <c r="J78" s="75"/>
      <c r="K78" s="33">
        <v>65000</v>
      </c>
      <c r="O78" s="77"/>
    </row>
    <row r="79" spans="2:17" x14ac:dyDescent="0.25">
      <c r="B79" s="37" t="s">
        <v>53</v>
      </c>
      <c r="C79" s="46">
        <v>2859</v>
      </c>
      <c r="D79" s="33">
        <v>1602</v>
      </c>
      <c r="E79" s="33">
        <v>13983</v>
      </c>
      <c r="F79" s="33">
        <v>605</v>
      </c>
      <c r="G79" s="33"/>
      <c r="H79" s="74">
        <f t="shared" si="14"/>
        <v>19049</v>
      </c>
      <c r="J79" s="75"/>
      <c r="K79" s="5" t="s">
        <v>62</v>
      </c>
      <c r="O79" s="77"/>
    </row>
    <row r="80" spans="2:17" x14ac:dyDescent="0.25">
      <c r="B80" s="37" t="s">
        <v>54</v>
      </c>
      <c r="C80" s="46">
        <v>2625</v>
      </c>
      <c r="D80" s="33">
        <v>1544</v>
      </c>
      <c r="E80" s="33">
        <v>12550</v>
      </c>
      <c r="F80" s="33">
        <v>491</v>
      </c>
      <c r="G80" s="33"/>
      <c r="H80" s="74">
        <f t="shared" si="14"/>
        <v>17210</v>
      </c>
      <c r="I80" s="36"/>
      <c r="J80" s="79"/>
      <c r="K80" s="80"/>
      <c r="L80" s="81"/>
      <c r="M80" s="81"/>
      <c r="N80" s="81"/>
      <c r="O80" s="82"/>
    </row>
    <row r="81" spans="2:12" x14ac:dyDescent="0.25">
      <c r="B81" s="19" t="s">
        <v>64</v>
      </c>
      <c r="C81" s="20">
        <f>SUM(C69:C80)</f>
        <v>30482</v>
      </c>
      <c r="D81" s="20">
        <f>SUM(D69:D80)</f>
        <v>15008</v>
      </c>
      <c r="E81" s="20">
        <f t="shared" ref="E81" si="16">SUM(E69:E80)</f>
        <v>166581</v>
      </c>
      <c r="F81" s="20">
        <f>SUM(F69:F80)</f>
        <v>7738</v>
      </c>
      <c r="G81" s="20"/>
      <c r="H81" s="20">
        <f>SUM(H69:H80)</f>
        <v>219809</v>
      </c>
      <c r="J81" s="12"/>
      <c r="K81" s="11"/>
    </row>
    <row r="82" spans="2:12" x14ac:dyDescent="0.25">
      <c r="B82" s="37" t="s">
        <v>40</v>
      </c>
      <c r="C82" s="46">
        <v>2624</v>
      </c>
      <c r="D82" s="33">
        <v>1886</v>
      </c>
      <c r="E82" s="33">
        <v>12697</v>
      </c>
      <c r="F82" s="33">
        <v>945</v>
      </c>
      <c r="G82" s="33"/>
      <c r="H82" s="74">
        <f t="shared" ref="H82:H93" si="17">SUM(C82:F82)</f>
        <v>18152</v>
      </c>
    </row>
    <row r="83" spans="2:12" x14ac:dyDescent="0.25">
      <c r="B83" s="37" t="s">
        <v>42</v>
      </c>
      <c r="C83" s="46">
        <v>2353</v>
      </c>
      <c r="D83" s="33">
        <v>1607</v>
      </c>
      <c r="E83" s="33">
        <v>12205</v>
      </c>
      <c r="F83" s="33">
        <v>862</v>
      </c>
      <c r="G83" s="33"/>
      <c r="H83" s="74">
        <f t="shared" si="17"/>
        <v>17027</v>
      </c>
    </row>
    <row r="84" spans="2:12" x14ac:dyDescent="0.25">
      <c r="B84" s="37" t="s">
        <v>44</v>
      </c>
      <c r="C84" s="46">
        <v>2678</v>
      </c>
      <c r="D84" s="33">
        <v>1931</v>
      </c>
      <c r="E84" s="33">
        <v>14594</v>
      </c>
      <c r="F84" s="33">
        <v>2800</v>
      </c>
      <c r="G84" s="33"/>
      <c r="H84" s="74">
        <f t="shared" si="17"/>
        <v>22003</v>
      </c>
    </row>
    <row r="85" spans="2:12" x14ac:dyDescent="0.25">
      <c r="B85" s="37" t="s">
        <v>45</v>
      </c>
      <c r="C85" s="46">
        <v>2953</v>
      </c>
      <c r="D85" s="33">
        <v>2127</v>
      </c>
      <c r="E85" s="33">
        <v>13753</v>
      </c>
      <c r="F85" s="33">
        <v>3063</v>
      </c>
      <c r="G85" s="33"/>
      <c r="H85" s="74">
        <f t="shared" si="17"/>
        <v>21896</v>
      </c>
    </row>
    <row r="86" spans="2:12" x14ac:dyDescent="0.25">
      <c r="B86" s="37" t="s">
        <v>46</v>
      </c>
      <c r="C86" s="46">
        <v>3346</v>
      </c>
      <c r="D86" s="33">
        <v>2277</v>
      </c>
      <c r="E86" s="33">
        <v>13729</v>
      </c>
      <c r="F86" s="33">
        <v>2119</v>
      </c>
      <c r="G86" s="33"/>
      <c r="H86" s="74">
        <f t="shared" si="17"/>
        <v>21471</v>
      </c>
    </row>
    <row r="87" spans="2:12" x14ac:dyDescent="0.25">
      <c r="B87" s="37" t="s">
        <v>47</v>
      </c>
      <c r="C87" s="46">
        <v>3596</v>
      </c>
      <c r="D87" s="33">
        <v>2125</v>
      </c>
      <c r="E87" s="33">
        <v>13497</v>
      </c>
      <c r="F87" s="33">
        <v>1738</v>
      </c>
      <c r="G87" s="33"/>
      <c r="H87" s="74">
        <f t="shared" si="17"/>
        <v>20956</v>
      </c>
    </row>
    <row r="88" spans="2:12" x14ac:dyDescent="0.25">
      <c r="B88" s="37" t="s">
        <v>48</v>
      </c>
      <c r="C88" s="46">
        <v>4119</v>
      </c>
      <c r="D88" s="33">
        <v>2409</v>
      </c>
      <c r="E88" s="33">
        <v>15819</v>
      </c>
      <c r="F88" s="33">
        <v>1609</v>
      </c>
      <c r="G88" s="33"/>
      <c r="H88" s="74">
        <f t="shared" si="17"/>
        <v>23956</v>
      </c>
    </row>
    <row r="89" spans="2:12" x14ac:dyDescent="0.25">
      <c r="B89" s="37" t="s">
        <v>50</v>
      </c>
      <c r="C89" s="46">
        <v>4297</v>
      </c>
      <c r="D89" s="33">
        <v>2641</v>
      </c>
      <c r="E89" s="33">
        <v>18223</v>
      </c>
      <c r="F89" s="33">
        <v>1553</v>
      </c>
      <c r="G89" s="33"/>
      <c r="H89" s="74">
        <f t="shared" si="17"/>
        <v>26714</v>
      </c>
    </row>
    <row r="90" spans="2:12" x14ac:dyDescent="0.25">
      <c r="B90" s="37" t="s">
        <v>51</v>
      </c>
      <c r="C90" s="46">
        <v>4529</v>
      </c>
      <c r="D90" s="33">
        <v>2330</v>
      </c>
      <c r="E90" s="33">
        <v>19815</v>
      </c>
      <c r="F90" s="33">
        <v>1444</v>
      </c>
      <c r="G90" s="33"/>
      <c r="H90" s="74">
        <f t="shared" si="17"/>
        <v>28118</v>
      </c>
    </row>
    <row r="91" spans="2:12" x14ac:dyDescent="0.25">
      <c r="B91" s="37" t="s">
        <v>52</v>
      </c>
      <c r="C91" s="46">
        <v>3477</v>
      </c>
      <c r="D91" s="33">
        <v>2464</v>
      </c>
      <c r="E91" s="33">
        <v>17701</v>
      </c>
      <c r="F91" s="33">
        <v>1432</v>
      </c>
      <c r="G91" s="33"/>
      <c r="H91" s="74">
        <f t="shared" si="17"/>
        <v>25074</v>
      </c>
    </row>
    <row r="92" spans="2:12" x14ac:dyDescent="0.25">
      <c r="B92" s="37" t="s">
        <v>53</v>
      </c>
      <c r="C92" s="46">
        <v>3890</v>
      </c>
      <c r="D92" s="33">
        <v>2658</v>
      </c>
      <c r="E92" s="33">
        <v>20150</v>
      </c>
      <c r="F92" s="33">
        <v>1497</v>
      </c>
      <c r="G92" s="33"/>
      <c r="H92" s="74">
        <f t="shared" si="17"/>
        <v>28195</v>
      </c>
      <c r="I92" s="36"/>
      <c r="J92" s="11"/>
    </row>
    <row r="93" spans="2:12" x14ac:dyDescent="0.25">
      <c r="B93" s="37" t="s">
        <v>54</v>
      </c>
      <c r="C93" s="46">
        <v>3791</v>
      </c>
      <c r="D93" s="33">
        <v>2514</v>
      </c>
      <c r="E93" s="33">
        <v>18895</v>
      </c>
      <c r="F93" s="33">
        <v>1448</v>
      </c>
      <c r="G93" s="33"/>
      <c r="H93" s="74">
        <f t="shared" si="17"/>
        <v>26648</v>
      </c>
      <c r="I93" s="36"/>
      <c r="J93" s="11"/>
    </row>
    <row r="94" spans="2:12" x14ac:dyDescent="0.25">
      <c r="B94" s="19" t="s">
        <v>65</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40</v>
      </c>
      <c r="C95" s="46">
        <v>4879</v>
      </c>
      <c r="D95" s="33">
        <v>3211</v>
      </c>
      <c r="E95" s="33">
        <v>21970</v>
      </c>
      <c r="F95" s="33">
        <v>1552</v>
      </c>
      <c r="G95" s="33">
        <v>0</v>
      </c>
      <c r="H95" s="74">
        <f t="shared" ref="H95:H106" si="19">SUM(C95:G95)</f>
        <v>31612</v>
      </c>
    </row>
    <row r="96" spans="2:12" x14ac:dyDescent="0.25">
      <c r="B96" s="37" t="s">
        <v>42</v>
      </c>
      <c r="C96" s="46">
        <v>0</v>
      </c>
      <c r="D96" s="33">
        <v>3005</v>
      </c>
      <c r="E96" s="33">
        <v>0</v>
      </c>
      <c r="F96" s="33">
        <v>3339</v>
      </c>
      <c r="G96" s="33">
        <v>149186</v>
      </c>
      <c r="H96" s="74">
        <f t="shared" si="19"/>
        <v>155530</v>
      </c>
    </row>
    <row r="97" spans="2:17" x14ac:dyDescent="0.25">
      <c r="B97" s="37" t="s">
        <v>44</v>
      </c>
      <c r="C97" s="46">
        <v>0</v>
      </c>
      <c r="D97" s="33">
        <v>3441</v>
      </c>
      <c r="E97" s="33">
        <v>0</v>
      </c>
      <c r="F97" s="33">
        <v>1913</v>
      </c>
      <c r="G97" s="33">
        <v>57867</v>
      </c>
      <c r="H97" s="74">
        <f t="shared" si="19"/>
        <v>63221</v>
      </c>
    </row>
    <row r="98" spans="2:17" x14ac:dyDescent="0.25">
      <c r="B98" s="37" t="s">
        <v>45</v>
      </c>
      <c r="C98" s="46">
        <v>0</v>
      </c>
      <c r="D98" s="33">
        <v>3126</v>
      </c>
      <c r="E98" s="33">
        <v>0</v>
      </c>
      <c r="F98" s="33">
        <v>1334</v>
      </c>
      <c r="G98" s="33">
        <v>36680</v>
      </c>
      <c r="H98" s="74">
        <f t="shared" si="19"/>
        <v>41140</v>
      </c>
    </row>
    <row r="99" spans="2:17" x14ac:dyDescent="0.25">
      <c r="B99" s="37" t="s">
        <v>46</v>
      </c>
      <c r="C99" s="46">
        <v>0</v>
      </c>
      <c r="D99" s="33">
        <v>3083</v>
      </c>
      <c r="E99" s="33">
        <v>0</v>
      </c>
      <c r="F99" s="33">
        <v>1382</v>
      </c>
      <c r="G99" s="33">
        <v>35311</v>
      </c>
      <c r="H99" s="74">
        <f t="shared" si="19"/>
        <v>39776</v>
      </c>
    </row>
    <row r="100" spans="2:17" x14ac:dyDescent="0.25">
      <c r="B100" s="37" t="s">
        <v>47</v>
      </c>
      <c r="C100" s="46">
        <v>0</v>
      </c>
      <c r="D100" s="33">
        <v>2713</v>
      </c>
      <c r="E100" s="33">
        <v>0</v>
      </c>
      <c r="F100" s="33">
        <v>1334</v>
      </c>
      <c r="G100" s="33">
        <v>35974</v>
      </c>
      <c r="H100" s="74">
        <f t="shared" si="19"/>
        <v>40021</v>
      </c>
    </row>
    <row r="101" spans="2:17" x14ac:dyDescent="0.25">
      <c r="B101" s="37" t="s">
        <v>48</v>
      </c>
      <c r="C101" s="46">
        <v>0</v>
      </c>
      <c r="D101" s="33">
        <v>3135</v>
      </c>
      <c r="E101" s="33">
        <v>0</v>
      </c>
      <c r="F101" s="33">
        <v>1526</v>
      </c>
      <c r="G101" s="33">
        <v>39533</v>
      </c>
      <c r="H101" s="74">
        <f t="shared" si="19"/>
        <v>44194</v>
      </c>
    </row>
    <row r="102" spans="2:17" x14ac:dyDescent="0.25">
      <c r="B102" s="37" t="s">
        <v>50</v>
      </c>
      <c r="C102" s="46">
        <v>0</v>
      </c>
      <c r="D102" s="33">
        <v>3668</v>
      </c>
      <c r="E102" s="33">
        <v>0</v>
      </c>
      <c r="F102" s="33">
        <v>1950</v>
      </c>
      <c r="G102" s="33">
        <v>57652</v>
      </c>
      <c r="H102" s="74">
        <f t="shared" si="19"/>
        <v>63270</v>
      </c>
    </row>
    <row r="103" spans="2:17" x14ac:dyDescent="0.25">
      <c r="B103" s="37" t="s">
        <v>51</v>
      </c>
      <c r="C103" s="46">
        <v>0</v>
      </c>
      <c r="D103" s="33">
        <v>2716</v>
      </c>
      <c r="E103" s="33">
        <v>0</v>
      </c>
      <c r="F103" s="33">
        <v>1277</v>
      </c>
      <c r="G103" s="33">
        <v>34313</v>
      </c>
      <c r="H103" s="74">
        <f t="shared" si="19"/>
        <v>38306</v>
      </c>
    </row>
    <row r="104" spans="2:17" x14ac:dyDescent="0.25">
      <c r="B104" s="37" t="s">
        <v>52</v>
      </c>
      <c r="C104" s="46">
        <v>0</v>
      </c>
      <c r="D104" s="33">
        <v>2773</v>
      </c>
      <c r="E104" s="33">
        <v>0</v>
      </c>
      <c r="F104" s="33">
        <v>1217</v>
      </c>
      <c r="G104" s="33">
        <v>45602</v>
      </c>
      <c r="H104" s="74">
        <f t="shared" si="19"/>
        <v>49592</v>
      </c>
    </row>
    <row r="105" spans="2:17" x14ac:dyDescent="0.25">
      <c r="B105" s="37" t="s">
        <v>53</v>
      </c>
      <c r="C105" s="46">
        <v>0</v>
      </c>
      <c r="D105" s="33">
        <v>3106</v>
      </c>
      <c r="E105" s="33">
        <v>0</v>
      </c>
      <c r="F105" s="33">
        <v>1353</v>
      </c>
      <c r="G105" s="33">
        <v>43552</v>
      </c>
      <c r="H105" s="74">
        <f t="shared" si="19"/>
        <v>48011</v>
      </c>
      <c r="I105" s="36"/>
      <c r="J105" s="11"/>
      <c r="K105" s="11"/>
    </row>
    <row r="106" spans="2:17" x14ac:dyDescent="0.25">
      <c r="B106" s="37" t="s">
        <v>54</v>
      </c>
      <c r="C106" s="46">
        <v>0</v>
      </c>
      <c r="D106" s="33">
        <v>2423</v>
      </c>
      <c r="E106" s="33">
        <v>0</v>
      </c>
      <c r="F106" s="33">
        <v>1266</v>
      </c>
      <c r="G106" s="33">
        <v>35225</v>
      </c>
      <c r="H106" s="74">
        <f t="shared" si="19"/>
        <v>38914</v>
      </c>
      <c r="I106" s="36"/>
      <c r="J106" s="11"/>
      <c r="K106" s="11"/>
    </row>
    <row r="107" spans="2:17" x14ac:dyDescent="0.25">
      <c r="B107" s="19" t="s">
        <v>66</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6</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17</v>
      </c>
    </row>
    <row r="111" spans="2:17" ht="31.15" customHeight="1" x14ac:dyDescent="0.25">
      <c r="B111" s="468" t="s">
        <v>18</v>
      </c>
      <c r="C111" s="468"/>
      <c r="D111" s="468"/>
      <c r="E111" s="468"/>
      <c r="F111" s="468"/>
      <c r="G111" s="468"/>
      <c r="H111" s="468"/>
      <c r="I111" s="468"/>
      <c r="J111" s="468"/>
      <c r="K111" s="85"/>
      <c r="L111" s="85"/>
      <c r="M111" s="85"/>
      <c r="N111" s="85"/>
      <c r="O111" s="85"/>
      <c r="P111" s="85"/>
      <c r="Q111" s="85"/>
    </row>
    <row r="112" spans="2:17" x14ac:dyDescent="0.25">
      <c r="B112" s="468"/>
      <c r="C112" s="468"/>
      <c r="D112" s="468"/>
      <c r="E112" s="468"/>
      <c r="F112" s="468"/>
      <c r="G112" s="468"/>
      <c r="H112" s="468"/>
      <c r="I112" s="468"/>
      <c r="J112" s="468"/>
      <c r="K112" s="85"/>
      <c r="L112" s="85"/>
      <c r="M112" s="85"/>
      <c r="N112" s="85"/>
      <c r="O112" s="85"/>
      <c r="P112" s="85"/>
      <c r="Q112" s="85"/>
    </row>
    <row r="113" spans="2:17" x14ac:dyDescent="0.25">
      <c r="B113" s="468"/>
      <c r="C113" s="468"/>
      <c r="D113" s="468"/>
      <c r="E113" s="468"/>
      <c r="F113" s="468"/>
      <c r="G113" s="468"/>
      <c r="H113" s="468"/>
      <c r="I113" s="468"/>
      <c r="J113" s="468"/>
      <c r="K113" s="85"/>
      <c r="L113" s="85"/>
      <c r="M113" s="85"/>
      <c r="N113" s="85"/>
      <c r="O113" s="85"/>
      <c r="P113" s="85"/>
      <c r="Q113" s="85"/>
    </row>
    <row r="114" spans="2:17" x14ac:dyDescent="0.25">
      <c r="B114" s="468"/>
      <c r="C114" s="468"/>
      <c r="D114" s="468"/>
      <c r="E114" s="468"/>
      <c r="F114" s="468"/>
      <c r="G114" s="468"/>
      <c r="H114" s="468"/>
      <c r="I114" s="468"/>
      <c r="J114" s="468"/>
      <c r="K114" s="85"/>
      <c r="L114" s="85"/>
      <c r="M114" s="85"/>
      <c r="N114" s="85"/>
      <c r="O114" s="85"/>
      <c r="P114" s="85"/>
      <c r="Q114" s="85"/>
    </row>
    <row r="115" spans="2:17" x14ac:dyDescent="0.25">
      <c r="B115" s="468"/>
      <c r="C115" s="468"/>
      <c r="D115" s="468"/>
      <c r="E115" s="468"/>
      <c r="F115" s="468"/>
      <c r="G115" s="468"/>
      <c r="H115" s="468"/>
      <c r="I115" s="468"/>
      <c r="J115" s="468"/>
      <c r="K115" s="85"/>
      <c r="L115" s="85"/>
      <c r="M115" s="85"/>
      <c r="N115" s="85"/>
      <c r="O115" s="85"/>
      <c r="P115" s="85"/>
      <c r="Q115" s="85"/>
    </row>
    <row r="116" spans="2:17" x14ac:dyDescent="0.25">
      <c r="B116" s="468"/>
      <c r="C116" s="468"/>
      <c r="D116" s="468"/>
      <c r="E116" s="468"/>
      <c r="F116" s="468"/>
      <c r="G116" s="468"/>
      <c r="H116" s="468"/>
      <c r="I116" s="468"/>
      <c r="J116" s="468"/>
    </row>
    <row r="117" spans="2:17" x14ac:dyDescent="0.25">
      <c r="B117" s="468"/>
      <c r="C117" s="468"/>
      <c r="D117" s="468"/>
      <c r="E117" s="468"/>
      <c r="F117" s="468"/>
      <c r="G117" s="468"/>
      <c r="H117" s="468"/>
      <c r="I117" s="468"/>
      <c r="J117" s="468"/>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AA560"/>
  <sheetViews>
    <sheetView showGridLines="0" workbookViewId="0">
      <selection activeCell="B220" sqref="B220"/>
    </sheetView>
    <sheetView showGridLines="0" workbookViewId="1"/>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10.85546875" style="7" customWidth="1"/>
    <col min="10" max="10" width="9" style="7" bestFit="1" customWidth="1"/>
    <col min="11" max="11" width="13" style="7" customWidth="1"/>
    <col min="12" max="12" width="11.42578125" style="7" customWidth="1"/>
    <col min="13" max="13" width="9" style="7" bestFit="1" customWidth="1"/>
    <col min="14" max="14" width="8.5703125" style="7" bestFit="1" customWidth="1"/>
    <col min="15" max="15" width="9.5703125" style="7" bestFit="1" customWidth="1"/>
    <col min="16" max="16" width="15.5703125" style="7" customWidth="1"/>
    <col min="17" max="17" width="11.7109375" style="7"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6" ht="23.25" x14ac:dyDescent="0.25">
      <c r="B2" s="1" t="s">
        <v>825</v>
      </c>
    </row>
    <row r="4" spans="2:26" ht="15" customHeight="1" x14ac:dyDescent="0.3">
      <c r="B4" s="2" t="s">
        <v>751</v>
      </c>
      <c r="C4" s="2"/>
      <c r="D4" s="2"/>
      <c r="E4" s="2"/>
      <c r="F4" s="246"/>
      <c r="G4" s="13"/>
      <c r="H4" s="13"/>
      <c r="I4" s="13"/>
      <c r="J4" s="13"/>
      <c r="K4" s="13"/>
      <c r="L4" s="13"/>
      <c r="M4" s="13"/>
      <c r="N4" s="13"/>
      <c r="O4" s="13"/>
      <c r="P4" s="13"/>
      <c r="Q4" s="13"/>
      <c r="R4" s="13"/>
      <c r="S4" s="13"/>
      <c r="T4" s="13"/>
      <c r="U4" s="13"/>
      <c r="V4" s="13"/>
      <c r="W4" s="13"/>
    </row>
    <row r="5" spans="2:26" x14ac:dyDescent="0.25">
      <c r="B5" s="3" t="s">
        <v>912</v>
      </c>
      <c r="C5" s="13"/>
      <c r="D5" s="13"/>
      <c r="E5" s="13"/>
      <c r="F5" s="13"/>
      <c r="G5" s="13"/>
      <c r="H5" s="13"/>
      <c r="I5" s="13"/>
      <c r="J5" s="13"/>
      <c r="K5" s="13"/>
      <c r="L5" s="13"/>
      <c r="M5" s="13"/>
      <c r="N5" s="13"/>
      <c r="O5" s="13"/>
      <c r="P5" s="13"/>
      <c r="Q5" s="13"/>
      <c r="R5" s="13"/>
      <c r="S5" s="13"/>
      <c r="T5" s="13"/>
      <c r="U5" s="13"/>
      <c r="V5" s="13"/>
      <c r="W5" s="13"/>
    </row>
    <row r="6" spans="2:26" x14ac:dyDescent="0.25">
      <c r="B6" s="15"/>
      <c r="C6" s="13"/>
      <c r="D6" s="13"/>
      <c r="E6" s="13"/>
      <c r="F6" s="13"/>
      <c r="G6" s="13"/>
      <c r="H6" s="13"/>
      <c r="I6" s="13"/>
      <c r="J6" s="13"/>
      <c r="K6" s="13"/>
      <c r="L6" s="13"/>
      <c r="M6" s="13"/>
      <c r="N6" s="13"/>
      <c r="O6" s="13"/>
      <c r="P6" s="13"/>
      <c r="Q6" s="13"/>
      <c r="R6" s="13"/>
      <c r="S6" s="13"/>
      <c r="T6" s="13"/>
      <c r="U6" s="13"/>
      <c r="V6" s="13"/>
      <c r="W6" s="13"/>
    </row>
    <row r="7" spans="2:26" ht="15" customHeight="1" x14ac:dyDescent="0.25">
      <c r="B7" s="432" t="s">
        <v>521</v>
      </c>
      <c r="C7" s="476" t="s">
        <v>477</v>
      </c>
      <c r="D7" s="477"/>
      <c r="E7" s="477"/>
      <c r="F7" s="477"/>
      <c r="G7" s="477"/>
      <c r="H7" s="477"/>
      <c r="I7" s="477"/>
      <c r="J7" s="477"/>
      <c r="K7" s="477"/>
      <c r="L7" s="477"/>
      <c r="M7" s="477"/>
      <c r="N7" s="477"/>
      <c r="O7" s="477"/>
      <c r="P7" s="477"/>
      <c r="Q7" s="478"/>
      <c r="R7" s="469" t="s">
        <v>865</v>
      </c>
      <c r="S7" s="470"/>
      <c r="T7" s="471"/>
      <c r="U7" s="13"/>
      <c r="V7" s="13"/>
      <c r="W7" s="13"/>
      <c r="X7" s="13"/>
      <c r="Y7" s="13"/>
      <c r="Z7" s="13"/>
    </row>
    <row r="8" spans="2:26" ht="15" customHeight="1" x14ac:dyDescent="0.25">
      <c r="B8" s="432"/>
      <c r="C8" s="463" t="s">
        <v>849</v>
      </c>
      <c r="D8" s="463"/>
      <c r="E8" s="463"/>
      <c r="F8" s="463" t="s">
        <v>850</v>
      </c>
      <c r="G8" s="463"/>
      <c r="H8" s="463"/>
      <c r="I8" s="463" t="s">
        <v>3</v>
      </c>
      <c r="J8" s="463"/>
      <c r="K8" s="463"/>
      <c r="L8" s="463" t="s">
        <v>5</v>
      </c>
      <c r="M8" s="463"/>
      <c r="N8" s="463"/>
      <c r="O8" s="463" t="s">
        <v>859</v>
      </c>
      <c r="P8" s="463"/>
      <c r="Q8" s="463"/>
      <c r="R8" s="472"/>
      <c r="S8" s="473"/>
      <c r="T8" s="474"/>
      <c r="U8" s="13"/>
      <c r="V8" s="13"/>
      <c r="W8" s="13"/>
      <c r="X8" s="13"/>
      <c r="Y8" s="13"/>
      <c r="Z8" s="13"/>
    </row>
    <row r="9" spans="2:26" x14ac:dyDescent="0.25">
      <c r="B9" s="432"/>
      <c r="C9" s="264" t="s">
        <v>73</v>
      </c>
      <c r="D9" s="264" t="s">
        <v>74</v>
      </c>
      <c r="E9" s="264" t="s">
        <v>25</v>
      </c>
      <c r="F9" s="264" t="s">
        <v>73</v>
      </c>
      <c r="G9" s="264" t="s">
        <v>74</v>
      </c>
      <c r="H9" s="264" t="s">
        <v>25</v>
      </c>
      <c r="I9" s="264" t="s">
        <v>73</v>
      </c>
      <c r="J9" s="264" t="s">
        <v>74</v>
      </c>
      <c r="K9" s="264" t="s">
        <v>25</v>
      </c>
      <c r="L9" s="264" t="s">
        <v>73</v>
      </c>
      <c r="M9" s="264" t="s">
        <v>74</v>
      </c>
      <c r="N9" s="264" t="s">
        <v>25</v>
      </c>
      <c r="O9" s="264" t="s">
        <v>73</v>
      </c>
      <c r="P9" s="264" t="s">
        <v>74</v>
      </c>
      <c r="Q9" s="264" t="s">
        <v>25</v>
      </c>
      <c r="R9" s="274" t="s">
        <v>73</v>
      </c>
      <c r="S9" s="274" t="s">
        <v>74</v>
      </c>
      <c r="T9" s="274" t="s">
        <v>25</v>
      </c>
      <c r="U9" s="13"/>
      <c r="V9" s="13"/>
      <c r="W9" s="13"/>
      <c r="X9" s="13"/>
      <c r="Y9" s="13"/>
      <c r="Z9" s="13"/>
    </row>
    <row r="10" spans="2:26" x14ac:dyDescent="0.25">
      <c r="B10" s="243" t="s">
        <v>519</v>
      </c>
      <c r="C10" s="307">
        <v>236</v>
      </c>
      <c r="D10" s="307">
        <v>225</v>
      </c>
      <c r="E10" s="308">
        <v>461</v>
      </c>
      <c r="F10" s="307">
        <v>193</v>
      </c>
      <c r="G10" s="307">
        <v>132</v>
      </c>
      <c r="H10" s="308">
        <v>325</v>
      </c>
      <c r="I10" s="307">
        <v>79</v>
      </c>
      <c r="J10" s="307">
        <v>33</v>
      </c>
      <c r="K10" s="308">
        <v>112</v>
      </c>
      <c r="L10" s="307">
        <v>35</v>
      </c>
      <c r="M10" s="307">
        <v>70</v>
      </c>
      <c r="N10" s="308">
        <v>105</v>
      </c>
      <c r="O10" s="308">
        <v>0</v>
      </c>
      <c r="P10" s="308">
        <v>1</v>
      </c>
      <c r="Q10" s="308">
        <v>1</v>
      </c>
      <c r="R10" s="309">
        <v>543</v>
      </c>
      <c r="S10" s="310">
        <v>461</v>
      </c>
      <c r="T10" s="310">
        <v>1004</v>
      </c>
      <c r="U10" s="13"/>
      <c r="V10" s="13"/>
      <c r="W10" s="13"/>
      <c r="X10" s="13"/>
      <c r="Y10" s="13"/>
      <c r="Z10" s="13"/>
    </row>
    <row r="11" spans="2:26" ht="15" customHeight="1" x14ac:dyDescent="0.25">
      <c r="B11" s="244" t="s">
        <v>505</v>
      </c>
      <c r="C11" s="307">
        <v>265</v>
      </c>
      <c r="D11" s="307">
        <v>276</v>
      </c>
      <c r="E11" s="308">
        <v>541</v>
      </c>
      <c r="F11" s="307">
        <v>194</v>
      </c>
      <c r="G11" s="307">
        <v>187</v>
      </c>
      <c r="H11" s="308">
        <v>381</v>
      </c>
      <c r="I11" s="307">
        <v>123</v>
      </c>
      <c r="J11" s="307">
        <v>49</v>
      </c>
      <c r="K11" s="308">
        <v>172</v>
      </c>
      <c r="L11" s="307">
        <v>30</v>
      </c>
      <c r="M11" s="307">
        <v>25</v>
      </c>
      <c r="N11" s="308">
        <v>55</v>
      </c>
      <c r="O11" s="308">
        <v>0</v>
      </c>
      <c r="P11" s="308">
        <v>0</v>
      </c>
      <c r="Q11" s="308">
        <v>0</v>
      </c>
      <c r="R11" s="309">
        <v>612</v>
      </c>
      <c r="S11" s="310">
        <v>537</v>
      </c>
      <c r="T11" s="310">
        <v>1149</v>
      </c>
      <c r="U11" s="13"/>
      <c r="V11" s="13"/>
      <c r="W11" s="13"/>
      <c r="X11" s="13"/>
      <c r="Y11" s="13"/>
      <c r="Z11" s="13"/>
    </row>
    <row r="12" spans="2:26" x14ac:dyDescent="0.25">
      <c r="B12" s="244" t="s">
        <v>506</v>
      </c>
      <c r="C12" s="307">
        <v>477</v>
      </c>
      <c r="D12" s="307">
        <v>448</v>
      </c>
      <c r="E12" s="308">
        <v>925</v>
      </c>
      <c r="F12" s="307">
        <v>394</v>
      </c>
      <c r="G12" s="307">
        <v>399</v>
      </c>
      <c r="H12" s="308">
        <v>793</v>
      </c>
      <c r="I12" s="307">
        <v>216</v>
      </c>
      <c r="J12" s="307">
        <v>63</v>
      </c>
      <c r="K12" s="308">
        <v>279</v>
      </c>
      <c r="L12" s="307">
        <v>49</v>
      </c>
      <c r="M12" s="307">
        <v>51</v>
      </c>
      <c r="N12" s="308">
        <v>100</v>
      </c>
      <c r="O12" s="308">
        <v>0</v>
      </c>
      <c r="P12" s="308">
        <v>0</v>
      </c>
      <c r="Q12" s="308">
        <v>0</v>
      </c>
      <c r="R12" s="309">
        <v>1136</v>
      </c>
      <c r="S12" s="310">
        <v>961</v>
      </c>
      <c r="T12" s="310">
        <v>2097</v>
      </c>
      <c r="U12" s="13"/>
      <c r="V12" s="13"/>
      <c r="W12" s="13"/>
      <c r="X12" s="13"/>
      <c r="Y12" s="13"/>
      <c r="Z12" s="13"/>
    </row>
    <row r="13" spans="2:26" x14ac:dyDescent="0.25">
      <c r="B13" s="244" t="s">
        <v>507</v>
      </c>
      <c r="C13" s="307">
        <v>313</v>
      </c>
      <c r="D13" s="307">
        <v>275</v>
      </c>
      <c r="E13" s="308">
        <v>588</v>
      </c>
      <c r="F13" s="307">
        <v>207</v>
      </c>
      <c r="G13" s="307">
        <v>207</v>
      </c>
      <c r="H13" s="308">
        <v>414</v>
      </c>
      <c r="I13" s="307">
        <v>121</v>
      </c>
      <c r="J13" s="307">
        <v>36</v>
      </c>
      <c r="K13" s="308">
        <v>157</v>
      </c>
      <c r="L13" s="307">
        <v>31</v>
      </c>
      <c r="M13" s="307">
        <v>49</v>
      </c>
      <c r="N13" s="308">
        <v>80</v>
      </c>
      <c r="O13" s="308">
        <v>0</v>
      </c>
      <c r="P13" s="308">
        <v>0</v>
      </c>
      <c r="Q13" s="308">
        <v>0</v>
      </c>
      <c r="R13" s="309">
        <v>672</v>
      </c>
      <c r="S13" s="310">
        <v>567</v>
      </c>
      <c r="T13" s="310">
        <v>1239</v>
      </c>
      <c r="U13" s="13"/>
      <c r="V13" s="13"/>
      <c r="W13" s="13"/>
      <c r="X13" s="13"/>
      <c r="Y13" s="13"/>
      <c r="Z13" s="13"/>
    </row>
    <row r="14" spans="2:26" ht="15" customHeight="1" x14ac:dyDescent="0.25">
      <c r="B14" s="244" t="s">
        <v>508</v>
      </c>
      <c r="C14" s="307">
        <v>867</v>
      </c>
      <c r="D14" s="307">
        <v>829</v>
      </c>
      <c r="E14" s="308">
        <v>1696</v>
      </c>
      <c r="F14" s="307">
        <v>619</v>
      </c>
      <c r="G14" s="307">
        <v>571</v>
      </c>
      <c r="H14" s="308">
        <v>1190</v>
      </c>
      <c r="I14" s="307">
        <v>352</v>
      </c>
      <c r="J14" s="307">
        <v>137</v>
      </c>
      <c r="K14" s="308">
        <v>489</v>
      </c>
      <c r="L14" s="307">
        <v>105</v>
      </c>
      <c r="M14" s="307">
        <v>106</v>
      </c>
      <c r="N14" s="308">
        <v>211</v>
      </c>
      <c r="O14" s="308">
        <v>0</v>
      </c>
      <c r="P14" s="308">
        <v>1</v>
      </c>
      <c r="Q14" s="308">
        <v>1</v>
      </c>
      <c r="R14" s="309">
        <v>1943</v>
      </c>
      <c r="S14" s="310">
        <v>1644</v>
      </c>
      <c r="T14" s="310">
        <v>3587</v>
      </c>
      <c r="U14" s="13"/>
      <c r="V14" s="13"/>
      <c r="W14" s="13"/>
      <c r="X14" s="13"/>
      <c r="Y14" s="13"/>
      <c r="Z14" s="13"/>
    </row>
    <row r="15" spans="2:26" x14ac:dyDescent="0.25">
      <c r="B15" s="244" t="s">
        <v>509</v>
      </c>
      <c r="C15" s="307">
        <v>2094</v>
      </c>
      <c r="D15" s="307">
        <v>1884</v>
      </c>
      <c r="E15" s="308">
        <v>3978</v>
      </c>
      <c r="F15" s="307">
        <v>1836</v>
      </c>
      <c r="G15" s="307">
        <v>1236</v>
      </c>
      <c r="H15" s="308">
        <v>3072</v>
      </c>
      <c r="I15" s="307">
        <v>729</v>
      </c>
      <c r="J15" s="307">
        <v>259</v>
      </c>
      <c r="K15" s="308">
        <v>988</v>
      </c>
      <c r="L15" s="307">
        <v>338</v>
      </c>
      <c r="M15" s="307">
        <v>351</v>
      </c>
      <c r="N15" s="308">
        <v>689</v>
      </c>
      <c r="O15" s="308">
        <v>1</v>
      </c>
      <c r="P15" s="308">
        <v>5</v>
      </c>
      <c r="Q15" s="308">
        <v>6</v>
      </c>
      <c r="R15" s="309">
        <v>4998</v>
      </c>
      <c r="S15" s="310">
        <v>3735</v>
      </c>
      <c r="T15" s="310">
        <v>8733</v>
      </c>
      <c r="U15" s="13"/>
      <c r="V15" s="13"/>
      <c r="W15" s="13"/>
      <c r="X15" s="13"/>
      <c r="Y15" s="13"/>
      <c r="Z15" s="13"/>
    </row>
    <row r="16" spans="2:26" x14ac:dyDescent="0.25">
      <c r="B16" s="244" t="s">
        <v>517</v>
      </c>
      <c r="C16" s="307">
        <v>6375</v>
      </c>
      <c r="D16" s="307">
        <v>6240</v>
      </c>
      <c r="E16" s="308">
        <v>12615</v>
      </c>
      <c r="F16" s="307">
        <v>6731</v>
      </c>
      <c r="G16" s="307">
        <v>4232</v>
      </c>
      <c r="H16" s="308">
        <v>10963</v>
      </c>
      <c r="I16" s="307">
        <v>2171</v>
      </c>
      <c r="J16" s="307">
        <v>718</v>
      </c>
      <c r="K16" s="308">
        <v>2889</v>
      </c>
      <c r="L16" s="307">
        <v>972</v>
      </c>
      <c r="M16" s="307">
        <v>1062</v>
      </c>
      <c r="N16" s="308">
        <v>2034</v>
      </c>
      <c r="O16" s="308">
        <v>4</v>
      </c>
      <c r="P16" s="308">
        <v>21</v>
      </c>
      <c r="Q16" s="308">
        <v>25</v>
      </c>
      <c r="R16" s="309">
        <v>16253</v>
      </c>
      <c r="S16" s="310">
        <v>12273</v>
      </c>
      <c r="T16" s="310">
        <v>28526</v>
      </c>
      <c r="U16" s="13"/>
      <c r="V16" s="13"/>
      <c r="W16" s="13"/>
      <c r="X16" s="13"/>
      <c r="Y16" s="13"/>
      <c r="Z16" s="13"/>
    </row>
    <row r="17" spans="2:26" ht="15" customHeight="1" x14ac:dyDescent="0.25">
      <c r="B17" s="159" t="s">
        <v>510</v>
      </c>
      <c r="C17" s="307">
        <v>1060</v>
      </c>
      <c r="D17" s="307">
        <v>1032</v>
      </c>
      <c r="E17" s="308">
        <v>2092</v>
      </c>
      <c r="F17" s="307">
        <v>782</v>
      </c>
      <c r="G17" s="307">
        <v>689</v>
      </c>
      <c r="H17" s="308">
        <v>1471</v>
      </c>
      <c r="I17" s="307">
        <v>452</v>
      </c>
      <c r="J17" s="307">
        <v>127</v>
      </c>
      <c r="K17" s="308">
        <v>579</v>
      </c>
      <c r="L17" s="307">
        <v>215</v>
      </c>
      <c r="M17" s="307">
        <v>234</v>
      </c>
      <c r="N17" s="308">
        <v>449</v>
      </c>
      <c r="O17" s="308">
        <v>1</v>
      </c>
      <c r="P17" s="308">
        <v>1</v>
      </c>
      <c r="Q17" s="308">
        <v>2</v>
      </c>
      <c r="R17" s="309">
        <v>2510</v>
      </c>
      <c r="S17" s="310">
        <v>2083</v>
      </c>
      <c r="T17" s="310">
        <v>4593</v>
      </c>
      <c r="U17" s="13"/>
      <c r="V17" s="13"/>
      <c r="W17" s="13"/>
      <c r="X17" s="13"/>
      <c r="Y17" s="13"/>
      <c r="Z17" s="13"/>
    </row>
    <row r="18" spans="2:26" x14ac:dyDescent="0.25">
      <c r="B18" s="242" t="s">
        <v>511</v>
      </c>
      <c r="C18" s="307">
        <v>1251</v>
      </c>
      <c r="D18" s="307">
        <v>1261</v>
      </c>
      <c r="E18" s="308">
        <v>2512</v>
      </c>
      <c r="F18" s="307">
        <v>877</v>
      </c>
      <c r="G18" s="307">
        <v>683</v>
      </c>
      <c r="H18" s="308">
        <v>1560</v>
      </c>
      <c r="I18" s="307">
        <v>570</v>
      </c>
      <c r="J18" s="307">
        <v>195</v>
      </c>
      <c r="K18" s="308">
        <v>765</v>
      </c>
      <c r="L18" s="307">
        <v>224</v>
      </c>
      <c r="M18" s="307">
        <v>220</v>
      </c>
      <c r="N18" s="308">
        <v>444</v>
      </c>
      <c r="O18" s="308">
        <v>1</v>
      </c>
      <c r="P18" s="308">
        <v>0</v>
      </c>
      <c r="Q18" s="308">
        <v>1</v>
      </c>
      <c r="R18" s="309">
        <v>2923</v>
      </c>
      <c r="S18" s="310">
        <v>2359</v>
      </c>
      <c r="T18" s="310">
        <v>5282</v>
      </c>
      <c r="U18" s="13"/>
      <c r="V18" s="13"/>
      <c r="W18" s="13"/>
      <c r="X18" s="13"/>
      <c r="Y18" s="13"/>
      <c r="Z18" s="13"/>
    </row>
    <row r="19" spans="2:26" x14ac:dyDescent="0.25">
      <c r="B19" s="242" t="s">
        <v>802</v>
      </c>
      <c r="C19" s="307">
        <v>699</v>
      </c>
      <c r="D19" s="307">
        <v>584</v>
      </c>
      <c r="E19" s="308">
        <v>1283</v>
      </c>
      <c r="F19" s="307">
        <v>401</v>
      </c>
      <c r="G19" s="307">
        <v>320</v>
      </c>
      <c r="H19" s="308">
        <v>721</v>
      </c>
      <c r="I19" s="307">
        <v>400</v>
      </c>
      <c r="J19" s="307">
        <v>152</v>
      </c>
      <c r="K19" s="308">
        <v>552</v>
      </c>
      <c r="L19" s="307">
        <v>138</v>
      </c>
      <c r="M19" s="307">
        <v>142</v>
      </c>
      <c r="N19" s="308">
        <v>280</v>
      </c>
      <c r="O19" s="308">
        <v>0</v>
      </c>
      <c r="P19" s="308">
        <v>0</v>
      </c>
      <c r="Q19" s="308">
        <v>0</v>
      </c>
      <c r="R19" s="309">
        <v>1638</v>
      </c>
      <c r="S19" s="310">
        <v>1198</v>
      </c>
      <c r="T19" s="310">
        <v>2836</v>
      </c>
      <c r="U19" s="13"/>
      <c r="V19" s="13"/>
      <c r="W19" s="13"/>
      <c r="X19" s="13"/>
      <c r="Y19" s="13"/>
      <c r="Z19" s="13"/>
    </row>
    <row r="20" spans="2:26" ht="15" customHeight="1" x14ac:dyDescent="0.25">
      <c r="B20" s="242" t="s">
        <v>908</v>
      </c>
      <c r="C20" s="307">
        <v>1879</v>
      </c>
      <c r="D20" s="307">
        <v>1644</v>
      </c>
      <c r="E20" s="308">
        <v>3523</v>
      </c>
      <c r="F20" s="307">
        <v>1224</v>
      </c>
      <c r="G20" s="307">
        <v>974</v>
      </c>
      <c r="H20" s="308">
        <v>2198</v>
      </c>
      <c r="I20" s="307">
        <v>804</v>
      </c>
      <c r="J20" s="307">
        <v>256</v>
      </c>
      <c r="K20" s="308">
        <v>1060</v>
      </c>
      <c r="L20" s="307">
        <v>308</v>
      </c>
      <c r="M20" s="307">
        <v>310</v>
      </c>
      <c r="N20" s="308">
        <v>618</v>
      </c>
      <c r="O20" s="308">
        <v>1</v>
      </c>
      <c r="P20" s="308">
        <v>1</v>
      </c>
      <c r="Q20" s="308">
        <v>2</v>
      </c>
      <c r="R20" s="309">
        <v>4216</v>
      </c>
      <c r="S20" s="310">
        <v>3185</v>
      </c>
      <c r="T20" s="310">
        <v>7401</v>
      </c>
      <c r="U20" s="13"/>
      <c r="V20" s="13"/>
      <c r="W20" s="13"/>
      <c r="X20" s="13"/>
      <c r="Y20" s="13"/>
      <c r="Z20" s="13"/>
    </row>
    <row r="21" spans="2:26" x14ac:dyDescent="0.25">
      <c r="B21" s="242" t="s">
        <v>513</v>
      </c>
      <c r="C21" s="307">
        <v>1244</v>
      </c>
      <c r="D21" s="307">
        <v>1181</v>
      </c>
      <c r="E21" s="308">
        <v>2425</v>
      </c>
      <c r="F21" s="307">
        <v>716</v>
      </c>
      <c r="G21" s="307">
        <v>575</v>
      </c>
      <c r="H21" s="308">
        <v>1291</v>
      </c>
      <c r="I21" s="307">
        <v>601</v>
      </c>
      <c r="J21" s="307">
        <v>201</v>
      </c>
      <c r="K21" s="308">
        <v>802</v>
      </c>
      <c r="L21" s="307">
        <v>204</v>
      </c>
      <c r="M21" s="307">
        <v>260</v>
      </c>
      <c r="N21" s="308">
        <v>464</v>
      </c>
      <c r="O21" s="308">
        <v>0</v>
      </c>
      <c r="P21" s="308">
        <v>0</v>
      </c>
      <c r="Q21" s="308">
        <v>0</v>
      </c>
      <c r="R21" s="309">
        <v>2765</v>
      </c>
      <c r="S21" s="310">
        <v>2217</v>
      </c>
      <c r="T21" s="310">
        <v>4982</v>
      </c>
      <c r="U21" s="13"/>
      <c r="V21" s="13"/>
      <c r="W21" s="13"/>
      <c r="X21" s="13"/>
      <c r="Y21" s="13"/>
      <c r="Z21" s="13"/>
    </row>
    <row r="22" spans="2:26" x14ac:dyDescent="0.25">
      <c r="B22" s="242" t="s">
        <v>518</v>
      </c>
      <c r="C22" s="307">
        <v>407</v>
      </c>
      <c r="D22" s="307">
        <v>479</v>
      </c>
      <c r="E22" s="308">
        <v>886</v>
      </c>
      <c r="F22" s="307">
        <v>304</v>
      </c>
      <c r="G22" s="307">
        <v>235</v>
      </c>
      <c r="H22" s="308">
        <v>539</v>
      </c>
      <c r="I22" s="307">
        <v>246</v>
      </c>
      <c r="J22" s="307">
        <v>79</v>
      </c>
      <c r="K22" s="308">
        <v>325</v>
      </c>
      <c r="L22" s="307">
        <v>92</v>
      </c>
      <c r="M22" s="307">
        <v>159</v>
      </c>
      <c r="N22" s="308">
        <v>251</v>
      </c>
      <c r="O22" s="308">
        <v>0</v>
      </c>
      <c r="P22" s="308">
        <v>0</v>
      </c>
      <c r="Q22" s="308">
        <v>0</v>
      </c>
      <c r="R22" s="309">
        <v>1049</v>
      </c>
      <c r="S22" s="310">
        <v>952</v>
      </c>
      <c r="T22" s="310">
        <v>2001</v>
      </c>
      <c r="U22" s="13"/>
      <c r="V22" s="13"/>
      <c r="W22" s="13"/>
      <c r="X22" s="13"/>
      <c r="Y22" s="13"/>
      <c r="Z22" s="13"/>
    </row>
    <row r="23" spans="2:26" x14ac:dyDescent="0.25">
      <c r="B23" s="242" t="s">
        <v>514</v>
      </c>
      <c r="C23" s="307">
        <v>902</v>
      </c>
      <c r="D23" s="307">
        <v>930</v>
      </c>
      <c r="E23" s="308">
        <v>1832</v>
      </c>
      <c r="F23" s="307">
        <v>634</v>
      </c>
      <c r="G23" s="307">
        <v>496</v>
      </c>
      <c r="H23" s="308">
        <v>1130</v>
      </c>
      <c r="I23" s="307">
        <v>459</v>
      </c>
      <c r="J23" s="307">
        <v>173</v>
      </c>
      <c r="K23" s="308">
        <v>632</v>
      </c>
      <c r="L23" s="307">
        <v>180</v>
      </c>
      <c r="M23" s="307">
        <v>195</v>
      </c>
      <c r="N23" s="308">
        <v>375</v>
      </c>
      <c r="O23" s="308">
        <v>1</v>
      </c>
      <c r="P23" s="308">
        <v>1</v>
      </c>
      <c r="Q23" s="308">
        <v>2</v>
      </c>
      <c r="R23" s="309">
        <v>2176</v>
      </c>
      <c r="S23" s="310">
        <v>1795</v>
      </c>
      <c r="T23" s="310">
        <v>3971</v>
      </c>
      <c r="U23" s="13"/>
      <c r="V23" s="13"/>
      <c r="W23" s="13"/>
      <c r="X23" s="13"/>
      <c r="Y23" s="13"/>
      <c r="Z23" s="13"/>
    </row>
    <row r="24" spans="2:26" ht="30" x14ac:dyDescent="0.25">
      <c r="B24" s="159" t="s">
        <v>515</v>
      </c>
      <c r="C24" s="307">
        <v>110</v>
      </c>
      <c r="D24" s="307">
        <v>140</v>
      </c>
      <c r="E24" s="308">
        <v>250</v>
      </c>
      <c r="F24" s="307">
        <v>94</v>
      </c>
      <c r="G24" s="307">
        <v>54</v>
      </c>
      <c r="H24" s="308">
        <v>148</v>
      </c>
      <c r="I24" s="307">
        <v>41</v>
      </c>
      <c r="J24" s="307">
        <v>11</v>
      </c>
      <c r="K24" s="308">
        <v>52</v>
      </c>
      <c r="L24" s="307">
        <v>17</v>
      </c>
      <c r="M24" s="307">
        <v>20</v>
      </c>
      <c r="N24" s="308">
        <v>37</v>
      </c>
      <c r="O24" s="308">
        <v>0</v>
      </c>
      <c r="P24" s="308">
        <v>0</v>
      </c>
      <c r="Q24" s="308">
        <v>0</v>
      </c>
      <c r="R24" s="309">
        <v>262</v>
      </c>
      <c r="S24" s="310">
        <v>225</v>
      </c>
      <c r="T24" s="310">
        <v>487</v>
      </c>
      <c r="U24" s="13"/>
      <c r="V24" s="13"/>
      <c r="W24" s="13"/>
      <c r="X24" s="13"/>
      <c r="Y24" s="13"/>
      <c r="Z24" s="13"/>
    </row>
    <row r="25" spans="2:26" x14ac:dyDescent="0.25">
      <c r="B25" s="242" t="s">
        <v>516</v>
      </c>
      <c r="C25" s="307">
        <v>154</v>
      </c>
      <c r="D25" s="307">
        <v>184</v>
      </c>
      <c r="E25" s="308">
        <v>338</v>
      </c>
      <c r="F25" s="307">
        <v>164</v>
      </c>
      <c r="G25" s="307">
        <v>144</v>
      </c>
      <c r="H25" s="308">
        <v>308</v>
      </c>
      <c r="I25" s="307">
        <v>47</v>
      </c>
      <c r="J25" s="307">
        <v>17</v>
      </c>
      <c r="K25" s="308">
        <v>64</v>
      </c>
      <c r="L25" s="307">
        <v>40</v>
      </c>
      <c r="M25" s="307">
        <v>28</v>
      </c>
      <c r="N25" s="308">
        <v>68</v>
      </c>
      <c r="O25" s="308">
        <v>0</v>
      </c>
      <c r="P25" s="308">
        <v>0</v>
      </c>
      <c r="Q25" s="308">
        <v>0</v>
      </c>
      <c r="R25" s="309">
        <v>405</v>
      </c>
      <c r="S25" s="310">
        <v>373</v>
      </c>
      <c r="T25" s="310">
        <v>778</v>
      </c>
      <c r="U25" s="13"/>
      <c r="V25" s="13"/>
      <c r="W25" s="13"/>
      <c r="X25" s="13"/>
      <c r="Y25" s="13"/>
      <c r="Z25" s="13"/>
    </row>
    <row r="26" spans="2:26" x14ac:dyDescent="0.25">
      <c r="B26" s="252" t="s">
        <v>835</v>
      </c>
      <c r="C26" s="282">
        <v>18333</v>
      </c>
      <c r="D26" s="282">
        <v>17612</v>
      </c>
      <c r="E26" s="282">
        <v>35945</v>
      </c>
      <c r="F26" s="282">
        <v>15370</v>
      </c>
      <c r="G26" s="282">
        <v>11134</v>
      </c>
      <c r="H26" s="282">
        <v>26504</v>
      </c>
      <c r="I26" s="282">
        <v>7411</v>
      </c>
      <c r="J26" s="282">
        <v>2506</v>
      </c>
      <c r="K26" s="282">
        <v>9917</v>
      </c>
      <c r="L26" s="282">
        <v>2978</v>
      </c>
      <c r="M26" s="282">
        <v>3282</v>
      </c>
      <c r="N26" s="282">
        <v>6260</v>
      </c>
      <c r="O26" s="282">
        <v>9</v>
      </c>
      <c r="P26" s="282">
        <v>31</v>
      </c>
      <c r="Q26" s="282">
        <v>40</v>
      </c>
      <c r="R26" s="311">
        <v>44101</v>
      </c>
      <c r="S26" s="310">
        <v>34565</v>
      </c>
      <c r="T26" s="310">
        <v>78666</v>
      </c>
      <c r="U26" s="13"/>
      <c r="V26" s="13"/>
      <c r="W26" s="13"/>
      <c r="X26" s="13"/>
      <c r="Y26" s="13"/>
      <c r="Z26" s="13"/>
    </row>
    <row r="27" spans="2:26" ht="83.25" customHeight="1" x14ac:dyDescent="0.25">
      <c r="B27" s="468" t="s">
        <v>866</v>
      </c>
      <c r="C27" s="468"/>
      <c r="D27" s="468"/>
      <c r="E27" s="468"/>
      <c r="F27" s="468"/>
      <c r="G27" s="468"/>
      <c r="H27" s="468"/>
      <c r="I27" s="468"/>
      <c r="J27" s="468"/>
      <c r="K27" s="468"/>
      <c r="L27" s="468"/>
      <c r="M27" s="468"/>
      <c r="N27" s="468"/>
      <c r="O27" s="468"/>
      <c r="P27" s="468"/>
      <c r="Q27" s="468"/>
      <c r="R27" s="468"/>
      <c r="S27" s="468"/>
      <c r="T27" s="468"/>
      <c r="U27" s="13"/>
      <c r="V27" s="13"/>
      <c r="W27" s="13"/>
    </row>
    <row r="28" spans="2:26" x14ac:dyDescent="0.25">
      <c r="C28" s="13"/>
      <c r="D28" s="13"/>
      <c r="E28" s="13"/>
      <c r="F28" s="13"/>
      <c r="G28" s="13"/>
      <c r="H28" s="13"/>
      <c r="I28" s="13"/>
      <c r="J28" s="13"/>
      <c r="K28" s="13"/>
      <c r="L28" s="13"/>
      <c r="M28" s="13"/>
      <c r="N28" s="13"/>
      <c r="O28" s="13"/>
      <c r="P28" s="13"/>
      <c r="Q28" s="13"/>
      <c r="R28" s="13"/>
      <c r="S28" s="13"/>
      <c r="T28" s="13"/>
      <c r="U28" s="13"/>
      <c r="V28" s="13"/>
      <c r="W28" s="13"/>
    </row>
    <row r="29" spans="2:26" customFormat="1" ht="18.75" x14ac:dyDescent="0.3">
      <c r="B29" s="2" t="s">
        <v>826</v>
      </c>
      <c r="C29" s="2"/>
      <c r="D29" s="2"/>
      <c r="E29" s="2"/>
      <c r="H29" s="223"/>
      <c r="I29" s="480"/>
      <c r="J29" s="140"/>
      <c r="K29" s="141"/>
      <c r="L29" s="141"/>
      <c r="M29" s="141"/>
      <c r="N29" s="141"/>
      <c r="O29" s="141"/>
      <c r="P29" s="141"/>
      <c r="Q29" s="223"/>
      <c r="R29" s="223"/>
      <c r="S29" s="223"/>
      <c r="T29" s="223"/>
      <c r="U29" s="223"/>
      <c r="V29" s="223"/>
      <c r="W29" s="223"/>
    </row>
    <row r="30" spans="2:26" customFormat="1" x14ac:dyDescent="0.25">
      <c r="B30" s="3" t="s">
        <v>912</v>
      </c>
      <c r="H30" s="223"/>
      <c r="I30" s="480"/>
      <c r="J30" s="140"/>
      <c r="K30" s="141"/>
      <c r="L30" s="141"/>
      <c r="M30" s="141"/>
      <c r="N30" s="141"/>
      <c r="O30" s="141"/>
      <c r="P30" s="141"/>
      <c r="Q30" s="223"/>
      <c r="R30" s="223"/>
      <c r="S30" s="223"/>
      <c r="T30" s="223"/>
      <c r="U30" s="223"/>
      <c r="V30" s="223"/>
      <c r="W30" s="223"/>
    </row>
    <row r="31" spans="2:26" customFormat="1" x14ac:dyDescent="0.25">
      <c r="H31" s="223"/>
      <c r="I31" s="227"/>
      <c r="J31" s="140"/>
      <c r="K31" s="140"/>
      <c r="L31" s="140"/>
      <c r="M31" s="140"/>
      <c r="N31" s="140"/>
      <c r="O31" s="140"/>
      <c r="P31" s="141"/>
      <c r="Q31" s="223"/>
      <c r="R31" s="223"/>
      <c r="S31" s="223"/>
      <c r="T31" s="223"/>
      <c r="U31" s="223"/>
      <c r="V31" s="223"/>
      <c r="W31" s="223"/>
    </row>
    <row r="32" spans="2:26" x14ac:dyDescent="0.25">
      <c r="B32" s="186" t="s">
        <v>519</v>
      </c>
      <c r="C32"/>
      <c r="D32"/>
      <c r="E32"/>
      <c r="F32"/>
      <c r="G32"/>
      <c r="H32" s="13"/>
      <c r="I32" s="13"/>
      <c r="J32" s="13"/>
      <c r="K32" s="13"/>
      <c r="L32" s="13"/>
      <c r="M32" s="13"/>
      <c r="N32" s="13"/>
      <c r="O32" s="13"/>
      <c r="P32" s="13"/>
      <c r="Q32" s="13"/>
      <c r="R32" s="13"/>
      <c r="S32" s="13"/>
      <c r="T32" s="13"/>
      <c r="U32" s="13"/>
      <c r="V32" s="13"/>
      <c r="W32" s="13"/>
    </row>
    <row r="33" spans="2:27" x14ac:dyDescent="0.25">
      <c r="B33" s="186"/>
      <c r="C33"/>
      <c r="D33"/>
      <c r="E33"/>
      <c r="F33"/>
      <c r="G33"/>
      <c r="H33" s="13"/>
      <c r="I33" s="13"/>
      <c r="J33" s="13"/>
      <c r="K33" s="13"/>
      <c r="L33" s="13"/>
      <c r="M33" s="13"/>
      <c r="N33" s="13"/>
      <c r="O33" s="13"/>
      <c r="P33" s="13"/>
      <c r="Q33" s="13"/>
      <c r="R33" s="13"/>
      <c r="S33" s="13"/>
      <c r="T33" s="13"/>
      <c r="U33" s="13"/>
      <c r="V33" s="13"/>
      <c r="W33" s="13"/>
    </row>
    <row r="34" spans="2:27" ht="15" customHeight="1" x14ac:dyDescent="0.25">
      <c r="B34" s="432" t="s">
        <v>532</v>
      </c>
      <c r="C34" s="476" t="s">
        <v>477</v>
      </c>
      <c r="D34" s="477"/>
      <c r="E34" s="477"/>
      <c r="F34" s="477"/>
      <c r="G34" s="477"/>
      <c r="H34" s="477"/>
      <c r="I34" s="477"/>
      <c r="J34" s="477"/>
      <c r="K34" s="477"/>
      <c r="L34" s="477"/>
      <c r="M34" s="477"/>
      <c r="N34" s="477"/>
      <c r="O34" s="477"/>
      <c r="P34" s="477"/>
      <c r="Q34" s="478"/>
      <c r="R34" s="469" t="s">
        <v>865</v>
      </c>
      <c r="S34" s="470"/>
      <c r="T34" s="471"/>
      <c r="U34" s="13"/>
      <c r="V34" s="13"/>
      <c r="W34" s="13"/>
    </row>
    <row r="35" spans="2:27" ht="15" customHeight="1" x14ac:dyDescent="0.25">
      <c r="B35" s="432"/>
      <c r="C35" s="463" t="s">
        <v>849</v>
      </c>
      <c r="D35" s="463"/>
      <c r="E35" s="463"/>
      <c r="F35" s="463" t="s">
        <v>850</v>
      </c>
      <c r="G35" s="463"/>
      <c r="H35" s="463"/>
      <c r="I35" s="463" t="s">
        <v>3</v>
      </c>
      <c r="J35" s="463"/>
      <c r="K35" s="463"/>
      <c r="L35" s="463" t="s">
        <v>5</v>
      </c>
      <c r="M35" s="463"/>
      <c r="N35" s="463"/>
      <c r="O35" s="463" t="s">
        <v>859</v>
      </c>
      <c r="P35" s="463"/>
      <c r="Q35" s="463"/>
      <c r="R35" s="472"/>
      <c r="S35" s="473"/>
      <c r="T35" s="474"/>
      <c r="U35" s="13"/>
      <c r="V35" s="13"/>
      <c r="W35" s="13"/>
    </row>
    <row r="36" spans="2:27" x14ac:dyDescent="0.25">
      <c r="B36" s="432"/>
      <c r="C36" s="264" t="s">
        <v>73</v>
      </c>
      <c r="D36" s="264" t="s">
        <v>74</v>
      </c>
      <c r="E36" s="264" t="s">
        <v>25</v>
      </c>
      <c r="F36" s="264" t="s">
        <v>73</v>
      </c>
      <c r="G36" s="264" t="s">
        <v>74</v>
      </c>
      <c r="H36" s="264" t="s">
        <v>25</v>
      </c>
      <c r="I36" s="264" t="s">
        <v>73</v>
      </c>
      <c r="J36" s="264" t="s">
        <v>74</v>
      </c>
      <c r="K36" s="264" t="s">
        <v>25</v>
      </c>
      <c r="L36" s="264" t="s">
        <v>73</v>
      </c>
      <c r="M36" s="264" t="s">
        <v>74</v>
      </c>
      <c r="N36" s="264" t="s">
        <v>25</v>
      </c>
      <c r="O36" s="264" t="s">
        <v>73</v>
      </c>
      <c r="P36" s="264" t="s">
        <v>74</v>
      </c>
      <c r="Q36" s="264" t="s">
        <v>25</v>
      </c>
      <c r="R36" s="274" t="s">
        <v>73</v>
      </c>
      <c r="S36" s="274" t="s">
        <v>74</v>
      </c>
      <c r="T36" s="274" t="s">
        <v>25</v>
      </c>
      <c r="U36" s="13"/>
      <c r="V36" s="13"/>
      <c r="W36" s="13"/>
    </row>
    <row r="37" spans="2:27" x14ac:dyDescent="0.25">
      <c r="B37" s="312" t="s">
        <v>447</v>
      </c>
      <c r="C37" s="314">
        <v>234</v>
      </c>
      <c r="D37" s="314">
        <v>224</v>
      </c>
      <c r="E37" s="314">
        <v>458</v>
      </c>
      <c r="F37" s="314">
        <v>191</v>
      </c>
      <c r="G37" s="314">
        <v>131</v>
      </c>
      <c r="H37" s="314">
        <v>322</v>
      </c>
      <c r="I37" s="314">
        <v>79</v>
      </c>
      <c r="J37" s="314">
        <v>33</v>
      </c>
      <c r="K37" s="314">
        <v>112</v>
      </c>
      <c r="L37" s="314">
        <v>35</v>
      </c>
      <c r="M37" s="314">
        <v>70</v>
      </c>
      <c r="N37" s="314">
        <v>105</v>
      </c>
      <c r="O37" s="314">
        <v>0</v>
      </c>
      <c r="P37" s="314">
        <v>1</v>
      </c>
      <c r="Q37" s="314">
        <v>1</v>
      </c>
      <c r="R37" s="295">
        <v>539</v>
      </c>
      <c r="S37" s="295">
        <v>459</v>
      </c>
      <c r="T37" s="295">
        <v>998</v>
      </c>
      <c r="U37" s="13"/>
      <c r="V37" s="13"/>
      <c r="W37" s="13"/>
      <c r="X37" s="13"/>
    </row>
    <row r="38" spans="2:27" x14ac:dyDescent="0.25">
      <c r="B38" s="312" t="s">
        <v>448</v>
      </c>
      <c r="C38" s="314">
        <v>1</v>
      </c>
      <c r="D38" s="314">
        <v>1</v>
      </c>
      <c r="E38" s="314">
        <v>2</v>
      </c>
      <c r="F38" s="314">
        <v>0</v>
      </c>
      <c r="G38" s="314">
        <v>1</v>
      </c>
      <c r="H38" s="314">
        <v>1</v>
      </c>
      <c r="I38" s="314">
        <v>0</v>
      </c>
      <c r="J38" s="314">
        <v>0</v>
      </c>
      <c r="K38" s="314">
        <v>0</v>
      </c>
      <c r="L38" s="314">
        <v>0</v>
      </c>
      <c r="M38" s="314">
        <v>0</v>
      </c>
      <c r="N38" s="314">
        <v>0</v>
      </c>
      <c r="O38" s="314">
        <v>0</v>
      </c>
      <c r="P38" s="314">
        <v>0</v>
      </c>
      <c r="Q38" s="314">
        <v>0</v>
      </c>
      <c r="R38" s="295">
        <v>1</v>
      </c>
      <c r="S38" s="295">
        <v>2</v>
      </c>
      <c r="T38" s="295">
        <v>3</v>
      </c>
      <c r="U38" s="13"/>
      <c r="V38" s="13"/>
      <c r="W38" s="13"/>
      <c r="X38" s="13"/>
    </row>
    <row r="39" spans="2:27" x14ac:dyDescent="0.25">
      <c r="B39" s="313" t="s">
        <v>450</v>
      </c>
      <c r="C39" s="314">
        <v>1</v>
      </c>
      <c r="D39" s="314">
        <v>0</v>
      </c>
      <c r="E39" s="314">
        <v>1</v>
      </c>
      <c r="F39" s="314">
        <v>2</v>
      </c>
      <c r="G39" s="314">
        <v>0</v>
      </c>
      <c r="H39" s="314">
        <v>2</v>
      </c>
      <c r="I39" s="314">
        <v>0</v>
      </c>
      <c r="J39" s="314">
        <v>0</v>
      </c>
      <c r="K39" s="314">
        <v>0</v>
      </c>
      <c r="L39" s="314">
        <v>0</v>
      </c>
      <c r="M39" s="314">
        <v>0</v>
      </c>
      <c r="N39" s="314">
        <v>0</v>
      </c>
      <c r="O39" s="314">
        <v>0</v>
      </c>
      <c r="P39" s="314">
        <v>0</v>
      </c>
      <c r="Q39" s="314">
        <v>0</v>
      </c>
      <c r="R39" s="295">
        <v>3</v>
      </c>
      <c r="S39" s="295">
        <v>0</v>
      </c>
      <c r="T39" s="295">
        <v>3</v>
      </c>
      <c r="U39" s="13"/>
      <c r="V39" s="13"/>
      <c r="W39" s="13"/>
      <c r="X39" s="13"/>
    </row>
    <row r="40" spans="2:27" x14ac:dyDescent="0.25">
      <c r="B40" s="297" t="s">
        <v>25</v>
      </c>
      <c r="C40" s="282">
        <v>236</v>
      </c>
      <c r="D40" s="282">
        <v>225</v>
      </c>
      <c r="E40" s="282">
        <v>461</v>
      </c>
      <c r="F40" s="282">
        <v>193</v>
      </c>
      <c r="G40" s="282">
        <v>132</v>
      </c>
      <c r="H40" s="285">
        <v>325</v>
      </c>
      <c r="I40" s="282">
        <v>79</v>
      </c>
      <c r="J40" s="285">
        <v>33</v>
      </c>
      <c r="K40" s="282">
        <v>112</v>
      </c>
      <c r="L40" s="285">
        <v>35</v>
      </c>
      <c r="M40" s="282">
        <v>70</v>
      </c>
      <c r="N40" s="285">
        <v>105</v>
      </c>
      <c r="O40" s="285">
        <v>0</v>
      </c>
      <c r="P40" s="282">
        <v>1</v>
      </c>
      <c r="Q40" s="285">
        <v>1</v>
      </c>
      <c r="R40" s="295">
        <v>543</v>
      </c>
      <c r="S40" s="295">
        <v>461</v>
      </c>
      <c r="T40" s="295">
        <v>1004</v>
      </c>
      <c r="U40" s="13"/>
      <c r="V40" s="13"/>
      <c r="W40" s="13"/>
      <c r="X40" s="13"/>
    </row>
    <row r="41" spans="2:27" ht="82.5" customHeight="1" x14ac:dyDescent="0.25">
      <c r="B41" s="468" t="s">
        <v>866</v>
      </c>
      <c r="C41" s="468"/>
      <c r="D41" s="468"/>
      <c r="E41" s="468"/>
      <c r="F41" s="468"/>
      <c r="G41" s="468"/>
      <c r="H41" s="468"/>
      <c r="I41" s="468"/>
      <c r="J41" s="468"/>
      <c r="K41" s="468"/>
      <c r="L41" s="468"/>
      <c r="M41" s="468"/>
      <c r="N41" s="468"/>
      <c r="O41" s="468"/>
      <c r="P41" s="468"/>
      <c r="Q41" s="468"/>
      <c r="R41" s="13"/>
      <c r="S41" s="13"/>
      <c r="T41" s="13"/>
      <c r="U41" s="13"/>
      <c r="V41" s="13"/>
      <c r="W41" s="13"/>
    </row>
    <row r="42" spans="2:27" customFormat="1" x14ac:dyDescent="0.25">
      <c r="H42" s="223"/>
      <c r="I42" s="227"/>
      <c r="J42" s="140"/>
      <c r="K42" s="140"/>
      <c r="L42" s="140"/>
      <c r="M42" s="140"/>
      <c r="N42" s="140"/>
      <c r="O42" s="140"/>
      <c r="P42" s="141"/>
      <c r="Q42" s="223"/>
      <c r="R42" s="223"/>
      <c r="S42" s="223"/>
      <c r="T42" s="223"/>
      <c r="U42" s="223"/>
      <c r="V42" s="223"/>
      <c r="W42" s="223"/>
    </row>
    <row r="43" spans="2:27" customFormat="1" x14ac:dyDescent="0.25">
      <c r="B43" s="186" t="s">
        <v>505</v>
      </c>
      <c r="H43" s="223"/>
      <c r="I43" s="227"/>
      <c r="J43" s="140"/>
      <c r="K43" s="141"/>
      <c r="L43" s="141"/>
      <c r="M43" s="141"/>
      <c r="N43" s="141"/>
      <c r="O43" s="141"/>
      <c r="P43" s="141"/>
      <c r="Q43" s="223"/>
      <c r="R43" s="223"/>
      <c r="S43" s="223"/>
      <c r="T43" s="223"/>
      <c r="U43" s="223"/>
      <c r="V43" s="223"/>
      <c r="W43" s="223"/>
    </row>
    <row r="44" spans="2:27" customFormat="1" x14ac:dyDescent="0.25">
      <c r="B44" s="186"/>
      <c r="H44" s="223"/>
      <c r="I44" s="227"/>
      <c r="J44" s="140"/>
      <c r="K44" s="141"/>
      <c r="L44" s="141"/>
      <c r="M44" s="141"/>
      <c r="N44" s="141"/>
      <c r="O44" s="141"/>
      <c r="P44" s="141"/>
      <c r="Q44" s="223"/>
      <c r="R44" s="223"/>
      <c r="S44" s="223"/>
      <c r="T44" s="223"/>
      <c r="U44" s="223"/>
      <c r="V44" s="223"/>
      <c r="W44" s="223"/>
    </row>
    <row r="45" spans="2:27" customFormat="1" ht="15" customHeight="1" x14ac:dyDescent="0.25">
      <c r="B45" s="432" t="s">
        <v>532</v>
      </c>
      <c r="C45" s="475" t="s">
        <v>477</v>
      </c>
      <c r="D45" s="475"/>
      <c r="E45" s="475"/>
      <c r="F45" s="475"/>
      <c r="G45" s="475"/>
      <c r="H45" s="475"/>
      <c r="I45" s="475"/>
      <c r="J45" s="475"/>
      <c r="K45" s="475"/>
      <c r="L45" s="475"/>
      <c r="M45" s="475"/>
      <c r="N45" s="475"/>
      <c r="O45" s="475"/>
      <c r="P45" s="475"/>
      <c r="Q45" s="475"/>
      <c r="R45" s="469" t="s">
        <v>865</v>
      </c>
      <c r="S45" s="470"/>
      <c r="T45" s="471"/>
      <c r="U45" s="223"/>
      <c r="V45" s="223"/>
      <c r="W45" s="223"/>
      <c r="X45" s="223"/>
      <c r="Y45" s="223"/>
      <c r="Z45" s="223"/>
    </row>
    <row r="46" spans="2:27" customFormat="1" ht="15" customHeight="1" x14ac:dyDescent="0.25">
      <c r="B46" s="432"/>
      <c r="C46" s="463" t="s">
        <v>849</v>
      </c>
      <c r="D46" s="463"/>
      <c r="E46" s="463"/>
      <c r="F46" s="463" t="s">
        <v>850</v>
      </c>
      <c r="G46" s="463"/>
      <c r="H46" s="463"/>
      <c r="I46" s="463" t="s">
        <v>3</v>
      </c>
      <c r="J46" s="463"/>
      <c r="K46" s="463"/>
      <c r="L46" s="463" t="s">
        <v>5</v>
      </c>
      <c r="M46" s="463"/>
      <c r="N46" s="463"/>
      <c r="O46" s="463" t="s">
        <v>859</v>
      </c>
      <c r="P46" s="463"/>
      <c r="Q46" s="463"/>
      <c r="R46" s="472"/>
      <c r="S46" s="473"/>
      <c r="T46" s="474"/>
      <c r="U46" s="223"/>
      <c r="V46" s="223"/>
      <c r="W46" s="223"/>
      <c r="X46" s="223"/>
      <c r="Y46" s="223"/>
      <c r="Z46" s="223"/>
    </row>
    <row r="47" spans="2:27" customFormat="1" x14ac:dyDescent="0.25">
      <c r="B47" s="432"/>
      <c r="C47" s="264" t="s">
        <v>73</v>
      </c>
      <c r="D47" s="264" t="s">
        <v>74</v>
      </c>
      <c r="E47" s="264" t="s">
        <v>25</v>
      </c>
      <c r="F47" s="264" t="s">
        <v>73</v>
      </c>
      <c r="G47" s="264" t="s">
        <v>74</v>
      </c>
      <c r="H47" s="264" t="s">
        <v>25</v>
      </c>
      <c r="I47" s="264" t="s">
        <v>73</v>
      </c>
      <c r="J47" s="264" t="s">
        <v>74</v>
      </c>
      <c r="K47" s="264" t="s">
        <v>25</v>
      </c>
      <c r="L47" s="264" t="s">
        <v>73</v>
      </c>
      <c r="M47" s="264" t="s">
        <v>74</v>
      </c>
      <c r="N47" s="264" t="s">
        <v>25</v>
      </c>
      <c r="O47" s="264" t="s">
        <v>73</v>
      </c>
      <c r="P47" s="264" t="s">
        <v>74</v>
      </c>
      <c r="Q47" s="264" t="s">
        <v>25</v>
      </c>
      <c r="R47" s="315" t="s">
        <v>73</v>
      </c>
      <c r="S47" s="274" t="s">
        <v>74</v>
      </c>
      <c r="T47" s="274" t="s">
        <v>25</v>
      </c>
      <c r="U47" s="223"/>
      <c r="V47" s="223"/>
      <c r="W47" s="223"/>
      <c r="X47" s="223"/>
      <c r="Y47" s="223"/>
      <c r="Z47" s="223"/>
      <c r="AA47" s="223"/>
    </row>
    <row r="48" spans="2:27" customFormat="1" x14ac:dyDescent="0.25">
      <c r="B48" s="228" t="s">
        <v>131</v>
      </c>
      <c r="C48" s="307">
        <v>77</v>
      </c>
      <c r="D48" s="307">
        <v>77</v>
      </c>
      <c r="E48" s="307">
        <v>154</v>
      </c>
      <c r="F48" s="307">
        <v>40</v>
      </c>
      <c r="G48" s="307">
        <v>48</v>
      </c>
      <c r="H48" s="265">
        <v>88</v>
      </c>
      <c r="I48" s="307">
        <v>57</v>
      </c>
      <c r="J48" s="265">
        <v>16</v>
      </c>
      <c r="K48" s="307">
        <v>73</v>
      </c>
      <c r="L48" s="265">
        <v>11</v>
      </c>
      <c r="M48" s="307">
        <v>9</v>
      </c>
      <c r="N48" s="265">
        <v>20</v>
      </c>
      <c r="O48" s="265">
        <v>0</v>
      </c>
      <c r="P48" s="265">
        <v>0</v>
      </c>
      <c r="Q48" s="265">
        <v>0</v>
      </c>
      <c r="R48" s="309">
        <v>185</v>
      </c>
      <c r="S48" s="310">
        <v>150</v>
      </c>
      <c r="T48" s="310">
        <v>335</v>
      </c>
      <c r="U48" s="223"/>
      <c r="V48" s="223"/>
      <c r="W48" s="223"/>
      <c r="X48" s="223"/>
      <c r="Y48" s="223"/>
      <c r="Z48" s="223"/>
      <c r="AA48" s="223"/>
    </row>
    <row r="49" spans="2:27" customFormat="1" x14ac:dyDescent="0.25">
      <c r="B49" s="229" t="s">
        <v>137</v>
      </c>
      <c r="C49" s="307">
        <v>2</v>
      </c>
      <c r="D49" s="307">
        <v>3</v>
      </c>
      <c r="E49" s="307">
        <v>5</v>
      </c>
      <c r="F49" s="307">
        <v>0</v>
      </c>
      <c r="G49" s="307">
        <v>0</v>
      </c>
      <c r="H49" s="265">
        <v>0</v>
      </c>
      <c r="I49" s="307">
        <v>0</v>
      </c>
      <c r="J49" s="265">
        <v>1</v>
      </c>
      <c r="K49" s="307">
        <v>1</v>
      </c>
      <c r="L49" s="265">
        <v>1</v>
      </c>
      <c r="M49" s="307">
        <v>0</v>
      </c>
      <c r="N49" s="265">
        <v>1</v>
      </c>
      <c r="O49" s="265">
        <v>0</v>
      </c>
      <c r="P49" s="265">
        <v>0</v>
      </c>
      <c r="Q49" s="265">
        <v>0</v>
      </c>
      <c r="R49" s="309">
        <v>3</v>
      </c>
      <c r="S49" s="310">
        <v>4</v>
      </c>
      <c r="T49" s="310">
        <v>7</v>
      </c>
      <c r="U49" s="223"/>
      <c r="V49" s="223"/>
      <c r="W49" s="223"/>
      <c r="X49" s="223"/>
      <c r="Y49" s="223"/>
      <c r="Z49" s="223"/>
      <c r="AA49" s="223"/>
    </row>
    <row r="50" spans="2:27" customFormat="1" x14ac:dyDescent="0.25">
      <c r="B50" s="229" t="s">
        <v>132</v>
      </c>
      <c r="C50" s="307">
        <v>0</v>
      </c>
      <c r="D50" s="307">
        <v>1</v>
      </c>
      <c r="E50" s="307">
        <v>1</v>
      </c>
      <c r="F50" s="307">
        <v>0</v>
      </c>
      <c r="G50" s="307">
        <v>0</v>
      </c>
      <c r="H50" s="265">
        <v>0</v>
      </c>
      <c r="I50" s="307">
        <v>0</v>
      </c>
      <c r="J50" s="265">
        <v>0</v>
      </c>
      <c r="K50" s="307">
        <v>0</v>
      </c>
      <c r="L50" s="265">
        <v>0</v>
      </c>
      <c r="M50" s="307">
        <v>0</v>
      </c>
      <c r="N50" s="265">
        <v>0</v>
      </c>
      <c r="O50" s="265">
        <v>0</v>
      </c>
      <c r="P50" s="265">
        <v>0</v>
      </c>
      <c r="Q50" s="265">
        <v>0</v>
      </c>
      <c r="R50" s="309">
        <v>0</v>
      </c>
      <c r="S50" s="310">
        <v>1</v>
      </c>
      <c r="T50" s="310">
        <v>1</v>
      </c>
      <c r="U50" s="223"/>
      <c r="V50" s="223"/>
      <c r="W50" s="223"/>
      <c r="X50" s="223"/>
      <c r="Y50" s="223"/>
      <c r="Z50" s="223"/>
      <c r="AA50" s="223"/>
    </row>
    <row r="51" spans="2:27" customFormat="1" x14ac:dyDescent="0.25">
      <c r="B51" s="229" t="s">
        <v>133</v>
      </c>
      <c r="C51" s="307">
        <v>3</v>
      </c>
      <c r="D51" s="307">
        <v>5</v>
      </c>
      <c r="E51" s="307">
        <v>8</v>
      </c>
      <c r="F51" s="307">
        <v>0</v>
      </c>
      <c r="G51" s="307">
        <v>1</v>
      </c>
      <c r="H51" s="265">
        <v>1</v>
      </c>
      <c r="I51" s="307">
        <v>0</v>
      </c>
      <c r="J51" s="265">
        <v>1</v>
      </c>
      <c r="K51" s="307">
        <v>1</v>
      </c>
      <c r="L51" s="265">
        <v>0</v>
      </c>
      <c r="M51" s="307">
        <v>0</v>
      </c>
      <c r="N51" s="265">
        <v>0</v>
      </c>
      <c r="O51" s="265">
        <v>0</v>
      </c>
      <c r="P51" s="265">
        <v>0</v>
      </c>
      <c r="Q51" s="265">
        <v>0</v>
      </c>
      <c r="R51" s="309">
        <v>3</v>
      </c>
      <c r="S51" s="310">
        <v>7</v>
      </c>
      <c r="T51" s="310">
        <v>10</v>
      </c>
      <c r="U51" s="223"/>
      <c r="V51" s="223"/>
      <c r="W51" s="223"/>
      <c r="X51" s="223"/>
      <c r="Y51" s="223"/>
      <c r="Z51" s="223"/>
      <c r="AA51" s="223"/>
    </row>
    <row r="52" spans="2:27" customFormat="1" x14ac:dyDescent="0.25">
      <c r="B52" s="230" t="s">
        <v>134</v>
      </c>
      <c r="C52" s="307">
        <v>164</v>
      </c>
      <c r="D52" s="307">
        <v>168</v>
      </c>
      <c r="E52" s="307">
        <v>332</v>
      </c>
      <c r="F52" s="307">
        <v>142</v>
      </c>
      <c r="G52" s="307">
        <v>119</v>
      </c>
      <c r="H52" s="265">
        <v>261</v>
      </c>
      <c r="I52" s="307">
        <v>58</v>
      </c>
      <c r="J52" s="265">
        <v>29</v>
      </c>
      <c r="K52" s="307">
        <v>87</v>
      </c>
      <c r="L52" s="265">
        <v>18</v>
      </c>
      <c r="M52" s="307">
        <v>15</v>
      </c>
      <c r="N52" s="265">
        <v>33</v>
      </c>
      <c r="O52" s="265">
        <v>0</v>
      </c>
      <c r="P52" s="265">
        <v>0</v>
      </c>
      <c r="Q52" s="265">
        <v>0</v>
      </c>
      <c r="R52" s="309">
        <v>382</v>
      </c>
      <c r="S52" s="310">
        <v>331</v>
      </c>
      <c r="T52" s="310">
        <v>713</v>
      </c>
      <c r="U52" s="223"/>
      <c r="V52" s="223"/>
      <c r="W52" s="223"/>
      <c r="X52" s="223"/>
      <c r="Y52" s="223"/>
      <c r="Z52" s="223"/>
      <c r="AA52" s="223"/>
    </row>
    <row r="53" spans="2:27" customFormat="1" x14ac:dyDescent="0.25">
      <c r="B53" s="175" t="s">
        <v>135</v>
      </c>
      <c r="C53" s="307">
        <v>6</v>
      </c>
      <c r="D53" s="307">
        <v>6</v>
      </c>
      <c r="E53" s="307">
        <v>12</v>
      </c>
      <c r="F53" s="307">
        <v>3</v>
      </c>
      <c r="G53" s="307">
        <v>8</v>
      </c>
      <c r="H53" s="265">
        <v>11</v>
      </c>
      <c r="I53" s="307">
        <v>1</v>
      </c>
      <c r="J53" s="265">
        <v>0</v>
      </c>
      <c r="K53" s="307">
        <v>1</v>
      </c>
      <c r="L53" s="265">
        <v>0</v>
      </c>
      <c r="M53" s="307">
        <v>0</v>
      </c>
      <c r="N53" s="265">
        <v>0</v>
      </c>
      <c r="O53" s="265">
        <v>0</v>
      </c>
      <c r="P53" s="265">
        <v>0</v>
      </c>
      <c r="Q53" s="265">
        <v>0</v>
      </c>
      <c r="R53" s="309">
        <v>10</v>
      </c>
      <c r="S53" s="310">
        <v>14</v>
      </c>
      <c r="T53" s="310">
        <v>24</v>
      </c>
      <c r="U53" s="223"/>
      <c r="V53" s="223"/>
      <c r="W53" s="223"/>
      <c r="X53" s="223"/>
      <c r="Y53" s="223"/>
      <c r="Z53" s="223"/>
      <c r="AA53" s="223"/>
    </row>
    <row r="54" spans="2:27" customFormat="1" x14ac:dyDescent="0.25">
      <c r="B54" s="175" t="s">
        <v>136</v>
      </c>
      <c r="C54" s="307">
        <v>13</v>
      </c>
      <c r="D54" s="307">
        <v>16</v>
      </c>
      <c r="E54" s="307">
        <v>29</v>
      </c>
      <c r="F54" s="307">
        <v>9</v>
      </c>
      <c r="G54" s="307">
        <v>11</v>
      </c>
      <c r="H54" s="265">
        <v>20</v>
      </c>
      <c r="I54" s="307">
        <v>7</v>
      </c>
      <c r="J54" s="265">
        <v>2</v>
      </c>
      <c r="K54" s="307">
        <v>9</v>
      </c>
      <c r="L54" s="265">
        <v>0</v>
      </c>
      <c r="M54" s="307">
        <v>1</v>
      </c>
      <c r="N54" s="265">
        <v>1</v>
      </c>
      <c r="O54" s="265">
        <v>0</v>
      </c>
      <c r="P54" s="265">
        <v>0</v>
      </c>
      <c r="Q54" s="265">
        <v>0</v>
      </c>
      <c r="R54" s="309">
        <v>29</v>
      </c>
      <c r="S54" s="310">
        <v>30</v>
      </c>
      <c r="T54" s="310">
        <v>59</v>
      </c>
      <c r="U54" s="223"/>
      <c r="V54" s="223"/>
      <c r="W54" s="223"/>
      <c r="X54" s="223"/>
      <c r="Y54" s="223"/>
      <c r="Z54" s="223"/>
      <c r="AA54" s="223"/>
    </row>
    <row r="55" spans="2:27" customFormat="1" x14ac:dyDescent="0.25">
      <c r="B55" s="260" t="s">
        <v>25</v>
      </c>
      <c r="C55" s="282">
        <v>265</v>
      </c>
      <c r="D55" s="282">
        <v>276</v>
      </c>
      <c r="E55" s="282">
        <v>541</v>
      </c>
      <c r="F55" s="282">
        <v>194</v>
      </c>
      <c r="G55" s="282">
        <v>187</v>
      </c>
      <c r="H55" s="267">
        <v>381</v>
      </c>
      <c r="I55" s="282">
        <v>123</v>
      </c>
      <c r="J55" s="267">
        <v>49</v>
      </c>
      <c r="K55" s="282">
        <v>172</v>
      </c>
      <c r="L55" s="267">
        <v>30</v>
      </c>
      <c r="M55" s="282">
        <v>25</v>
      </c>
      <c r="N55" s="267">
        <v>55</v>
      </c>
      <c r="O55" s="267">
        <v>0</v>
      </c>
      <c r="P55" s="267">
        <v>0</v>
      </c>
      <c r="Q55" s="267">
        <v>0</v>
      </c>
      <c r="R55" s="309">
        <v>612</v>
      </c>
      <c r="S55" s="310">
        <v>537</v>
      </c>
      <c r="T55" s="310">
        <v>1149</v>
      </c>
      <c r="U55" s="223"/>
      <c r="V55" s="223"/>
      <c r="W55" s="223"/>
      <c r="X55" s="223"/>
      <c r="Y55" s="223"/>
      <c r="Z55" s="223"/>
      <c r="AA55" s="223"/>
    </row>
    <row r="56" spans="2:27" customFormat="1" ht="82.5" customHeight="1" x14ac:dyDescent="0.25">
      <c r="B56" s="479" t="s">
        <v>866</v>
      </c>
      <c r="C56" s="479"/>
      <c r="D56" s="479"/>
      <c r="E56" s="479"/>
      <c r="F56" s="479"/>
      <c r="G56" s="479"/>
      <c r="H56" s="479"/>
      <c r="I56" s="479"/>
      <c r="J56" s="479"/>
      <c r="K56" s="479"/>
      <c r="L56" s="479"/>
      <c r="M56" s="479"/>
      <c r="N56" s="479"/>
      <c r="O56" s="479"/>
      <c r="P56" s="479"/>
      <c r="Q56" s="479"/>
      <c r="R56" s="223"/>
      <c r="S56" s="223"/>
      <c r="T56" s="223"/>
      <c r="U56" s="223"/>
      <c r="V56" s="223"/>
      <c r="W56" s="223"/>
    </row>
    <row r="57" spans="2:27" customFormat="1" x14ac:dyDescent="0.25">
      <c r="B57" s="157"/>
      <c r="C57" s="157"/>
      <c r="D57" s="157"/>
      <c r="H57" s="223"/>
      <c r="I57" s="223"/>
      <c r="J57" s="223"/>
      <c r="K57" s="223"/>
      <c r="L57" s="223"/>
      <c r="M57" s="223"/>
      <c r="N57" s="223"/>
      <c r="O57" s="223"/>
      <c r="P57" s="223"/>
      <c r="Q57" s="223"/>
      <c r="R57" s="223"/>
      <c r="S57" s="223"/>
      <c r="T57" s="223"/>
      <c r="U57" s="223"/>
      <c r="V57" s="223"/>
      <c r="W57" s="223"/>
    </row>
    <row r="58" spans="2:27" customFormat="1" x14ac:dyDescent="0.25">
      <c r="B58" s="186" t="s">
        <v>506</v>
      </c>
      <c r="H58" s="223"/>
      <c r="I58" s="223"/>
      <c r="J58" s="223"/>
      <c r="K58" s="223"/>
      <c r="L58" s="223"/>
      <c r="M58" s="223"/>
      <c r="N58" s="223"/>
      <c r="O58" s="223"/>
      <c r="P58" s="223"/>
      <c r="Q58" s="223"/>
      <c r="R58" s="223"/>
      <c r="S58" s="223"/>
      <c r="T58" s="223"/>
      <c r="U58" s="223"/>
      <c r="V58" s="223"/>
      <c r="W58" s="223"/>
    </row>
    <row r="59" spans="2:27" customFormat="1" x14ac:dyDescent="0.25">
      <c r="B59" s="186"/>
      <c r="H59" s="223"/>
      <c r="I59" s="223"/>
      <c r="J59" s="223"/>
      <c r="K59" s="223"/>
      <c r="L59" s="223"/>
      <c r="M59" s="223"/>
      <c r="N59" s="223"/>
      <c r="O59" s="223"/>
      <c r="P59" s="223"/>
      <c r="Q59" s="223"/>
      <c r="R59" s="223"/>
      <c r="S59" s="223"/>
      <c r="T59" s="223"/>
      <c r="U59" s="223"/>
      <c r="V59" s="223"/>
      <c r="W59" s="223"/>
    </row>
    <row r="60" spans="2:27" customFormat="1" ht="15" customHeight="1" x14ac:dyDescent="0.25">
      <c r="B60" s="432" t="s">
        <v>532</v>
      </c>
      <c r="C60" s="475" t="s">
        <v>477</v>
      </c>
      <c r="D60" s="475"/>
      <c r="E60" s="475"/>
      <c r="F60" s="475"/>
      <c r="G60" s="475"/>
      <c r="H60" s="475"/>
      <c r="I60" s="475"/>
      <c r="J60" s="475"/>
      <c r="K60" s="475"/>
      <c r="L60" s="475"/>
      <c r="M60" s="475"/>
      <c r="N60" s="475"/>
      <c r="O60" s="475"/>
      <c r="P60" s="475"/>
      <c r="Q60" s="475"/>
      <c r="R60" s="469" t="s">
        <v>865</v>
      </c>
      <c r="S60" s="470"/>
      <c r="T60" s="471"/>
      <c r="U60" s="223"/>
      <c r="V60" s="223"/>
      <c r="W60" s="223"/>
    </row>
    <row r="61" spans="2:27" customFormat="1" ht="15" customHeight="1" x14ac:dyDescent="0.25">
      <c r="B61" s="432"/>
      <c r="C61" s="463" t="s">
        <v>849</v>
      </c>
      <c r="D61" s="463"/>
      <c r="E61" s="463"/>
      <c r="F61" s="463" t="s">
        <v>850</v>
      </c>
      <c r="G61" s="463"/>
      <c r="H61" s="463"/>
      <c r="I61" s="463" t="s">
        <v>3</v>
      </c>
      <c r="J61" s="463"/>
      <c r="K61" s="463"/>
      <c r="L61" s="463" t="s">
        <v>5</v>
      </c>
      <c r="M61" s="463"/>
      <c r="N61" s="463"/>
      <c r="O61" s="463" t="s">
        <v>859</v>
      </c>
      <c r="P61" s="463"/>
      <c r="Q61" s="463"/>
      <c r="R61" s="472"/>
      <c r="S61" s="473"/>
      <c r="T61" s="474"/>
      <c r="U61" s="223"/>
      <c r="V61" s="223"/>
      <c r="W61" s="223"/>
    </row>
    <row r="62" spans="2:27" customFormat="1" x14ac:dyDescent="0.25">
      <c r="B62" s="432"/>
      <c r="C62" s="264" t="s">
        <v>73</v>
      </c>
      <c r="D62" s="264" t="s">
        <v>74</v>
      </c>
      <c r="E62" s="264" t="s">
        <v>25</v>
      </c>
      <c r="F62" s="264" t="s">
        <v>73</v>
      </c>
      <c r="G62" s="264" t="s">
        <v>74</v>
      </c>
      <c r="H62" s="264" t="s">
        <v>25</v>
      </c>
      <c r="I62" s="264" t="s">
        <v>73</v>
      </c>
      <c r="J62" s="264" t="s">
        <v>74</v>
      </c>
      <c r="K62" s="264" t="s">
        <v>25</v>
      </c>
      <c r="L62" s="264" t="s">
        <v>73</v>
      </c>
      <c r="M62" s="264" t="s">
        <v>74</v>
      </c>
      <c r="N62" s="264" t="s">
        <v>25</v>
      </c>
      <c r="O62" s="264" t="s">
        <v>73</v>
      </c>
      <c r="P62" s="264" t="s">
        <v>74</v>
      </c>
      <c r="Q62" s="264" t="s">
        <v>25</v>
      </c>
      <c r="R62" s="274" t="s">
        <v>73</v>
      </c>
      <c r="S62" s="274" t="s">
        <v>74</v>
      </c>
      <c r="T62" s="274" t="s">
        <v>25</v>
      </c>
      <c r="U62" s="223"/>
      <c r="V62" s="223"/>
      <c r="W62" s="223"/>
    </row>
    <row r="63" spans="2:27" customFormat="1" x14ac:dyDescent="0.25">
      <c r="B63" s="156" t="s">
        <v>139</v>
      </c>
      <c r="C63" s="314">
        <v>299</v>
      </c>
      <c r="D63" s="314">
        <v>271</v>
      </c>
      <c r="E63" s="314">
        <v>570</v>
      </c>
      <c r="F63" s="314">
        <v>262</v>
      </c>
      <c r="G63" s="314">
        <v>249</v>
      </c>
      <c r="H63" s="314">
        <v>511</v>
      </c>
      <c r="I63" s="314">
        <v>139</v>
      </c>
      <c r="J63" s="314">
        <v>33</v>
      </c>
      <c r="K63" s="314">
        <v>172</v>
      </c>
      <c r="L63" s="314">
        <v>24</v>
      </c>
      <c r="M63" s="314">
        <v>32</v>
      </c>
      <c r="N63" s="314">
        <v>56</v>
      </c>
      <c r="O63" s="265">
        <v>0</v>
      </c>
      <c r="P63" s="265">
        <v>0</v>
      </c>
      <c r="Q63" s="265">
        <v>0</v>
      </c>
      <c r="R63" s="295">
        <v>724</v>
      </c>
      <c r="S63" s="295">
        <v>585</v>
      </c>
      <c r="T63" s="295">
        <v>1309</v>
      </c>
      <c r="U63" s="223"/>
      <c r="V63" s="223"/>
      <c r="W63" s="223"/>
    </row>
    <row r="64" spans="2:27" customFormat="1" x14ac:dyDescent="0.25">
      <c r="B64" s="156" t="s">
        <v>140</v>
      </c>
      <c r="C64" s="314">
        <v>124</v>
      </c>
      <c r="D64" s="314">
        <v>112</v>
      </c>
      <c r="E64" s="314">
        <v>236</v>
      </c>
      <c r="F64" s="314">
        <v>96</v>
      </c>
      <c r="G64" s="314">
        <v>102</v>
      </c>
      <c r="H64" s="314">
        <v>198</v>
      </c>
      <c r="I64" s="314">
        <v>51</v>
      </c>
      <c r="J64" s="314">
        <v>15</v>
      </c>
      <c r="K64" s="314">
        <v>66</v>
      </c>
      <c r="L64" s="314">
        <v>20</v>
      </c>
      <c r="M64" s="314">
        <v>13</v>
      </c>
      <c r="N64" s="314">
        <v>33</v>
      </c>
      <c r="O64" s="265">
        <v>0</v>
      </c>
      <c r="P64" s="265">
        <v>0</v>
      </c>
      <c r="Q64" s="265">
        <v>0</v>
      </c>
      <c r="R64" s="295">
        <v>291</v>
      </c>
      <c r="S64" s="295">
        <v>242</v>
      </c>
      <c r="T64" s="295">
        <v>533</v>
      </c>
      <c r="U64" s="223"/>
      <c r="V64" s="223"/>
      <c r="W64" s="223"/>
    </row>
    <row r="65" spans="2:26" customFormat="1" x14ac:dyDescent="0.25">
      <c r="B65" s="136" t="s">
        <v>141</v>
      </c>
      <c r="C65" s="316">
        <v>3</v>
      </c>
      <c r="D65" s="316">
        <v>3</v>
      </c>
      <c r="E65" s="316">
        <v>6</v>
      </c>
      <c r="F65" s="316">
        <v>0</v>
      </c>
      <c r="G65" s="316">
        <v>3</v>
      </c>
      <c r="H65" s="316">
        <v>3</v>
      </c>
      <c r="I65" s="316">
        <v>1</v>
      </c>
      <c r="J65" s="316">
        <v>1</v>
      </c>
      <c r="K65" s="316">
        <v>2</v>
      </c>
      <c r="L65" s="316">
        <v>0</v>
      </c>
      <c r="M65" s="316">
        <v>0</v>
      </c>
      <c r="N65" s="316">
        <v>0</v>
      </c>
      <c r="O65" s="265">
        <v>0</v>
      </c>
      <c r="P65" s="265">
        <v>0</v>
      </c>
      <c r="Q65" s="265">
        <v>0</v>
      </c>
      <c r="R65" s="295">
        <v>4</v>
      </c>
      <c r="S65" s="295">
        <v>7</v>
      </c>
      <c r="T65" s="295">
        <v>11</v>
      </c>
      <c r="U65" s="223"/>
      <c r="V65" s="223"/>
      <c r="W65" s="223"/>
    </row>
    <row r="66" spans="2:26" customFormat="1" x14ac:dyDescent="0.25">
      <c r="B66" s="136" t="s">
        <v>142</v>
      </c>
      <c r="C66" s="316">
        <v>15</v>
      </c>
      <c r="D66" s="316">
        <v>15</v>
      </c>
      <c r="E66" s="316">
        <v>30</v>
      </c>
      <c r="F66" s="316">
        <v>6</v>
      </c>
      <c r="G66" s="316">
        <v>7</v>
      </c>
      <c r="H66" s="316">
        <v>13</v>
      </c>
      <c r="I66" s="316">
        <v>3</v>
      </c>
      <c r="J66" s="316">
        <v>2</v>
      </c>
      <c r="K66" s="316">
        <v>5</v>
      </c>
      <c r="L66" s="316">
        <v>3</v>
      </c>
      <c r="M66" s="316">
        <v>1</v>
      </c>
      <c r="N66" s="316">
        <v>4</v>
      </c>
      <c r="O66" s="265">
        <v>0</v>
      </c>
      <c r="P66" s="265">
        <v>0</v>
      </c>
      <c r="Q66" s="265">
        <v>0</v>
      </c>
      <c r="R66" s="295">
        <v>27</v>
      </c>
      <c r="S66" s="295">
        <v>25</v>
      </c>
      <c r="T66" s="295">
        <v>52</v>
      </c>
      <c r="U66" s="223"/>
      <c r="V66" s="223"/>
      <c r="W66" s="223"/>
    </row>
    <row r="67" spans="2:26" customFormat="1" x14ac:dyDescent="0.25">
      <c r="B67" s="136" t="s">
        <v>143</v>
      </c>
      <c r="C67" s="316">
        <v>0</v>
      </c>
      <c r="D67" s="316">
        <v>1</v>
      </c>
      <c r="E67" s="316">
        <v>1</v>
      </c>
      <c r="F67" s="316">
        <v>0</v>
      </c>
      <c r="G67" s="316">
        <v>0</v>
      </c>
      <c r="H67" s="316">
        <v>0</v>
      </c>
      <c r="I67" s="316">
        <v>0</v>
      </c>
      <c r="J67" s="316">
        <v>0</v>
      </c>
      <c r="K67" s="316">
        <v>0</v>
      </c>
      <c r="L67" s="316">
        <v>0</v>
      </c>
      <c r="M67" s="316">
        <v>0</v>
      </c>
      <c r="N67" s="316">
        <v>0</v>
      </c>
      <c r="O67" s="265">
        <v>0</v>
      </c>
      <c r="P67" s="265">
        <v>0</v>
      </c>
      <c r="Q67" s="265">
        <v>0</v>
      </c>
      <c r="R67" s="295">
        <v>0</v>
      </c>
      <c r="S67" s="295">
        <v>1</v>
      </c>
      <c r="T67" s="295">
        <v>1</v>
      </c>
      <c r="U67" s="223"/>
      <c r="V67" s="223"/>
      <c r="W67" s="223"/>
    </row>
    <row r="68" spans="2:26" x14ac:dyDescent="0.25">
      <c r="B68" s="136" t="s">
        <v>144</v>
      </c>
      <c r="C68" s="316">
        <v>5</v>
      </c>
      <c r="D68" s="316">
        <v>6</v>
      </c>
      <c r="E68" s="316">
        <v>11</v>
      </c>
      <c r="F68" s="316">
        <v>4</v>
      </c>
      <c r="G68" s="316">
        <v>6</v>
      </c>
      <c r="H68" s="316">
        <v>10</v>
      </c>
      <c r="I68" s="316">
        <v>5</v>
      </c>
      <c r="J68" s="316">
        <v>1</v>
      </c>
      <c r="K68" s="316">
        <v>6</v>
      </c>
      <c r="L68" s="316">
        <v>1</v>
      </c>
      <c r="M68" s="316">
        <v>0</v>
      </c>
      <c r="N68" s="316">
        <v>1</v>
      </c>
      <c r="O68" s="265">
        <v>0</v>
      </c>
      <c r="P68" s="265">
        <v>0</v>
      </c>
      <c r="Q68" s="265">
        <v>0</v>
      </c>
      <c r="R68" s="295">
        <v>15</v>
      </c>
      <c r="S68" s="295">
        <v>13</v>
      </c>
      <c r="T68" s="295">
        <v>28</v>
      </c>
      <c r="U68" s="13"/>
      <c r="V68" s="13"/>
      <c r="W68" s="13"/>
    </row>
    <row r="69" spans="2:26" x14ac:dyDescent="0.25">
      <c r="B69" s="155" t="s">
        <v>146</v>
      </c>
      <c r="C69" s="317">
        <v>14</v>
      </c>
      <c r="D69" s="317">
        <v>15</v>
      </c>
      <c r="E69" s="317">
        <v>29</v>
      </c>
      <c r="F69" s="317">
        <v>5</v>
      </c>
      <c r="G69" s="317">
        <v>8</v>
      </c>
      <c r="H69" s="317">
        <v>13</v>
      </c>
      <c r="I69" s="317">
        <v>6</v>
      </c>
      <c r="J69" s="317">
        <v>5</v>
      </c>
      <c r="K69" s="317">
        <v>11</v>
      </c>
      <c r="L69" s="317">
        <v>1</v>
      </c>
      <c r="M69" s="317">
        <v>2</v>
      </c>
      <c r="N69" s="317">
        <v>3</v>
      </c>
      <c r="O69" s="265">
        <v>0</v>
      </c>
      <c r="P69" s="265">
        <v>0</v>
      </c>
      <c r="Q69" s="265">
        <v>0</v>
      </c>
      <c r="R69" s="318">
        <v>26</v>
      </c>
      <c r="S69" s="295">
        <v>30</v>
      </c>
      <c r="T69" s="295">
        <v>56</v>
      </c>
      <c r="U69" s="13"/>
      <c r="V69" s="13"/>
      <c r="W69" s="13"/>
    </row>
    <row r="70" spans="2:26" x14ac:dyDescent="0.25">
      <c r="B70" s="158" t="s">
        <v>147</v>
      </c>
      <c r="C70" s="307">
        <v>17</v>
      </c>
      <c r="D70" s="307">
        <v>25</v>
      </c>
      <c r="E70" s="307">
        <v>42</v>
      </c>
      <c r="F70" s="307">
        <v>21</v>
      </c>
      <c r="G70" s="307">
        <v>24</v>
      </c>
      <c r="H70" s="307">
        <v>45</v>
      </c>
      <c r="I70" s="307">
        <v>11</v>
      </c>
      <c r="J70" s="307">
        <v>6</v>
      </c>
      <c r="K70" s="307">
        <v>17</v>
      </c>
      <c r="L70" s="307">
        <v>0</v>
      </c>
      <c r="M70" s="307">
        <v>3</v>
      </c>
      <c r="N70" s="307">
        <v>3</v>
      </c>
      <c r="O70" s="307">
        <v>0</v>
      </c>
      <c r="P70" s="307">
        <v>0</v>
      </c>
      <c r="Q70" s="307">
        <v>0</v>
      </c>
      <c r="R70" s="295">
        <v>49</v>
      </c>
      <c r="S70" s="295">
        <v>58</v>
      </c>
      <c r="T70" s="295">
        <v>107</v>
      </c>
      <c r="U70" s="13"/>
      <c r="V70" s="13"/>
      <c r="W70" s="13"/>
    </row>
    <row r="71" spans="2:26" x14ac:dyDescent="0.25">
      <c r="B71" s="260" t="s">
        <v>25</v>
      </c>
      <c r="C71" s="282">
        <v>477</v>
      </c>
      <c r="D71" s="282">
        <v>448</v>
      </c>
      <c r="E71" s="282">
        <v>925</v>
      </c>
      <c r="F71" s="282">
        <v>394</v>
      </c>
      <c r="G71" s="282">
        <v>399</v>
      </c>
      <c r="H71" s="285">
        <v>793</v>
      </c>
      <c r="I71" s="282">
        <v>216</v>
      </c>
      <c r="J71" s="285">
        <v>63</v>
      </c>
      <c r="K71" s="282">
        <v>279</v>
      </c>
      <c r="L71" s="285">
        <v>49</v>
      </c>
      <c r="M71" s="282">
        <v>51</v>
      </c>
      <c r="N71" s="285">
        <v>100</v>
      </c>
      <c r="O71" s="267">
        <v>0</v>
      </c>
      <c r="P71" s="267">
        <v>0</v>
      </c>
      <c r="Q71" s="267">
        <v>0</v>
      </c>
      <c r="R71" s="295">
        <v>1136</v>
      </c>
      <c r="S71" s="295">
        <v>961</v>
      </c>
      <c r="T71" s="295">
        <v>2097</v>
      </c>
      <c r="U71" s="13"/>
      <c r="V71" s="13"/>
      <c r="W71" s="13"/>
    </row>
    <row r="72" spans="2:26" ht="81" customHeight="1" x14ac:dyDescent="0.25">
      <c r="B72" s="468" t="s">
        <v>866</v>
      </c>
      <c r="C72" s="468"/>
      <c r="D72" s="468"/>
      <c r="E72" s="468"/>
      <c r="F72" s="468"/>
      <c r="G72" s="468"/>
      <c r="H72" s="468"/>
      <c r="I72" s="468"/>
      <c r="J72" s="468"/>
      <c r="K72" s="468"/>
      <c r="L72" s="468"/>
      <c r="M72" s="468"/>
      <c r="N72" s="468"/>
      <c r="O72" s="468"/>
      <c r="P72" s="468"/>
      <c r="Q72" s="468"/>
      <c r="R72" s="13"/>
      <c r="S72" s="13"/>
      <c r="T72" s="13"/>
      <c r="U72" s="13"/>
      <c r="V72" s="13"/>
      <c r="W72" s="13"/>
    </row>
    <row r="73" spans="2:26" x14ac:dyDescent="0.25">
      <c r="B73" s="157"/>
      <c r="C73" s="157"/>
      <c r="D73" s="157"/>
      <c r="E73"/>
      <c r="F73"/>
      <c r="G73"/>
      <c r="H73" s="13"/>
      <c r="I73" s="13"/>
      <c r="J73" s="13"/>
      <c r="K73" s="13"/>
      <c r="L73" s="13"/>
      <c r="M73" s="13"/>
      <c r="N73" s="13"/>
      <c r="O73" s="13"/>
      <c r="P73" s="13"/>
      <c r="Q73" s="13"/>
      <c r="R73" s="13"/>
      <c r="S73" s="13"/>
      <c r="T73" s="13"/>
      <c r="U73" s="13"/>
      <c r="V73" s="13"/>
      <c r="W73" s="13"/>
    </row>
    <row r="74" spans="2:26" x14ac:dyDescent="0.25">
      <c r="B74" s="186" t="s">
        <v>507</v>
      </c>
      <c r="C74"/>
      <c r="D74"/>
      <c r="E74"/>
      <c r="F74"/>
      <c r="G74"/>
      <c r="H74" s="13"/>
      <c r="I74" s="13"/>
      <c r="J74" s="13"/>
      <c r="K74" s="13"/>
      <c r="L74" s="13"/>
      <c r="M74" s="13"/>
      <c r="N74" s="13"/>
      <c r="O74" s="13"/>
      <c r="P74" s="13"/>
      <c r="Q74" s="13"/>
      <c r="R74" s="13"/>
      <c r="S74" s="13"/>
      <c r="T74" s="13"/>
      <c r="U74" s="13"/>
      <c r="V74" s="13"/>
      <c r="W74" s="13"/>
    </row>
    <row r="75" spans="2:26" x14ac:dyDescent="0.25">
      <c r="B75" s="186"/>
      <c r="C75"/>
      <c r="D75"/>
      <c r="E75"/>
      <c r="F75"/>
      <c r="G75"/>
      <c r="H75" s="13"/>
      <c r="I75" s="13"/>
      <c r="J75" s="13"/>
      <c r="K75" s="13"/>
      <c r="L75" s="13"/>
      <c r="M75" s="13"/>
      <c r="N75" s="13"/>
      <c r="O75" s="13"/>
      <c r="P75" s="13"/>
      <c r="Q75" s="13"/>
      <c r="R75" s="13"/>
      <c r="S75" s="13"/>
      <c r="T75" s="13"/>
      <c r="U75" s="13"/>
      <c r="V75" s="13"/>
      <c r="W75" s="13"/>
    </row>
    <row r="76" spans="2:26" ht="15" customHeight="1" x14ac:dyDescent="0.25">
      <c r="B76" s="432" t="s">
        <v>532</v>
      </c>
      <c r="C76" s="476" t="s">
        <v>477</v>
      </c>
      <c r="D76" s="477"/>
      <c r="E76" s="477"/>
      <c r="F76" s="477"/>
      <c r="G76" s="477"/>
      <c r="H76" s="477"/>
      <c r="I76" s="477"/>
      <c r="J76" s="477"/>
      <c r="K76" s="477"/>
      <c r="L76" s="477"/>
      <c r="M76" s="477"/>
      <c r="N76" s="477"/>
      <c r="O76" s="477"/>
      <c r="P76" s="477"/>
      <c r="Q76" s="478"/>
      <c r="R76" s="469" t="s">
        <v>865</v>
      </c>
      <c r="S76" s="470"/>
      <c r="T76" s="471"/>
      <c r="U76" s="13"/>
      <c r="V76" s="13"/>
      <c r="W76" s="13"/>
      <c r="X76" s="13"/>
      <c r="Y76" s="13"/>
      <c r="Z76" s="13"/>
    </row>
    <row r="77" spans="2:26" ht="15" customHeight="1" x14ac:dyDescent="0.25">
      <c r="B77" s="432"/>
      <c r="C77" s="463" t="s">
        <v>849</v>
      </c>
      <c r="D77" s="463"/>
      <c r="E77" s="463"/>
      <c r="F77" s="463" t="s">
        <v>850</v>
      </c>
      <c r="G77" s="463"/>
      <c r="H77" s="463"/>
      <c r="I77" s="463" t="s">
        <v>3</v>
      </c>
      <c r="J77" s="463"/>
      <c r="K77" s="463"/>
      <c r="L77" s="463" t="s">
        <v>5</v>
      </c>
      <c r="M77" s="463"/>
      <c r="N77" s="463"/>
      <c r="O77" s="463" t="s">
        <v>859</v>
      </c>
      <c r="P77" s="463"/>
      <c r="Q77" s="463"/>
      <c r="R77" s="472"/>
      <c r="S77" s="473"/>
      <c r="T77" s="474"/>
      <c r="U77" s="13"/>
      <c r="V77" s="13"/>
      <c r="W77" s="13"/>
      <c r="X77" s="13"/>
      <c r="Y77" s="13"/>
      <c r="Z77" s="13"/>
    </row>
    <row r="78" spans="2:26" x14ac:dyDescent="0.25">
      <c r="B78" s="432"/>
      <c r="C78" s="264" t="s">
        <v>73</v>
      </c>
      <c r="D78" s="264" t="s">
        <v>74</v>
      </c>
      <c r="E78" s="264" t="s">
        <v>25</v>
      </c>
      <c r="F78" s="264" t="s">
        <v>73</v>
      </c>
      <c r="G78" s="264" t="s">
        <v>74</v>
      </c>
      <c r="H78" s="264" t="s">
        <v>25</v>
      </c>
      <c r="I78" s="264" t="s">
        <v>73</v>
      </c>
      <c r="J78" s="264" t="s">
        <v>74</v>
      </c>
      <c r="K78" s="264" t="s">
        <v>25</v>
      </c>
      <c r="L78" s="264" t="s">
        <v>73</v>
      </c>
      <c r="M78" s="264" t="s">
        <v>74</v>
      </c>
      <c r="N78" s="319" t="s">
        <v>25</v>
      </c>
      <c r="O78" s="264" t="s">
        <v>73</v>
      </c>
      <c r="P78" s="264" t="s">
        <v>74</v>
      </c>
      <c r="Q78" s="264" t="s">
        <v>25</v>
      </c>
      <c r="R78" s="274" t="s">
        <v>73</v>
      </c>
      <c r="S78" s="274" t="s">
        <v>74</v>
      </c>
      <c r="T78" s="274" t="s">
        <v>25</v>
      </c>
      <c r="U78" s="13"/>
      <c r="V78" s="13"/>
      <c r="W78" s="13"/>
      <c r="X78" s="13"/>
      <c r="Y78" s="13"/>
      <c r="Z78" s="13"/>
    </row>
    <row r="79" spans="2:26" x14ac:dyDescent="0.25">
      <c r="B79" s="136" t="s">
        <v>148</v>
      </c>
      <c r="C79" s="316">
        <v>6</v>
      </c>
      <c r="D79" s="316">
        <v>10</v>
      </c>
      <c r="E79" s="316">
        <v>16</v>
      </c>
      <c r="F79" s="316">
        <v>5</v>
      </c>
      <c r="G79" s="316">
        <v>3</v>
      </c>
      <c r="H79" s="316">
        <v>8</v>
      </c>
      <c r="I79" s="316">
        <v>1</v>
      </c>
      <c r="J79" s="316">
        <v>0</v>
      </c>
      <c r="K79" s="316">
        <v>1</v>
      </c>
      <c r="L79" s="316">
        <v>0</v>
      </c>
      <c r="M79" s="316">
        <v>0</v>
      </c>
      <c r="N79" s="320">
        <v>0</v>
      </c>
      <c r="O79" s="307">
        <v>0</v>
      </c>
      <c r="P79" s="307">
        <v>0</v>
      </c>
      <c r="Q79" s="307">
        <v>0</v>
      </c>
      <c r="R79" s="295">
        <v>12</v>
      </c>
      <c r="S79" s="295">
        <v>13</v>
      </c>
      <c r="T79" s="295">
        <v>25</v>
      </c>
      <c r="U79" s="13"/>
      <c r="V79" s="13"/>
      <c r="W79" s="13"/>
      <c r="X79" s="13"/>
      <c r="Y79" s="13"/>
      <c r="Z79" s="13"/>
    </row>
    <row r="80" spans="2:26" x14ac:dyDescent="0.25">
      <c r="B80" s="136" t="s">
        <v>149</v>
      </c>
      <c r="C80" s="316">
        <v>26</v>
      </c>
      <c r="D80" s="316">
        <v>24</v>
      </c>
      <c r="E80" s="316">
        <v>50</v>
      </c>
      <c r="F80" s="316">
        <v>18</v>
      </c>
      <c r="G80" s="316">
        <v>15</v>
      </c>
      <c r="H80" s="316">
        <v>33</v>
      </c>
      <c r="I80" s="316">
        <v>11</v>
      </c>
      <c r="J80" s="316">
        <v>1</v>
      </c>
      <c r="K80" s="316">
        <v>12</v>
      </c>
      <c r="L80" s="316">
        <v>3</v>
      </c>
      <c r="M80" s="316">
        <v>5</v>
      </c>
      <c r="N80" s="320">
        <v>8</v>
      </c>
      <c r="O80" s="307">
        <v>0</v>
      </c>
      <c r="P80" s="307">
        <v>0</v>
      </c>
      <c r="Q80" s="307">
        <v>0</v>
      </c>
      <c r="R80" s="295">
        <v>58</v>
      </c>
      <c r="S80" s="295">
        <v>45</v>
      </c>
      <c r="T80" s="295">
        <v>103</v>
      </c>
      <c r="U80" s="13"/>
      <c r="V80" s="13"/>
      <c r="W80" s="13"/>
      <c r="X80" s="13"/>
      <c r="Y80" s="13"/>
      <c r="Z80" s="13"/>
    </row>
    <row r="81" spans="2:26" x14ac:dyDescent="0.25">
      <c r="B81" s="136" t="s">
        <v>490</v>
      </c>
      <c r="C81" s="316">
        <v>19</v>
      </c>
      <c r="D81" s="316">
        <v>16</v>
      </c>
      <c r="E81" s="316">
        <v>35</v>
      </c>
      <c r="F81" s="316">
        <v>14</v>
      </c>
      <c r="G81" s="316">
        <v>8</v>
      </c>
      <c r="H81" s="316">
        <v>22</v>
      </c>
      <c r="I81" s="316">
        <v>8</v>
      </c>
      <c r="J81" s="316">
        <v>0</v>
      </c>
      <c r="K81" s="316">
        <v>8</v>
      </c>
      <c r="L81" s="316">
        <v>0</v>
      </c>
      <c r="M81" s="316">
        <v>1</v>
      </c>
      <c r="N81" s="320">
        <v>1</v>
      </c>
      <c r="O81" s="307">
        <v>0</v>
      </c>
      <c r="P81" s="307">
        <v>0</v>
      </c>
      <c r="Q81" s="307">
        <v>0</v>
      </c>
      <c r="R81" s="295">
        <v>41</v>
      </c>
      <c r="S81" s="295">
        <v>25</v>
      </c>
      <c r="T81" s="295">
        <v>66</v>
      </c>
      <c r="U81" s="13"/>
      <c r="V81" s="13"/>
      <c r="W81" s="13"/>
      <c r="X81" s="13"/>
      <c r="Y81" s="13"/>
      <c r="Z81" s="13"/>
    </row>
    <row r="82" spans="2:26" x14ac:dyDescent="0.25">
      <c r="B82" s="136" t="s">
        <v>150</v>
      </c>
      <c r="C82" s="316">
        <v>139</v>
      </c>
      <c r="D82" s="316">
        <v>135</v>
      </c>
      <c r="E82" s="316">
        <v>274</v>
      </c>
      <c r="F82" s="316">
        <v>117</v>
      </c>
      <c r="G82" s="316">
        <v>126</v>
      </c>
      <c r="H82" s="316">
        <v>243</v>
      </c>
      <c r="I82" s="316">
        <v>60</v>
      </c>
      <c r="J82" s="316">
        <v>21</v>
      </c>
      <c r="K82" s="316">
        <v>81</v>
      </c>
      <c r="L82" s="316">
        <v>16</v>
      </c>
      <c r="M82" s="316">
        <v>28</v>
      </c>
      <c r="N82" s="320">
        <v>44</v>
      </c>
      <c r="O82" s="307">
        <v>0</v>
      </c>
      <c r="P82" s="307">
        <v>0</v>
      </c>
      <c r="Q82" s="307">
        <v>0</v>
      </c>
      <c r="R82" s="295">
        <v>332</v>
      </c>
      <c r="S82" s="295">
        <v>310</v>
      </c>
      <c r="T82" s="295">
        <v>642</v>
      </c>
      <c r="U82" s="13"/>
      <c r="V82" s="13"/>
      <c r="W82" s="13"/>
      <c r="X82" s="13"/>
      <c r="Y82" s="13"/>
      <c r="Z82" s="13"/>
    </row>
    <row r="83" spans="2:26" x14ac:dyDescent="0.25">
      <c r="B83" s="136" t="s">
        <v>151</v>
      </c>
      <c r="C83" s="316">
        <v>16</v>
      </c>
      <c r="D83" s="316">
        <v>9</v>
      </c>
      <c r="E83" s="316">
        <v>25</v>
      </c>
      <c r="F83" s="316">
        <v>3</v>
      </c>
      <c r="G83" s="316">
        <v>9</v>
      </c>
      <c r="H83" s="316">
        <v>12</v>
      </c>
      <c r="I83" s="316">
        <v>6</v>
      </c>
      <c r="J83" s="316">
        <v>0</v>
      </c>
      <c r="K83" s="316">
        <v>6</v>
      </c>
      <c r="L83" s="316">
        <v>2</v>
      </c>
      <c r="M83" s="316">
        <v>4</v>
      </c>
      <c r="N83" s="320">
        <v>6</v>
      </c>
      <c r="O83" s="307">
        <v>0</v>
      </c>
      <c r="P83" s="307">
        <v>0</v>
      </c>
      <c r="Q83" s="307">
        <v>0</v>
      </c>
      <c r="R83" s="295">
        <v>27</v>
      </c>
      <c r="S83" s="295">
        <v>22</v>
      </c>
      <c r="T83" s="295">
        <v>49</v>
      </c>
      <c r="U83" s="13"/>
      <c r="V83" s="13"/>
      <c r="W83" s="13"/>
      <c r="X83" s="13"/>
      <c r="Y83" s="13"/>
      <c r="Z83" s="13"/>
    </row>
    <row r="84" spans="2:26" x14ac:dyDescent="0.25">
      <c r="B84" s="136" t="s">
        <v>152</v>
      </c>
      <c r="C84" s="316">
        <v>9</v>
      </c>
      <c r="D84" s="316">
        <v>9</v>
      </c>
      <c r="E84" s="316">
        <v>18</v>
      </c>
      <c r="F84" s="316">
        <v>4</v>
      </c>
      <c r="G84" s="316">
        <v>4</v>
      </c>
      <c r="H84" s="316">
        <v>8</v>
      </c>
      <c r="I84" s="316">
        <v>2</v>
      </c>
      <c r="J84" s="316">
        <v>1</v>
      </c>
      <c r="K84" s="316">
        <v>3</v>
      </c>
      <c r="L84" s="316">
        <v>0</v>
      </c>
      <c r="M84" s="316">
        <v>1</v>
      </c>
      <c r="N84" s="320">
        <v>1</v>
      </c>
      <c r="O84" s="307">
        <v>0</v>
      </c>
      <c r="P84" s="307">
        <v>0</v>
      </c>
      <c r="Q84" s="307">
        <v>0</v>
      </c>
      <c r="R84" s="295">
        <v>15</v>
      </c>
      <c r="S84" s="295">
        <v>15</v>
      </c>
      <c r="T84" s="295">
        <v>30</v>
      </c>
      <c r="U84" s="13"/>
      <c r="V84" s="13"/>
      <c r="W84" s="13"/>
      <c r="X84" s="13"/>
      <c r="Y84" s="13"/>
      <c r="Z84" s="13"/>
    </row>
    <row r="85" spans="2:26" x14ac:dyDescent="0.25">
      <c r="B85" s="136" t="s">
        <v>153</v>
      </c>
      <c r="C85" s="316">
        <v>14</v>
      </c>
      <c r="D85" s="316">
        <v>12</v>
      </c>
      <c r="E85" s="316">
        <v>26</v>
      </c>
      <c r="F85" s="316">
        <v>5</v>
      </c>
      <c r="G85" s="316">
        <v>4</v>
      </c>
      <c r="H85" s="316">
        <v>9</v>
      </c>
      <c r="I85" s="316">
        <v>3</v>
      </c>
      <c r="J85" s="316">
        <v>2</v>
      </c>
      <c r="K85" s="316">
        <v>5</v>
      </c>
      <c r="L85" s="316">
        <v>1</v>
      </c>
      <c r="M85" s="316">
        <v>1</v>
      </c>
      <c r="N85" s="320">
        <v>2</v>
      </c>
      <c r="O85" s="307">
        <v>0</v>
      </c>
      <c r="P85" s="307">
        <v>0</v>
      </c>
      <c r="Q85" s="307">
        <v>0</v>
      </c>
      <c r="R85" s="295">
        <v>23</v>
      </c>
      <c r="S85" s="295">
        <v>19</v>
      </c>
      <c r="T85" s="295">
        <v>42</v>
      </c>
      <c r="U85" s="13"/>
      <c r="V85" s="13"/>
      <c r="W85" s="13"/>
      <c r="X85" s="13"/>
      <c r="Y85" s="13"/>
      <c r="Z85" s="13"/>
    </row>
    <row r="86" spans="2:26" x14ac:dyDescent="0.25">
      <c r="B86" s="136" t="s">
        <v>154</v>
      </c>
      <c r="C86" s="316">
        <v>12</v>
      </c>
      <c r="D86" s="316">
        <v>12</v>
      </c>
      <c r="E86" s="316">
        <v>24</v>
      </c>
      <c r="F86" s="316">
        <v>3</v>
      </c>
      <c r="G86" s="316">
        <v>5</v>
      </c>
      <c r="H86" s="316">
        <v>8</v>
      </c>
      <c r="I86" s="316">
        <v>8</v>
      </c>
      <c r="J86" s="316">
        <v>0</v>
      </c>
      <c r="K86" s="316">
        <v>8</v>
      </c>
      <c r="L86" s="316">
        <v>3</v>
      </c>
      <c r="M86" s="316">
        <v>4</v>
      </c>
      <c r="N86" s="320">
        <v>7</v>
      </c>
      <c r="O86" s="307">
        <v>0</v>
      </c>
      <c r="P86" s="307">
        <v>0</v>
      </c>
      <c r="Q86" s="307">
        <v>0</v>
      </c>
      <c r="R86" s="295">
        <v>26</v>
      </c>
      <c r="S86" s="295">
        <v>21</v>
      </c>
      <c r="T86" s="295">
        <v>47</v>
      </c>
      <c r="U86" s="13"/>
      <c r="V86" s="13"/>
      <c r="W86" s="13"/>
      <c r="X86" s="13"/>
      <c r="Y86" s="13"/>
      <c r="Z86" s="13"/>
    </row>
    <row r="87" spans="2:26" x14ac:dyDescent="0.25">
      <c r="B87" s="155" t="s">
        <v>155</v>
      </c>
      <c r="C87" s="317">
        <v>72</v>
      </c>
      <c r="D87" s="317">
        <v>48</v>
      </c>
      <c r="E87" s="317">
        <v>120</v>
      </c>
      <c r="F87" s="317">
        <v>38</v>
      </c>
      <c r="G87" s="317">
        <v>33</v>
      </c>
      <c r="H87" s="317">
        <v>71</v>
      </c>
      <c r="I87" s="317">
        <v>22</v>
      </c>
      <c r="J87" s="317">
        <v>11</v>
      </c>
      <c r="K87" s="317">
        <v>33</v>
      </c>
      <c r="L87" s="317">
        <v>6</v>
      </c>
      <c r="M87" s="317">
        <v>5</v>
      </c>
      <c r="N87" s="321">
        <v>11</v>
      </c>
      <c r="O87" s="307">
        <v>0</v>
      </c>
      <c r="P87" s="307">
        <v>0</v>
      </c>
      <c r="Q87" s="307">
        <v>0</v>
      </c>
      <c r="R87" s="295">
        <v>138</v>
      </c>
      <c r="S87" s="295">
        <v>97</v>
      </c>
      <c r="T87" s="295">
        <v>235</v>
      </c>
      <c r="U87" s="13"/>
      <c r="V87" s="13"/>
      <c r="W87" s="13"/>
      <c r="X87" s="13"/>
      <c r="Y87" s="13"/>
      <c r="Z87" s="13"/>
    </row>
    <row r="88" spans="2:26" x14ac:dyDescent="0.25">
      <c r="B88" s="260" t="s">
        <v>25</v>
      </c>
      <c r="C88" s="282">
        <v>313</v>
      </c>
      <c r="D88" s="282">
        <v>275</v>
      </c>
      <c r="E88" s="282">
        <v>588</v>
      </c>
      <c r="F88" s="282">
        <v>207</v>
      </c>
      <c r="G88" s="282">
        <v>207</v>
      </c>
      <c r="H88" s="285">
        <v>414</v>
      </c>
      <c r="I88" s="282">
        <v>121</v>
      </c>
      <c r="J88" s="285">
        <v>36</v>
      </c>
      <c r="K88" s="282">
        <v>157</v>
      </c>
      <c r="L88" s="285">
        <v>31</v>
      </c>
      <c r="M88" s="282">
        <v>49</v>
      </c>
      <c r="N88" s="322">
        <v>80</v>
      </c>
      <c r="O88" s="285">
        <v>0</v>
      </c>
      <c r="P88" s="285">
        <v>0</v>
      </c>
      <c r="Q88" s="285">
        <v>0</v>
      </c>
      <c r="R88" s="295">
        <v>672</v>
      </c>
      <c r="S88" s="295">
        <v>567</v>
      </c>
      <c r="T88" s="295">
        <v>1239</v>
      </c>
      <c r="U88" s="13"/>
      <c r="V88" s="13"/>
      <c r="W88" s="13"/>
      <c r="X88" s="13"/>
      <c r="Y88" s="13"/>
      <c r="Z88" s="13"/>
    </row>
    <row r="89" spans="2:26" ht="81.75" customHeight="1" x14ac:dyDescent="0.25">
      <c r="B89" s="468" t="s">
        <v>866</v>
      </c>
      <c r="C89" s="468"/>
      <c r="D89" s="468"/>
      <c r="E89" s="468"/>
      <c r="F89" s="468"/>
      <c r="G89" s="468"/>
      <c r="H89" s="468"/>
      <c r="I89" s="468"/>
      <c r="J89" s="468"/>
      <c r="K89" s="468"/>
      <c r="L89" s="468"/>
      <c r="M89" s="468"/>
      <c r="N89" s="468"/>
      <c r="O89" s="468"/>
      <c r="P89" s="468"/>
      <c r="Q89" s="468"/>
      <c r="R89" s="13"/>
      <c r="S89" s="13"/>
      <c r="T89" s="13"/>
      <c r="U89" s="13"/>
      <c r="V89" s="13"/>
      <c r="W89" s="13"/>
    </row>
    <row r="90" spans="2:26" x14ac:dyDescent="0.25">
      <c r="B90" s="157"/>
      <c r="C90" s="157"/>
      <c r="D90" s="157"/>
      <c r="E90"/>
      <c r="F90"/>
      <c r="G90"/>
      <c r="H90" s="13"/>
      <c r="I90" s="13"/>
      <c r="J90" s="13"/>
      <c r="K90" s="13"/>
      <c r="L90" s="13"/>
      <c r="M90" s="13"/>
      <c r="N90" s="13"/>
      <c r="O90" s="13"/>
      <c r="P90" s="13"/>
      <c r="Q90" s="13"/>
      <c r="R90" s="13"/>
      <c r="S90" s="13"/>
      <c r="T90" s="13"/>
      <c r="U90" s="13"/>
      <c r="V90" s="13"/>
      <c r="W90" s="13"/>
    </row>
    <row r="91" spans="2:26" x14ac:dyDescent="0.25">
      <c r="B91" s="186" t="s">
        <v>508</v>
      </c>
      <c r="C91"/>
      <c r="D91"/>
      <c r="E91"/>
      <c r="F91"/>
      <c r="G91"/>
      <c r="H91" s="13"/>
      <c r="I91" s="13"/>
      <c r="J91" s="13"/>
      <c r="K91" s="13"/>
      <c r="L91" s="13"/>
      <c r="M91" s="13"/>
      <c r="N91" s="13"/>
      <c r="O91" s="13"/>
      <c r="P91" s="13"/>
      <c r="Q91" s="13"/>
      <c r="R91" s="13"/>
      <c r="S91" s="13"/>
      <c r="T91" s="13"/>
      <c r="U91" s="13"/>
      <c r="V91" s="13"/>
      <c r="W91" s="13"/>
    </row>
    <row r="92" spans="2:26" x14ac:dyDescent="0.25">
      <c r="B92" s="186"/>
      <c r="C92"/>
      <c r="D92"/>
      <c r="E92"/>
      <c r="F92"/>
      <c r="G92"/>
      <c r="H92" s="13"/>
      <c r="I92" s="13"/>
      <c r="J92" s="13"/>
      <c r="K92" s="13"/>
      <c r="L92" s="13"/>
      <c r="M92" s="13"/>
      <c r="N92" s="13"/>
      <c r="O92" s="13"/>
      <c r="P92" s="13"/>
      <c r="Q92" s="13"/>
      <c r="R92" s="13"/>
      <c r="S92" s="13"/>
      <c r="T92" s="13"/>
      <c r="U92" s="13"/>
      <c r="V92" s="13"/>
      <c r="W92" s="13"/>
    </row>
    <row r="93" spans="2:26" ht="15" customHeight="1" x14ac:dyDescent="0.25">
      <c r="B93" s="432" t="s">
        <v>532</v>
      </c>
      <c r="C93" s="476" t="s">
        <v>477</v>
      </c>
      <c r="D93" s="477"/>
      <c r="E93" s="477"/>
      <c r="F93" s="477"/>
      <c r="G93" s="477"/>
      <c r="H93" s="477"/>
      <c r="I93" s="477"/>
      <c r="J93" s="477"/>
      <c r="K93" s="477"/>
      <c r="L93" s="477"/>
      <c r="M93" s="477"/>
      <c r="N93" s="477"/>
      <c r="O93" s="477"/>
      <c r="P93" s="477"/>
      <c r="Q93" s="478"/>
      <c r="R93" s="469" t="s">
        <v>865</v>
      </c>
      <c r="S93" s="470"/>
      <c r="T93" s="471"/>
      <c r="U93" s="13"/>
      <c r="V93" s="13"/>
      <c r="W93" s="13"/>
    </row>
    <row r="94" spans="2:26" ht="15" customHeight="1" x14ac:dyDescent="0.25">
      <c r="B94" s="432"/>
      <c r="C94" s="463" t="s">
        <v>849</v>
      </c>
      <c r="D94" s="463"/>
      <c r="E94" s="463"/>
      <c r="F94" s="463" t="s">
        <v>850</v>
      </c>
      <c r="G94" s="463"/>
      <c r="H94" s="463"/>
      <c r="I94" s="463" t="s">
        <v>3</v>
      </c>
      <c r="J94" s="463"/>
      <c r="K94" s="463"/>
      <c r="L94" s="463" t="s">
        <v>5</v>
      </c>
      <c r="M94" s="463"/>
      <c r="N94" s="463"/>
      <c r="O94" s="463" t="s">
        <v>859</v>
      </c>
      <c r="P94" s="463"/>
      <c r="Q94" s="463"/>
      <c r="R94" s="472"/>
      <c r="S94" s="473"/>
      <c r="T94" s="474"/>
      <c r="U94" s="13"/>
      <c r="V94" s="13"/>
      <c r="W94" s="13"/>
    </row>
    <row r="95" spans="2:26" x14ac:dyDescent="0.25">
      <c r="B95" s="432"/>
      <c r="C95" s="264" t="s">
        <v>73</v>
      </c>
      <c r="D95" s="264" t="s">
        <v>74</v>
      </c>
      <c r="E95" s="264" t="s">
        <v>25</v>
      </c>
      <c r="F95" s="264" t="s">
        <v>73</v>
      </c>
      <c r="G95" s="264" t="s">
        <v>74</v>
      </c>
      <c r="H95" s="264" t="s">
        <v>25</v>
      </c>
      <c r="I95" s="264" t="s">
        <v>73</v>
      </c>
      <c r="J95" s="264" t="s">
        <v>74</v>
      </c>
      <c r="K95" s="264" t="s">
        <v>25</v>
      </c>
      <c r="L95" s="264" t="s">
        <v>73</v>
      </c>
      <c r="M95" s="264" t="s">
        <v>74</v>
      </c>
      <c r="N95" s="264" t="s">
        <v>25</v>
      </c>
      <c r="O95" s="264" t="s">
        <v>73</v>
      </c>
      <c r="P95" s="264" t="s">
        <v>74</v>
      </c>
      <c r="Q95" s="264" t="s">
        <v>25</v>
      </c>
      <c r="R95" s="274" t="s">
        <v>73</v>
      </c>
      <c r="S95" s="274" t="s">
        <v>74</v>
      </c>
      <c r="T95" s="274" t="s">
        <v>25</v>
      </c>
      <c r="U95" s="13"/>
      <c r="V95" s="13"/>
      <c r="W95" s="13"/>
    </row>
    <row r="96" spans="2:26" x14ac:dyDescent="0.25">
      <c r="B96" s="156" t="s">
        <v>156</v>
      </c>
      <c r="C96" s="314">
        <v>17</v>
      </c>
      <c r="D96" s="314">
        <v>23</v>
      </c>
      <c r="E96" s="314">
        <v>40</v>
      </c>
      <c r="F96" s="314">
        <v>7</v>
      </c>
      <c r="G96" s="314">
        <v>8</v>
      </c>
      <c r="H96" s="314">
        <v>15</v>
      </c>
      <c r="I96" s="314">
        <v>5</v>
      </c>
      <c r="J96" s="314">
        <v>0</v>
      </c>
      <c r="K96" s="314">
        <v>5</v>
      </c>
      <c r="L96" s="314">
        <v>2</v>
      </c>
      <c r="M96" s="314">
        <v>1</v>
      </c>
      <c r="N96" s="314">
        <v>3</v>
      </c>
      <c r="O96" s="314">
        <v>0</v>
      </c>
      <c r="P96" s="314">
        <v>0</v>
      </c>
      <c r="Q96" s="314">
        <v>0</v>
      </c>
      <c r="R96" s="295">
        <v>31</v>
      </c>
      <c r="S96" s="295">
        <v>32</v>
      </c>
      <c r="T96" s="295">
        <v>63</v>
      </c>
      <c r="U96" s="13"/>
      <c r="V96" s="13"/>
      <c r="W96" s="13"/>
    </row>
    <row r="97" spans="2:23" x14ac:dyDescent="0.25">
      <c r="B97" s="136" t="s">
        <v>157</v>
      </c>
      <c r="C97" s="316">
        <v>8</v>
      </c>
      <c r="D97" s="316">
        <v>15</v>
      </c>
      <c r="E97" s="316">
        <v>23</v>
      </c>
      <c r="F97" s="316">
        <v>5</v>
      </c>
      <c r="G97" s="316">
        <v>7</v>
      </c>
      <c r="H97" s="316">
        <v>12</v>
      </c>
      <c r="I97" s="316">
        <v>5</v>
      </c>
      <c r="J97" s="316">
        <v>2</v>
      </c>
      <c r="K97" s="316">
        <v>7</v>
      </c>
      <c r="L97" s="316">
        <v>0</v>
      </c>
      <c r="M97" s="316">
        <v>1</v>
      </c>
      <c r="N97" s="316">
        <v>1</v>
      </c>
      <c r="O97" s="316">
        <v>0</v>
      </c>
      <c r="P97" s="316">
        <v>0</v>
      </c>
      <c r="Q97" s="316">
        <v>0</v>
      </c>
      <c r="R97" s="295">
        <v>18</v>
      </c>
      <c r="S97" s="295">
        <v>25</v>
      </c>
      <c r="T97" s="295">
        <v>43</v>
      </c>
      <c r="U97" s="13"/>
      <c r="V97" s="13"/>
      <c r="W97" s="13"/>
    </row>
    <row r="98" spans="2:23" x14ac:dyDescent="0.25">
      <c r="B98" s="136" t="s">
        <v>158</v>
      </c>
      <c r="C98" s="316">
        <v>16</v>
      </c>
      <c r="D98" s="316">
        <v>14</v>
      </c>
      <c r="E98" s="316">
        <v>30</v>
      </c>
      <c r="F98" s="316">
        <v>6</v>
      </c>
      <c r="G98" s="316">
        <v>5</v>
      </c>
      <c r="H98" s="316">
        <v>11</v>
      </c>
      <c r="I98" s="316">
        <v>8</v>
      </c>
      <c r="J98" s="316">
        <v>3</v>
      </c>
      <c r="K98" s="316">
        <v>11</v>
      </c>
      <c r="L98" s="316">
        <v>0</v>
      </c>
      <c r="M98" s="316">
        <v>2</v>
      </c>
      <c r="N98" s="316">
        <v>2</v>
      </c>
      <c r="O98" s="316">
        <v>0</v>
      </c>
      <c r="P98" s="316">
        <v>0</v>
      </c>
      <c r="Q98" s="316">
        <v>0</v>
      </c>
      <c r="R98" s="295">
        <v>30</v>
      </c>
      <c r="S98" s="295">
        <v>24</v>
      </c>
      <c r="T98" s="295">
        <v>54</v>
      </c>
      <c r="U98" s="13"/>
      <c r="V98" s="13"/>
      <c r="W98" s="13"/>
    </row>
    <row r="99" spans="2:23" x14ac:dyDescent="0.25">
      <c r="B99" s="136" t="s">
        <v>159</v>
      </c>
      <c r="C99" s="316">
        <v>248</v>
      </c>
      <c r="D99" s="316">
        <v>240</v>
      </c>
      <c r="E99" s="316">
        <v>488</v>
      </c>
      <c r="F99" s="316">
        <v>198</v>
      </c>
      <c r="G99" s="316">
        <v>157</v>
      </c>
      <c r="H99" s="316">
        <v>355</v>
      </c>
      <c r="I99" s="316">
        <v>113</v>
      </c>
      <c r="J99" s="316">
        <v>43</v>
      </c>
      <c r="K99" s="316">
        <v>156</v>
      </c>
      <c r="L99" s="316">
        <v>40</v>
      </c>
      <c r="M99" s="316">
        <v>29</v>
      </c>
      <c r="N99" s="316">
        <v>69</v>
      </c>
      <c r="O99" s="316">
        <v>0</v>
      </c>
      <c r="P99" s="316">
        <v>1</v>
      </c>
      <c r="Q99" s="316">
        <v>1</v>
      </c>
      <c r="R99" s="295">
        <v>599</v>
      </c>
      <c r="S99" s="295">
        <v>470</v>
      </c>
      <c r="T99" s="295">
        <v>1069</v>
      </c>
      <c r="U99" s="13"/>
      <c r="V99" s="13"/>
      <c r="W99" s="13"/>
    </row>
    <row r="100" spans="2:23" x14ac:dyDescent="0.25">
      <c r="B100" s="136" t="s">
        <v>160</v>
      </c>
      <c r="C100" s="316">
        <v>56</v>
      </c>
      <c r="D100" s="316">
        <v>45</v>
      </c>
      <c r="E100" s="316">
        <v>101</v>
      </c>
      <c r="F100" s="316">
        <v>22</v>
      </c>
      <c r="G100" s="316">
        <v>18</v>
      </c>
      <c r="H100" s="316">
        <v>40</v>
      </c>
      <c r="I100" s="316">
        <v>16</v>
      </c>
      <c r="J100" s="316">
        <v>10</v>
      </c>
      <c r="K100" s="316">
        <v>26</v>
      </c>
      <c r="L100" s="316">
        <v>6</v>
      </c>
      <c r="M100" s="316">
        <v>8</v>
      </c>
      <c r="N100" s="316">
        <v>14</v>
      </c>
      <c r="O100" s="316">
        <v>0</v>
      </c>
      <c r="P100" s="316">
        <v>0</v>
      </c>
      <c r="Q100" s="316">
        <v>0</v>
      </c>
      <c r="R100" s="295">
        <v>100</v>
      </c>
      <c r="S100" s="295">
        <v>81</v>
      </c>
      <c r="T100" s="295">
        <v>181</v>
      </c>
      <c r="U100" s="13"/>
      <c r="V100" s="13"/>
      <c r="W100" s="13"/>
    </row>
    <row r="101" spans="2:23" x14ac:dyDescent="0.25">
      <c r="B101" s="136" t="s">
        <v>161</v>
      </c>
      <c r="C101" s="316">
        <v>12</v>
      </c>
      <c r="D101" s="316">
        <v>8</v>
      </c>
      <c r="E101" s="316">
        <v>20</v>
      </c>
      <c r="F101" s="316">
        <v>1</v>
      </c>
      <c r="G101" s="316">
        <v>3</v>
      </c>
      <c r="H101" s="316">
        <v>4</v>
      </c>
      <c r="I101" s="316">
        <v>4</v>
      </c>
      <c r="J101" s="316">
        <v>1</v>
      </c>
      <c r="K101" s="316">
        <v>5</v>
      </c>
      <c r="L101" s="316">
        <v>1</v>
      </c>
      <c r="M101" s="316">
        <v>1</v>
      </c>
      <c r="N101" s="316">
        <v>2</v>
      </c>
      <c r="O101" s="316">
        <v>0</v>
      </c>
      <c r="P101" s="316">
        <v>0</v>
      </c>
      <c r="Q101" s="316">
        <v>0</v>
      </c>
      <c r="R101" s="295">
        <v>18</v>
      </c>
      <c r="S101" s="295">
        <v>13</v>
      </c>
      <c r="T101" s="295">
        <v>31</v>
      </c>
      <c r="U101" s="13"/>
      <c r="V101" s="13"/>
      <c r="W101" s="13"/>
    </row>
    <row r="102" spans="2:23" x14ac:dyDescent="0.25">
      <c r="B102" s="136" t="s">
        <v>162</v>
      </c>
      <c r="C102" s="316">
        <v>235</v>
      </c>
      <c r="D102" s="316">
        <v>177</v>
      </c>
      <c r="E102" s="316">
        <v>412</v>
      </c>
      <c r="F102" s="316">
        <v>203</v>
      </c>
      <c r="G102" s="316">
        <v>190</v>
      </c>
      <c r="H102" s="316">
        <v>393</v>
      </c>
      <c r="I102" s="316">
        <v>96</v>
      </c>
      <c r="J102" s="316">
        <v>39</v>
      </c>
      <c r="K102" s="316">
        <v>135</v>
      </c>
      <c r="L102" s="316">
        <v>31</v>
      </c>
      <c r="M102" s="316">
        <v>31</v>
      </c>
      <c r="N102" s="316">
        <v>62</v>
      </c>
      <c r="O102" s="316">
        <v>0</v>
      </c>
      <c r="P102" s="316">
        <v>0</v>
      </c>
      <c r="Q102" s="316">
        <v>0</v>
      </c>
      <c r="R102" s="295">
        <v>565</v>
      </c>
      <c r="S102" s="295">
        <v>437</v>
      </c>
      <c r="T102" s="295">
        <v>1002</v>
      </c>
      <c r="U102" s="13"/>
      <c r="V102" s="13"/>
      <c r="W102" s="13"/>
    </row>
    <row r="103" spans="2:23" x14ac:dyDescent="0.25">
      <c r="B103" s="136" t="s">
        <v>163</v>
      </c>
      <c r="C103" s="316">
        <v>30</v>
      </c>
      <c r="D103" s="316">
        <v>33</v>
      </c>
      <c r="E103" s="316">
        <v>63</v>
      </c>
      <c r="F103" s="316">
        <v>24</v>
      </c>
      <c r="G103" s="316">
        <v>15</v>
      </c>
      <c r="H103" s="316">
        <v>39</v>
      </c>
      <c r="I103" s="316">
        <v>12</v>
      </c>
      <c r="J103" s="316">
        <v>0</v>
      </c>
      <c r="K103" s="316">
        <v>12</v>
      </c>
      <c r="L103" s="316">
        <v>2</v>
      </c>
      <c r="M103" s="316">
        <v>1</v>
      </c>
      <c r="N103" s="316">
        <v>3</v>
      </c>
      <c r="O103" s="316">
        <v>0</v>
      </c>
      <c r="P103" s="316">
        <v>0</v>
      </c>
      <c r="Q103" s="316">
        <v>0</v>
      </c>
      <c r="R103" s="295">
        <v>68</v>
      </c>
      <c r="S103" s="295">
        <v>49</v>
      </c>
      <c r="T103" s="295">
        <v>117</v>
      </c>
      <c r="U103" s="13"/>
      <c r="V103" s="13"/>
      <c r="W103" s="13"/>
    </row>
    <row r="104" spans="2:23" x14ac:dyDescent="0.25">
      <c r="B104" s="136" t="s">
        <v>164</v>
      </c>
      <c r="C104" s="316">
        <v>29</v>
      </c>
      <c r="D104" s="316">
        <v>30</v>
      </c>
      <c r="E104" s="316">
        <v>59</v>
      </c>
      <c r="F104" s="316">
        <v>16</v>
      </c>
      <c r="G104" s="316">
        <v>15</v>
      </c>
      <c r="H104" s="316">
        <v>31</v>
      </c>
      <c r="I104" s="316">
        <v>15</v>
      </c>
      <c r="J104" s="316">
        <v>8</v>
      </c>
      <c r="K104" s="316">
        <v>23</v>
      </c>
      <c r="L104" s="316">
        <v>5</v>
      </c>
      <c r="M104" s="316">
        <v>6</v>
      </c>
      <c r="N104" s="316">
        <v>11</v>
      </c>
      <c r="O104" s="316">
        <v>0</v>
      </c>
      <c r="P104" s="316">
        <v>0</v>
      </c>
      <c r="Q104" s="316">
        <v>0</v>
      </c>
      <c r="R104" s="295">
        <v>65</v>
      </c>
      <c r="S104" s="295">
        <v>59</v>
      </c>
      <c r="T104" s="295">
        <v>124</v>
      </c>
      <c r="U104" s="13"/>
      <c r="V104" s="13"/>
      <c r="W104" s="13"/>
    </row>
    <row r="105" spans="2:23" x14ac:dyDescent="0.25">
      <c r="B105" s="136" t="s">
        <v>165</v>
      </c>
      <c r="C105" s="316">
        <v>128</v>
      </c>
      <c r="D105" s="316">
        <v>146</v>
      </c>
      <c r="E105" s="316">
        <v>274</v>
      </c>
      <c r="F105" s="316">
        <v>82</v>
      </c>
      <c r="G105" s="316">
        <v>90</v>
      </c>
      <c r="H105" s="316">
        <v>172</v>
      </c>
      <c r="I105" s="316">
        <v>36</v>
      </c>
      <c r="J105" s="316">
        <v>16</v>
      </c>
      <c r="K105" s="316">
        <v>52</v>
      </c>
      <c r="L105" s="316">
        <v>9</v>
      </c>
      <c r="M105" s="316">
        <v>17</v>
      </c>
      <c r="N105" s="316">
        <v>26</v>
      </c>
      <c r="O105" s="316">
        <v>0</v>
      </c>
      <c r="P105" s="316">
        <v>0</v>
      </c>
      <c r="Q105" s="316">
        <v>0</v>
      </c>
      <c r="R105" s="295">
        <v>255</v>
      </c>
      <c r="S105" s="295">
        <v>269</v>
      </c>
      <c r="T105" s="295">
        <v>524</v>
      </c>
      <c r="U105" s="13"/>
      <c r="V105" s="13"/>
      <c r="W105" s="13"/>
    </row>
    <row r="106" spans="2:23" x14ac:dyDescent="0.25">
      <c r="B106" s="136" t="s">
        <v>166</v>
      </c>
      <c r="C106" s="316">
        <v>3</v>
      </c>
      <c r="D106" s="316">
        <v>9</v>
      </c>
      <c r="E106" s="316">
        <v>12</v>
      </c>
      <c r="F106" s="316">
        <v>4</v>
      </c>
      <c r="G106" s="316">
        <v>6</v>
      </c>
      <c r="H106" s="316">
        <v>10</v>
      </c>
      <c r="I106" s="316">
        <v>2</v>
      </c>
      <c r="J106" s="316">
        <v>2</v>
      </c>
      <c r="K106" s="316">
        <v>4</v>
      </c>
      <c r="L106" s="316">
        <v>0</v>
      </c>
      <c r="M106" s="316">
        <v>1</v>
      </c>
      <c r="N106" s="316">
        <v>1</v>
      </c>
      <c r="O106" s="316">
        <v>0</v>
      </c>
      <c r="P106" s="316">
        <v>0</v>
      </c>
      <c r="Q106" s="316">
        <v>0</v>
      </c>
      <c r="R106" s="295">
        <v>9</v>
      </c>
      <c r="S106" s="295">
        <v>18</v>
      </c>
      <c r="T106" s="295">
        <v>27</v>
      </c>
      <c r="U106" s="13"/>
      <c r="V106" s="13"/>
      <c r="W106" s="13"/>
    </row>
    <row r="107" spans="2:23" x14ac:dyDescent="0.25">
      <c r="B107" s="136" t="s">
        <v>167</v>
      </c>
      <c r="C107" s="316">
        <v>15</v>
      </c>
      <c r="D107" s="316">
        <v>16</v>
      </c>
      <c r="E107" s="316">
        <v>31</v>
      </c>
      <c r="F107" s="316">
        <v>6</v>
      </c>
      <c r="G107" s="316">
        <v>13</v>
      </c>
      <c r="H107" s="316">
        <v>19</v>
      </c>
      <c r="I107" s="316">
        <v>7</v>
      </c>
      <c r="J107" s="316">
        <v>4</v>
      </c>
      <c r="K107" s="316">
        <v>11</v>
      </c>
      <c r="L107" s="316">
        <v>1</v>
      </c>
      <c r="M107" s="316">
        <v>2</v>
      </c>
      <c r="N107" s="316">
        <v>3</v>
      </c>
      <c r="O107" s="316">
        <v>0</v>
      </c>
      <c r="P107" s="316">
        <v>0</v>
      </c>
      <c r="Q107" s="316">
        <v>0</v>
      </c>
      <c r="R107" s="295">
        <v>29</v>
      </c>
      <c r="S107" s="295">
        <v>35</v>
      </c>
      <c r="T107" s="295">
        <v>64</v>
      </c>
      <c r="U107" s="13"/>
      <c r="V107" s="13"/>
      <c r="W107" s="13"/>
    </row>
    <row r="108" spans="2:23" x14ac:dyDescent="0.25">
      <c r="B108" s="136" t="s">
        <v>168</v>
      </c>
      <c r="C108" s="316">
        <v>4</v>
      </c>
      <c r="D108" s="316">
        <v>3</v>
      </c>
      <c r="E108" s="316">
        <v>7</v>
      </c>
      <c r="F108" s="316">
        <v>1</v>
      </c>
      <c r="G108" s="316">
        <v>3</v>
      </c>
      <c r="H108" s="316">
        <v>4</v>
      </c>
      <c r="I108" s="316">
        <v>5</v>
      </c>
      <c r="J108" s="316">
        <v>1</v>
      </c>
      <c r="K108" s="316">
        <v>6</v>
      </c>
      <c r="L108" s="316">
        <v>0</v>
      </c>
      <c r="M108" s="316">
        <v>1</v>
      </c>
      <c r="N108" s="316">
        <v>1</v>
      </c>
      <c r="O108" s="316">
        <v>0</v>
      </c>
      <c r="P108" s="316">
        <v>0</v>
      </c>
      <c r="Q108" s="316">
        <v>0</v>
      </c>
      <c r="R108" s="295">
        <v>10</v>
      </c>
      <c r="S108" s="295">
        <v>8</v>
      </c>
      <c r="T108" s="295">
        <v>18</v>
      </c>
      <c r="U108" s="13"/>
      <c r="V108" s="13"/>
      <c r="W108" s="13"/>
    </row>
    <row r="109" spans="2:23" x14ac:dyDescent="0.25">
      <c r="B109" s="155" t="s">
        <v>169</v>
      </c>
      <c r="C109" s="317">
        <v>39</v>
      </c>
      <c r="D109" s="317">
        <v>38</v>
      </c>
      <c r="E109" s="317">
        <v>77</v>
      </c>
      <c r="F109" s="317">
        <v>20</v>
      </c>
      <c r="G109" s="317">
        <v>14</v>
      </c>
      <c r="H109" s="317">
        <v>34</v>
      </c>
      <c r="I109" s="317">
        <v>11</v>
      </c>
      <c r="J109" s="317">
        <v>3</v>
      </c>
      <c r="K109" s="317">
        <v>14</v>
      </c>
      <c r="L109" s="317">
        <v>4</v>
      </c>
      <c r="M109" s="317">
        <v>0</v>
      </c>
      <c r="N109" s="317">
        <v>4</v>
      </c>
      <c r="O109" s="317">
        <v>0</v>
      </c>
      <c r="P109" s="317">
        <v>0</v>
      </c>
      <c r="Q109" s="317">
        <v>0</v>
      </c>
      <c r="R109" s="295">
        <v>74</v>
      </c>
      <c r="S109" s="295">
        <v>55</v>
      </c>
      <c r="T109" s="295">
        <v>129</v>
      </c>
      <c r="U109" s="13"/>
      <c r="V109" s="13"/>
      <c r="W109" s="13"/>
    </row>
    <row r="110" spans="2:23" x14ac:dyDescent="0.25">
      <c r="B110" s="158" t="s">
        <v>491</v>
      </c>
      <c r="C110" s="307">
        <v>27</v>
      </c>
      <c r="D110" s="307">
        <v>32</v>
      </c>
      <c r="E110" s="307">
        <v>59</v>
      </c>
      <c r="F110" s="307">
        <v>24</v>
      </c>
      <c r="G110" s="307">
        <v>27</v>
      </c>
      <c r="H110" s="307">
        <v>51</v>
      </c>
      <c r="I110" s="307">
        <v>17</v>
      </c>
      <c r="J110" s="307">
        <v>5</v>
      </c>
      <c r="K110" s="307">
        <v>22</v>
      </c>
      <c r="L110" s="307">
        <v>4</v>
      </c>
      <c r="M110" s="307">
        <v>5</v>
      </c>
      <c r="N110" s="307">
        <v>9</v>
      </c>
      <c r="O110" s="307">
        <v>0</v>
      </c>
      <c r="P110" s="307">
        <v>0</v>
      </c>
      <c r="Q110" s="307">
        <v>0</v>
      </c>
      <c r="R110" s="295">
        <v>72</v>
      </c>
      <c r="S110" s="295">
        <v>69</v>
      </c>
      <c r="T110" s="295">
        <v>141</v>
      </c>
      <c r="U110" s="13"/>
      <c r="V110" s="13"/>
      <c r="W110" s="13"/>
    </row>
    <row r="111" spans="2:23" x14ac:dyDescent="0.25">
      <c r="B111" s="260" t="s">
        <v>25</v>
      </c>
      <c r="C111" s="282">
        <v>867</v>
      </c>
      <c r="D111" s="282">
        <v>829</v>
      </c>
      <c r="E111" s="282">
        <v>1696</v>
      </c>
      <c r="F111" s="282">
        <v>619</v>
      </c>
      <c r="G111" s="282">
        <v>571</v>
      </c>
      <c r="H111" s="285">
        <v>1190</v>
      </c>
      <c r="I111" s="282">
        <v>352</v>
      </c>
      <c r="J111" s="285">
        <v>137</v>
      </c>
      <c r="K111" s="282">
        <v>489</v>
      </c>
      <c r="L111" s="285">
        <v>105</v>
      </c>
      <c r="M111" s="282">
        <v>106</v>
      </c>
      <c r="N111" s="285">
        <v>211</v>
      </c>
      <c r="O111" s="285">
        <v>0</v>
      </c>
      <c r="P111" s="282">
        <v>1</v>
      </c>
      <c r="Q111" s="285">
        <v>1</v>
      </c>
      <c r="R111" s="295">
        <v>1943</v>
      </c>
      <c r="S111" s="295">
        <v>1644</v>
      </c>
      <c r="T111" s="295">
        <v>3587</v>
      </c>
      <c r="U111" s="13"/>
      <c r="V111" s="13"/>
      <c r="W111" s="13"/>
    </row>
    <row r="112" spans="2:23" ht="81.75" customHeight="1" x14ac:dyDescent="0.25">
      <c r="B112" s="468" t="s">
        <v>866</v>
      </c>
      <c r="C112" s="468"/>
      <c r="D112" s="468"/>
      <c r="E112" s="468"/>
      <c r="F112" s="468"/>
      <c r="G112" s="468"/>
      <c r="H112" s="468"/>
      <c r="I112" s="468"/>
      <c r="J112" s="468"/>
      <c r="K112" s="468"/>
      <c r="L112" s="468"/>
      <c r="M112" s="468"/>
      <c r="N112" s="468"/>
      <c r="O112" s="468"/>
      <c r="P112" s="468"/>
      <c r="Q112" s="468"/>
      <c r="R112" s="13"/>
      <c r="S112" s="13"/>
      <c r="T112" s="13"/>
      <c r="U112" s="13"/>
      <c r="V112" s="13"/>
      <c r="W112" s="13"/>
    </row>
    <row r="113" spans="2:27" x14ac:dyDescent="0.25">
      <c r="B113" s="157"/>
      <c r="C113" s="189"/>
      <c r="D113" s="189"/>
      <c r="E113" s="189"/>
      <c r="F113" s="189"/>
      <c r="G113"/>
      <c r="H113" s="13"/>
      <c r="I113" s="13"/>
      <c r="J113" s="13"/>
      <c r="K113" s="13"/>
      <c r="L113" s="13"/>
      <c r="M113" s="13"/>
      <c r="N113" s="13"/>
      <c r="O113" s="13"/>
      <c r="P113" s="13"/>
      <c r="Q113" s="13"/>
      <c r="R113" s="13"/>
      <c r="S113" s="13"/>
      <c r="T113" s="13"/>
      <c r="U113" s="13"/>
      <c r="V113" s="13"/>
      <c r="W113" s="13"/>
    </row>
    <row r="114" spans="2:27" x14ac:dyDescent="0.25">
      <c r="B114" s="186" t="s">
        <v>509</v>
      </c>
      <c r="C114"/>
      <c r="D114"/>
      <c r="E114"/>
      <c r="F114"/>
      <c r="G114"/>
      <c r="H114" s="13"/>
      <c r="I114" s="13"/>
      <c r="J114" s="13"/>
      <c r="K114" s="13"/>
      <c r="L114" s="13"/>
      <c r="M114" s="13"/>
      <c r="N114" s="13"/>
      <c r="O114" s="13"/>
      <c r="P114" s="13"/>
      <c r="Q114" s="13"/>
      <c r="R114" s="13"/>
      <c r="S114" s="13"/>
      <c r="T114" s="13"/>
      <c r="U114" s="13"/>
      <c r="V114" s="13"/>
      <c r="W114" s="13"/>
    </row>
    <row r="115" spans="2:27" x14ac:dyDescent="0.25">
      <c r="B115" s="186"/>
      <c r="C115"/>
      <c r="D115"/>
      <c r="E115"/>
      <c r="F115"/>
      <c r="G115"/>
      <c r="H115" s="13"/>
      <c r="I115" s="13"/>
      <c r="J115" s="13"/>
      <c r="K115" s="13"/>
      <c r="L115" s="13"/>
      <c r="M115" s="13"/>
      <c r="N115" s="13"/>
      <c r="O115" s="13"/>
      <c r="P115" s="13"/>
      <c r="Q115" s="13"/>
      <c r="R115" s="13"/>
      <c r="S115" s="13"/>
      <c r="T115" s="13"/>
      <c r="U115" s="13"/>
      <c r="V115" s="13"/>
      <c r="W115" s="13"/>
    </row>
    <row r="116" spans="2:27" ht="15" customHeight="1" x14ac:dyDescent="0.25">
      <c r="B116" s="432" t="s">
        <v>532</v>
      </c>
      <c r="C116" s="476" t="s">
        <v>477</v>
      </c>
      <c r="D116" s="477"/>
      <c r="E116" s="477"/>
      <c r="F116" s="477"/>
      <c r="G116" s="477"/>
      <c r="H116" s="477"/>
      <c r="I116" s="477"/>
      <c r="J116" s="477"/>
      <c r="K116" s="477"/>
      <c r="L116" s="477"/>
      <c r="M116" s="477"/>
      <c r="N116" s="477"/>
      <c r="O116" s="477"/>
      <c r="P116" s="477"/>
      <c r="Q116" s="478"/>
      <c r="R116" s="469" t="s">
        <v>865</v>
      </c>
      <c r="S116" s="470"/>
      <c r="T116" s="471"/>
      <c r="U116" s="13"/>
      <c r="V116" s="13"/>
      <c r="W116" s="13"/>
      <c r="X116" s="13"/>
      <c r="Y116" s="13"/>
      <c r="Z116" s="13"/>
    </row>
    <row r="117" spans="2:27" ht="15" customHeight="1" x14ac:dyDescent="0.25">
      <c r="B117" s="432"/>
      <c r="C117" s="463" t="s">
        <v>849</v>
      </c>
      <c r="D117" s="463"/>
      <c r="E117" s="463"/>
      <c r="F117" s="463" t="s">
        <v>850</v>
      </c>
      <c r="G117" s="463"/>
      <c r="H117" s="463"/>
      <c r="I117" s="463" t="s">
        <v>3</v>
      </c>
      <c r="J117" s="463"/>
      <c r="K117" s="463"/>
      <c r="L117" s="463" t="s">
        <v>5</v>
      </c>
      <c r="M117" s="463"/>
      <c r="N117" s="463"/>
      <c r="O117" s="463" t="s">
        <v>859</v>
      </c>
      <c r="P117" s="463"/>
      <c r="Q117" s="463"/>
      <c r="R117" s="472"/>
      <c r="S117" s="473"/>
      <c r="T117" s="474"/>
      <c r="U117" s="13"/>
      <c r="V117" s="13"/>
      <c r="W117" s="13"/>
      <c r="X117" s="13"/>
      <c r="Y117" s="13"/>
      <c r="Z117" s="13"/>
    </row>
    <row r="118" spans="2:27" x14ac:dyDescent="0.25">
      <c r="B118" s="432"/>
      <c r="C118" s="264" t="s">
        <v>73</v>
      </c>
      <c r="D118" s="264" t="s">
        <v>74</v>
      </c>
      <c r="E118" s="264" t="s">
        <v>25</v>
      </c>
      <c r="F118" s="264" t="s">
        <v>73</v>
      </c>
      <c r="G118" s="264" t="s">
        <v>74</v>
      </c>
      <c r="H118" s="264" t="s">
        <v>25</v>
      </c>
      <c r="I118" s="264" t="s">
        <v>73</v>
      </c>
      <c r="J118" s="264" t="s">
        <v>74</v>
      </c>
      <c r="K118" s="264" t="s">
        <v>25</v>
      </c>
      <c r="L118" s="264" t="s">
        <v>73</v>
      </c>
      <c r="M118" s="264" t="s">
        <v>74</v>
      </c>
      <c r="N118" s="319" t="s">
        <v>25</v>
      </c>
      <c r="O118" s="264" t="s">
        <v>73</v>
      </c>
      <c r="P118" s="264" t="s">
        <v>74</v>
      </c>
      <c r="Q118" s="264" t="s">
        <v>25</v>
      </c>
      <c r="R118" s="274" t="s">
        <v>73</v>
      </c>
      <c r="S118" s="274" t="s">
        <v>74</v>
      </c>
      <c r="T118" s="274" t="s">
        <v>25</v>
      </c>
      <c r="U118" s="13"/>
      <c r="V118" s="13"/>
      <c r="W118" s="13"/>
      <c r="X118" s="13"/>
      <c r="Y118" s="13"/>
      <c r="Z118" s="13"/>
    </row>
    <row r="119" spans="2:27" x14ac:dyDescent="0.25">
      <c r="B119" s="136" t="s">
        <v>170</v>
      </c>
      <c r="C119" s="316">
        <v>23</v>
      </c>
      <c r="D119" s="316">
        <v>18</v>
      </c>
      <c r="E119" s="316">
        <v>41</v>
      </c>
      <c r="F119" s="316">
        <v>45</v>
      </c>
      <c r="G119" s="316">
        <v>25</v>
      </c>
      <c r="H119" s="316">
        <v>70</v>
      </c>
      <c r="I119" s="316">
        <v>8</v>
      </c>
      <c r="J119" s="316">
        <v>3</v>
      </c>
      <c r="K119" s="316">
        <v>11</v>
      </c>
      <c r="L119" s="316">
        <v>3</v>
      </c>
      <c r="M119" s="316">
        <v>4</v>
      </c>
      <c r="N119" s="320">
        <v>7</v>
      </c>
      <c r="O119" s="307">
        <v>0</v>
      </c>
      <c r="P119" s="307">
        <v>0</v>
      </c>
      <c r="Q119" s="307">
        <v>0</v>
      </c>
      <c r="R119" s="282">
        <v>79</v>
      </c>
      <c r="S119" s="282">
        <v>50</v>
      </c>
      <c r="T119" s="282">
        <v>129</v>
      </c>
      <c r="U119" s="13"/>
      <c r="V119" s="13"/>
      <c r="W119" s="13"/>
      <c r="X119" s="13"/>
      <c r="Y119" s="13"/>
      <c r="Z119" s="13"/>
      <c r="AA119" s="13"/>
    </row>
    <row r="120" spans="2:27" x14ac:dyDescent="0.25">
      <c r="B120" s="136" t="s">
        <v>171</v>
      </c>
      <c r="C120" s="316">
        <v>29</v>
      </c>
      <c r="D120" s="316">
        <v>28</v>
      </c>
      <c r="E120" s="316">
        <v>57</v>
      </c>
      <c r="F120" s="316">
        <v>15</v>
      </c>
      <c r="G120" s="316">
        <v>14</v>
      </c>
      <c r="H120" s="316">
        <v>29</v>
      </c>
      <c r="I120" s="316">
        <v>10</v>
      </c>
      <c r="J120" s="316">
        <v>2</v>
      </c>
      <c r="K120" s="316">
        <v>12</v>
      </c>
      <c r="L120" s="316">
        <v>4</v>
      </c>
      <c r="M120" s="316">
        <v>1</v>
      </c>
      <c r="N120" s="320">
        <v>5</v>
      </c>
      <c r="O120" s="307">
        <v>0</v>
      </c>
      <c r="P120" s="307">
        <v>0</v>
      </c>
      <c r="Q120" s="307">
        <v>0</v>
      </c>
      <c r="R120" s="282">
        <v>58</v>
      </c>
      <c r="S120" s="282">
        <v>45</v>
      </c>
      <c r="T120" s="282">
        <v>103</v>
      </c>
      <c r="U120" s="13"/>
      <c r="V120" s="13"/>
      <c r="W120" s="13"/>
      <c r="X120" s="13"/>
      <c r="Y120" s="13"/>
      <c r="Z120" s="13"/>
      <c r="AA120" s="13"/>
    </row>
    <row r="121" spans="2:27" x14ac:dyDescent="0.25">
      <c r="B121" s="136" t="s">
        <v>172</v>
      </c>
      <c r="C121" s="316">
        <v>8</v>
      </c>
      <c r="D121" s="316">
        <v>9</v>
      </c>
      <c r="E121" s="316">
        <v>17</v>
      </c>
      <c r="F121" s="316">
        <v>8</v>
      </c>
      <c r="G121" s="316">
        <v>7</v>
      </c>
      <c r="H121" s="316">
        <v>15</v>
      </c>
      <c r="I121" s="316">
        <v>2</v>
      </c>
      <c r="J121" s="316">
        <v>1</v>
      </c>
      <c r="K121" s="316">
        <v>3</v>
      </c>
      <c r="L121" s="316">
        <v>1</v>
      </c>
      <c r="M121" s="316">
        <v>2</v>
      </c>
      <c r="N121" s="320">
        <v>3</v>
      </c>
      <c r="O121" s="307">
        <v>0</v>
      </c>
      <c r="P121" s="307">
        <v>0</v>
      </c>
      <c r="Q121" s="307">
        <v>0</v>
      </c>
      <c r="R121" s="282">
        <v>19</v>
      </c>
      <c r="S121" s="282">
        <v>19</v>
      </c>
      <c r="T121" s="282">
        <v>38</v>
      </c>
      <c r="U121" s="13"/>
      <c r="V121" s="13"/>
      <c r="W121" s="13"/>
      <c r="X121" s="13"/>
      <c r="Y121" s="13"/>
      <c r="Z121" s="13"/>
      <c r="AA121" s="13"/>
    </row>
    <row r="122" spans="2:27" x14ac:dyDescent="0.25">
      <c r="B122" s="136" t="s">
        <v>173</v>
      </c>
      <c r="C122" s="316">
        <v>32</v>
      </c>
      <c r="D122" s="316">
        <v>25</v>
      </c>
      <c r="E122" s="316">
        <v>57</v>
      </c>
      <c r="F122" s="316">
        <v>28</v>
      </c>
      <c r="G122" s="316">
        <v>16</v>
      </c>
      <c r="H122" s="316">
        <v>44</v>
      </c>
      <c r="I122" s="316">
        <v>15</v>
      </c>
      <c r="J122" s="316">
        <v>2</v>
      </c>
      <c r="K122" s="316">
        <v>17</v>
      </c>
      <c r="L122" s="316">
        <v>14</v>
      </c>
      <c r="M122" s="316">
        <v>9</v>
      </c>
      <c r="N122" s="320">
        <v>23</v>
      </c>
      <c r="O122" s="307">
        <v>0</v>
      </c>
      <c r="P122" s="307">
        <v>0</v>
      </c>
      <c r="Q122" s="307">
        <v>0</v>
      </c>
      <c r="R122" s="282">
        <v>89</v>
      </c>
      <c r="S122" s="282">
        <v>52</v>
      </c>
      <c r="T122" s="282">
        <v>141</v>
      </c>
      <c r="U122" s="13"/>
      <c r="V122" s="13"/>
      <c r="W122" s="13"/>
      <c r="X122" s="13"/>
      <c r="Y122" s="13"/>
      <c r="Z122" s="13"/>
      <c r="AA122" s="13"/>
    </row>
    <row r="123" spans="2:27" x14ac:dyDescent="0.25">
      <c r="B123" s="136" t="s">
        <v>174</v>
      </c>
      <c r="C123" s="316">
        <v>33</v>
      </c>
      <c r="D123" s="316">
        <v>34</v>
      </c>
      <c r="E123" s="316">
        <v>67</v>
      </c>
      <c r="F123" s="316">
        <v>24</v>
      </c>
      <c r="G123" s="316">
        <v>21</v>
      </c>
      <c r="H123" s="316">
        <v>45</v>
      </c>
      <c r="I123" s="316">
        <v>13</v>
      </c>
      <c r="J123" s="316">
        <v>6</v>
      </c>
      <c r="K123" s="316">
        <v>19</v>
      </c>
      <c r="L123" s="316">
        <v>9</v>
      </c>
      <c r="M123" s="316">
        <v>7</v>
      </c>
      <c r="N123" s="320">
        <v>16</v>
      </c>
      <c r="O123" s="307">
        <v>0</v>
      </c>
      <c r="P123" s="307">
        <v>0</v>
      </c>
      <c r="Q123" s="307">
        <v>0</v>
      </c>
      <c r="R123" s="282">
        <v>79</v>
      </c>
      <c r="S123" s="282">
        <v>68</v>
      </c>
      <c r="T123" s="282">
        <v>147</v>
      </c>
      <c r="U123" s="13"/>
      <c r="V123" s="13"/>
      <c r="W123" s="13"/>
      <c r="X123" s="13"/>
      <c r="Y123" s="13"/>
      <c r="Z123" s="13"/>
      <c r="AA123" s="13"/>
    </row>
    <row r="124" spans="2:27" x14ac:dyDescent="0.25">
      <c r="B124" s="136" t="s">
        <v>175</v>
      </c>
      <c r="C124" s="316">
        <v>21</v>
      </c>
      <c r="D124" s="316">
        <v>19</v>
      </c>
      <c r="E124" s="316">
        <v>40</v>
      </c>
      <c r="F124" s="316">
        <v>7</v>
      </c>
      <c r="G124" s="316">
        <v>10</v>
      </c>
      <c r="H124" s="316">
        <v>17</v>
      </c>
      <c r="I124" s="316">
        <v>7</v>
      </c>
      <c r="J124" s="316">
        <v>0</v>
      </c>
      <c r="K124" s="316">
        <v>7</v>
      </c>
      <c r="L124" s="316">
        <v>0</v>
      </c>
      <c r="M124" s="316">
        <v>3</v>
      </c>
      <c r="N124" s="320">
        <v>3</v>
      </c>
      <c r="O124" s="307">
        <v>0</v>
      </c>
      <c r="P124" s="307">
        <v>0</v>
      </c>
      <c r="Q124" s="307">
        <v>0</v>
      </c>
      <c r="R124" s="282">
        <v>35</v>
      </c>
      <c r="S124" s="282">
        <v>32</v>
      </c>
      <c r="T124" s="282">
        <v>67</v>
      </c>
      <c r="U124" s="13"/>
      <c r="V124" s="13"/>
      <c r="W124" s="13"/>
      <c r="X124" s="13"/>
      <c r="Y124" s="13"/>
      <c r="Z124" s="13"/>
      <c r="AA124" s="13"/>
    </row>
    <row r="125" spans="2:27" x14ac:dyDescent="0.25">
      <c r="B125" s="136" t="s">
        <v>176</v>
      </c>
      <c r="C125" s="316">
        <v>55</v>
      </c>
      <c r="D125" s="316">
        <v>38</v>
      </c>
      <c r="E125" s="316">
        <v>93</v>
      </c>
      <c r="F125" s="316">
        <v>55</v>
      </c>
      <c r="G125" s="316">
        <v>44</v>
      </c>
      <c r="H125" s="316">
        <v>99</v>
      </c>
      <c r="I125" s="316">
        <v>12</v>
      </c>
      <c r="J125" s="316">
        <v>3</v>
      </c>
      <c r="K125" s="316">
        <v>15</v>
      </c>
      <c r="L125" s="316">
        <v>7</v>
      </c>
      <c r="M125" s="316">
        <v>7</v>
      </c>
      <c r="N125" s="320">
        <v>14</v>
      </c>
      <c r="O125" s="307">
        <v>0</v>
      </c>
      <c r="P125" s="307">
        <v>0</v>
      </c>
      <c r="Q125" s="307">
        <v>0</v>
      </c>
      <c r="R125" s="282">
        <v>129</v>
      </c>
      <c r="S125" s="282">
        <v>92</v>
      </c>
      <c r="T125" s="282">
        <v>221</v>
      </c>
      <c r="U125" s="13"/>
      <c r="V125" s="13"/>
      <c r="W125" s="13"/>
      <c r="X125" s="13"/>
      <c r="Y125" s="13"/>
      <c r="Z125" s="13"/>
      <c r="AA125" s="13"/>
    </row>
    <row r="126" spans="2:27" x14ac:dyDescent="0.25">
      <c r="B126" s="136" t="s">
        <v>177</v>
      </c>
      <c r="C126" s="316">
        <v>27</v>
      </c>
      <c r="D126" s="316">
        <v>19</v>
      </c>
      <c r="E126" s="316">
        <v>46</v>
      </c>
      <c r="F126" s="316">
        <v>25</v>
      </c>
      <c r="G126" s="316">
        <v>12</v>
      </c>
      <c r="H126" s="316">
        <v>37</v>
      </c>
      <c r="I126" s="316">
        <v>9</v>
      </c>
      <c r="J126" s="316">
        <v>5</v>
      </c>
      <c r="K126" s="316">
        <v>14</v>
      </c>
      <c r="L126" s="316">
        <v>3</v>
      </c>
      <c r="M126" s="316">
        <v>5</v>
      </c>
      <c r="N126" s="320">
        <v>8</v>
      </c>
      <c r="O126" s="307">
        <v>0</v>
      </c>
      <c r="P126" s="307">
        <v>0</v>
      </c>
      <c r="Q126" s="307">
        <v>0</v>
      </c>
      <c r="R126" s="282">
        <v>64</v>
      </c>
      <c r="S126" s="282">
        <v>41</v>
      </c>
      <c r="T126" s="282">
        <v>105</v>
      </c>
      <c r="U126" s="13"/>
      <c r="V126" s="13"/>
      <c r="W126" s="13"/>
      <c r="X126" s="13"/>
      <c r="Y126" s="13"/>
      <c r="Z126" s="13"/>
      <c r="AA126" s="13"/>
    </row>
    <row r="127" spans="2:27" x14ac:dyDescent="0.25">
      <c r="B127" s="136" t="s">
        <v>178</v>
      </c>
      <c r="C127" s="316">
        <v>37</v>
      </c>
      <c r="D127" s="316">
        <v>27</v>
      </c>
      <c r="E127" s="316">
        <v>64</v>
      </c>
      <c r="F127" s="316">
        <v>14</v>
      </c>
      <c r="G127" s="316">
        <v>17</v>
      </c>
      <c r="H127" s="316">
        <v>31</v>
      </c>
      <c r="I127" s="316">
        <v>10</v>
      </c>
      <c r="J127" s="316">
        <v>5</v>
      </c>
      <c r="K127" s="316">
        <v>15</v>
      </c>
      <c r="L127" s="316">
        <v>6</v>
      </c>
      <c r="M127" s="316">
        <v>6</v>
      </c>
      <c r="N127" s="320">
        <v>12</v>
      </c>
      <c r="O127" s="307">
        <v>0</v>
      </c>
      <c r="P127" s="307">
        <v>0</v>
      </c>
      <c r="Q127" s="307">
        <v>0</v>
      </c>
      <c r="R127" s="282">
        <v>67</v>
      </c>
      <c r="S127" s="282">
        <v>55</v>
      </c>
      <c r="T127" s="282">
        <v>122</v>
      </c>
      <c r="U127" s="13"/>
      <c r="V127" s="13"/>
      <c r="W127" s="13"/>
      <c r="X127" s="13"/>
      <c r="Y127" s="13"/>
      <c r="Z127" s="13"/>
      <c r="AA127" s="13"/>
    </row>
    <row r="128" spans="2:27" x14ac:dyDescent="0.25">
      <c r="B128" s="136" t="s">
        <v>179</v>
      </c>
      <c r="C128" s="316">
        <v>25</v>
      </c>
      <c r="D128" s="316">
        <v>19</v>
      </c>
      <c r="E128" s="316">
        <v>44</v>
      </c>
      <c r="F128" s="316">
        <v>9</v>
      </c>
      <c r="G128" s="316">
        <v>10</v>
      </c>
      <c r="H128" s="316">
        <v>19</v>
      </c>
      <c r="I128" s="316">
        <v>8</v>
      </c>
      <c r="J128" s="316">
        <v>4</v>
      </c>
      <c r="K128" s="316">
        <v>12</v>
      </c>
      <c r="L128" s="316">
        <v>7</v>
      </c>
      <c r="M128" s="316">
        <v>5</v>
      </c>
      <c r="N128" s="320">
        <v>12</v>
      </c>
      <c r="O128" s="307">
        <v>0</v>
      </c>
      <c r="P128" s="307">
        <v>0</v>
      </c>
      <c r="Q128" s="307">
        <v>0</v>
      </c>
      <c r="R128" s="282">
        <v>49</v>
      </c>
      <c r="S128" s="282">
        <v>38</v>
      </c>
      <c r="T128" s="282">
        <v>87</v>
      </c>
      <c r="U128" s="13"/>
      <c r="V128" s="13"/>
      <c r="W128" s="13"/>
      <c r="X128" s="13"/>
      <c r="Y128" s="13"/>
      <c r="Z128" s="13"/>
      <c r="AA128" s="13"/>
    </row>
    <row r="129" spans="2:27" x14ac:dyDescent="0.25">
      <c r="B129" s="136" t="s">
        <v>180</v>
      </c>
      <c r="C129" s="316">
        <v>2</v>
      </c>
      <c r="D129" s="316">
        <v>7</v>
      </c>
      <c r="E129" s="316">
        <v>9</v>
      </c>
      <c r="F129" s="316">
        <v>7</v>
      </c>
      <c r="G129" s="316">
        <v>2</v>
      </c>
      <c r="H129" s="316">
        <v>9</v>
      </c>
      <c r="I129" s="316">
        <v>0</v>
      </c>
      <c r="J129" s="316">
        <v>0</v>
      </c>
      <c r="K129" s="316">
        <v>0</v>
      </c>
      <c r="L129" s="316">
        <v>0</v>
      </c>
      <c r="M129" s="316">
        <v>1</v>
      </c>
      <c r="N129" s="320">
        <v>1</v>
      </c>
      <c r="O129" s="307">
        <v>0</v>
      </c>
      <c r="P129" s="307">
        <v>0</v>
      </c>
      <c r="Q129" s="307">
        <v>0</v>
      </c>
      <c r="R129" s="282">
        <v>9</v>
      </c>
      <c r="S129" s="282">
        <v>10</v>
      </c>
      <c r="T129" s="282">
        <v>19</v>
      </c>
      <c r="U129" s="13"/>
      <c r="V129" s="13"/>
      <c r="W129" s="13"/>
      <c r="X129" s="13"/>
      <c r="Y129" s="13"/>
      <c r="Z129" s="13"/>
      <c r="AA129" s="13"/>
    </row>
    <row r="130" spans="2:27" x14ac:dyDescent="0.25">
      <c r="B130" s="136" t="s">
        <v>181</v>
      </c>
      <c r="C130" s="316">
        <v>2</v>
      </c>
      <c r="D130" s="316">
        <v>1</v>
      </c>
      <c r="E130" s="316">
        <v>3</v>
      </c>
      <c r="F130" s="316">
        <v>1</v>
      </c>
      <c r="G130" s="316">
        <v>0</v>
      </c>
      <c r="H130" s="316">
        <v>1</v>
      </c>
      <c r="I130" s="316">
        <v>0</v>
      </c>
      <c r="J130" s="316">
        <v>0</v>
      </c>
      <c r="K130" s="316">
        <v>0</v>
      </c>
      <c r="L130" s="316">
        <v>0</v>
      </c>
      <c r="M130" s="316">
        <v>0</v>
      </c>
      <c r="N130" s="320">
        <v>0</v>
      </c>
      <c r="O130" s="307">
        <v>0</v>
      </c>
      <c r="P130" s="307">
        <v>0</v>
      </c>
      <c r="Q130" s="307">
        <v>0</v>
      </c>
      <c r="R130" s="282">
        <v>3</v>
      </c>
      <c r="S130" s="282">
        <v>1</v>
      </c>
      <c r="T130" s="282">
        <v>4</v>
      </c>
      <c r="U130" s="13"/>
      <c r="V130" s="13"/>
      <c r="W130" s="13"/>
      <c r="X130" s="13"/>
      <c r="Y130" s="13"/>
      <c r="Z130" s="13"/>
      <c r="AA130" s="13"/>
    </row>
    <row r="131" spans="2:27" x14ac:dyDescent="0.25">
      <c r="B131" s="136" t="s">
        <v>182</v>
      </c>
      <c r="C131" s="316">
        <v>65</v>
      </c>
      <c r="D131" s="316">
        <v>51</v>
      </c>
      <c r="E131" s="316">
        <v>116</v>
      </c>
      <c r="F131" s="316">
        <v>41</v>
      </c>
      <c r="G131" s="316">
        <v>31</v>
      </c>
      <c r="H131" s="316">
        <v>72</v>
      </c>
      <c r="I131" s="316">
        <v>28</v>
      </c>
      <c r="J131" s="316">
        <v>10</v>
      </c>
      <c r="K131" s="316">
        <v>38</v>
      </c>
      <c r="L131" s="316">
        <v>15</v>
      </c>
      <c r="M131" s="316">
        <v>10</v>
      </c>
      <c r="N131" s="320">
        <v>25</v>
      </c>
      <c r="O131" s="307">
        <v>0</v>
      </c>
      <c r="P131" s="307">
        <v>0</v>
      </c>
      <c r="Q131" s="307">
        <v>0</v>
      </c>
      <c r="R131" s="282">
        <v>149</v>
      </c>
      <c r="S131" s="282">
        <v>102</v>
      </c>
      <c r="T131" s="282">
        <v>251</v>
      </c>
      <c r="U131" s="13"/>
      <c r="V131" s="13"/>
      <c r="W131" s="13"/>
      <c r="X131" s="13"/>
      <c r="Y131" s="13"/>
      <c r="Z131" s="13"/>
      <c r="AA131" s="13"/>
    </row>
    <row r="132" spans="2:27" x14ac:dyDescent="0.25">
      <c r="B132" s="136" t="s">
        <v>183</v>
      </c>
      <c r="C132" s="316">
        <v>18</v>
      </c>
      <c r="D132" s="316">
        <v>22</v>
      </c>
      <c r="E132" s="316">
        <v>40</v>
      </c>
      <c r="F132" s="316">
        <v>26</v>
      </c>
      <c r="G132" s="316">
        <v>6</v>
      </c>
      <c r="H132" s="316">
        <v>32</v>
      </c>
      <c r="I132" s="316">
        <v>5</v>
      </c>
      <c r="J132" s="316">
        <v>0</v>
      </c>
      <c r="K132" s="316">
        <v>5</v>
      </c>
      <c r="L132" s="316">
        <v>4</v>
      </c>
      <c r="M132" s="316">
        <v>4</v>
      </c>
      <c r="N132" s="320">
        <v>8</v>
      </c>
      <c r="O132" s="307">
        <v>0</v>
      </c>
      <c r="P132" s="307">
        <v>0</v>
      </c>
      <c r="Q132" s="307">
        <v>0</v>
      </c>
      <c r="R132" s="282">
        <v>53</v>
      </c>
      <c r="S132" s="282">
        <v>32</v>
      </c>
      <c r="T132" s="282">
        <v>85</v>
      </c>
      <c r="U132" s="13"/>
      <c r="V132" s="13"/>
      <c r="W132" s="13"/>
      <c r="X132" s="13"/>
      <c r="Y132" s="13"/>
      <c r="Z132" s="13"/>
      <c r="AA132" s="13"/>
    </row>
    <row r="133" spans="2:27" x14ac:dyDescent="0.25">
      <c r="B133" s="136" t="s">
        <v>184</v>
      </c>
      <c r="C133" s="316">
        <v>52</v>
      </c>
      <c r="D133" s="316">
        <v>50</v>
      </c>
      <c r="E133" s="316">
        <v>102</v>
      </c>
      <c r="F133" s="316">
        <v>28</v>
      </c>
      <c r="G133" s="316">
        <v>24</v>
      </c>
      <c r="H133" s="316">
        <v>52</v>
      </c>
      <c r="I133" s="316">
        <v>18</v>
      </c>
      <c r="J133" s="316">
        <v>8</v>
      </c>
      <c r="K133" s="316">
        <v>26</v>
      </c>
      <c r="L133" s="316">
        <v>8</v>
      </c>
      <c r="M133" s="316">
        <v>11</v>
      </c>
      <c r="N133" s="320">
        <v>19</v>
      </c>
      <c r="O133" s="307">
        <v>0</v>
      </c>
      <c r="P133" s="307">
        <v>0</v>
      </c>
      <c r="Q133" s="307">
        <v>0</v>
      </c>
      <c r="R133" s="282">
        <v>106</v>
      </c>
      <c r="S133" s="282">
        <v>93</v>
      </c>
      <c r="T133" s="282">
        <v>199</v>
      </c>
      <c r="U133" s="13"/>
      <c r="V133" s="13"/>
      <c r="W133" s="13"/>
      <c r="X133" s="13"/>
      <c r="Y133" s="13"/>
      <c r="Z133" s="13"/>
      <c r="AA133" s="13"/>
    </row>
    <row r="134" spans="2:27" x14ac:dyDescent="0.25">
      <c r="B134" s="136" t="s">
        <v>185</v>
      </c>
      <c r="C134" s="316">
        <v>50</v>
      </c>
      <c r="D134" s="316">
        <v>51</v>
      </c>
      <c r="E134" s="316">
        <v>101</v>
      </c>
      <c r="F134" s="316">
        <v>37</v>
      </c>
      <c r="G134" s="316">
        <v>30</v>
      </c>
      <c r="H134" s="316">
        <v>67</v>
      </c>
      <c r="I134" s="316">
        <v>21</v>
      </c>
      <c r="J134" s="316">
        <v>4</v>
      </c>
      <c r="K134" s="316">
        <v>25</v>
      </c>
      <c r="L134" s="316">
        <v>7</v>
      </c>
      <c r="M134" s="316">
        <v>13</v>
      </c>
      <c r="N134" s="320">
        <v>20</v>
      </c>
      <c r="O134" s="307">
        <v>0</v>
      </c>
      <c r="P134" s="307">
        <v>0</v>
      </c>
      <c r="Q134" s="307">
        <v>0</v>
      </c>
      <c r="R134" s="282">
        <v>115</v>
      </c>
      <c r="S134" s="282">
        <v>98</v>
      </c>
      <c r="T134" s="282">
        <v>213</v>
      </c>
      <c r="U134" s="13"/>
      <c r="V134" s="13"/>
      <c r="W134" s="13"/>
      <c r="X134" s="13"/>
      <c r="Y134" s="13"/>
      <c r="Z134" s="13"/>
      <c r="AA134" s="13"/>
    </row>
    <row r="135" spans="2:27" x14ac:dyDescent="0.25">
      <c r="B135" s="136" t="s">
        <v>186</v>
      </c>
      <c r="C135" s="316">
        <v>18</v>
      </c>
      <c r="D135" s="316">
        <v>25</v>
      </c>
      <c r="E135" s="316">
        <v>43</v>
      </c>
      <c r="F135" s="316">
        <v>18</v>
      </c>
      <c r="G135" s="316">
        <v>12</v>
      </c>
      <c r="H135" s="316">
        <v>30</v>
      </c>
      <c r="I135" s="316">
        <v>12</v>
      </c>
      <c r="J135" s="316">
        <v>3</v>
      </c>
      <c r="K135" s="316">
        <v>15</v>
      </c>
      <c r="L135" s="316">
        <v>6</v>
      </c>
      <c r="M135" s="316">
        <v>5</v>
      </c>
      <c r="N135" s="320">
        <v>11</v>
      </c>
      <c r="O135" s="307">
        <v>0</v>
      </c>
      <c r="P135" s="307">
        <v>0</v>
      </c>
      <c r="Q135" s="307">
        <v>0</v>
      </c>
      <c r="R135" s="282">
        <v>54</v>
      </c>
      <c r="S135" s="282">
        <v>45</v>
      </c>
      <c r="T135" s="282">
        <v>99</v>
      </c>
      <c r="U135" s="13"/>
      <c r="V135" s="13"/>
      <c r="W135" s="13"/>
      <c r="X135" s="13"/>
      <c r="Y135" s="13"/>
      <c r="Z135" s="13"/>
      <c r="AA135" s="13"/>
    </row>
    <row r="136" spans="2:27" x14ac:dyDescent="0.25">
      <c r="B136" s="136" t="s">
        <v>187</v>
      </c>
      <c r="C136" s="316">
        <v>73</v>
      </c>
      <c r="D136" s="316">
        <v>71</v>
      </c>
      <c r="E136" s="316">
        <v>144</v>
      </c>
      <c r="F136" s="316">
        <v>67</v>
      </c>
      <c r="G136" s="316">
        <v>49</v>
      </c>
      <c r="H136" s="316">
        <v>116</v>
      </c>
      <c r="I136" s="316">
        <v>28</v>
      </c>
      <c r="J136" s="316">
        <v>7</v>
      </c>
      <c r="K136" s="316">
        <v>35</v>
      </c>
      <c r="L136" s="316">
        <v>15</v>
      </c>
      <c r="M136" s="316">
        <v>7</v>
      </c>
      <c r="N136" s="320">
        <v>22</v>
      </c>
      <c r="O136" s="307">
        <v>0</v>
      </c>
      <c r="P136" s="307">
        <v>0</v>
      </c>
      <c r="Q136" s="307">
        <v>0</v>
      </c>
      <c r="R136" s="282">
        <v>183</v>
      </c>
      <c r="S136" s="282">
        <v>134</v>
      </c>
      <c r="T136" s="282">
        <v>317</v>
      </c>
      <c r="U136" s="13"/>
      <c r="V136" s="13"/>
      <c r="W136" s="13"/>
      <c r="X136" s="13"/>
      <c r="Y136" s="13"/>
      <c r="Z136" s="13"/>
      <c r="AA136" s="13"/>
    </row>
    <row r="137" spans="2:27" x14ac:dyDescent="0.25">
      <c r="B137" s="136" t="s">
        <v>188</v>
      </c>
      <c r="C137" s="316">
        <v>28</v>
      </c>
      <c r="D137" s="316">
        <v>22</v>
      </c>
      <c r="E137" s="316">
        <v>50</v>
      </c>
      <c r="F137" s="316">
        <v>21</v>
      </c>
      <c r="G137" s="316">
        <v>13</v>
      </c>
      <c r="H137" s="316">
        <v>34</v>
      </c>
      <c r="I137" s="316">
        <v>9</v>
      </c>
      <c r="J137" s="316">
        <v>2</v>
      </c>
      <c r="K137" s="316">
        <v>11</v>
      </c>
      <c r="L137" s="316">
        <v>1</v>
      </c>
      <c r="M137" s="316">
        <v>3</v>
      </c>
      <c r="N137" s="320">
        <v>4</v>
      </c>
      <c r="O137" s="307">
        <v>0</v>
      </c>
      <c r="P137" s="307">
        <v>0</v>
      </c>
      <c r="Q137" s="307">
        <v>0</v>
      </c>
      <c r="R137" s="282">
        <v>59</v>
      </c>
      <c r="S137" s="282">
        <v>40</v>
      </c>
      <c r="T137" s="282">
        <v>99</v>
      </c>
      <c r="U137" s="13"/>
      <c r="V137" s="13"/>
      <c r="W137" s="13"/>
      <c r="X137" s="13"/>
      <c r="Y137" s="13"/>
      <c r="Z137" s="13"/>
      <c r="AA137" s="13"/>
    </row>
    <row r="138" spans="2:27" x14ac:dyDescent="0.25">
      <c r="B138" s="136" t="s">
        <v>189</v>
      </c>
      <c r="C138" s="316">
        <v>23</v>
      </c>
      <c r="D138" s="316">
        <v>19</v>
      </c>
      <c r="E138" s="316">
        <v>42</v>
      </c>
      <c r="F138" s="316">
        <v>16</v>
      </c>
      <c r="G138" s="316">
        <v>16</v>
      </c>
      <c r="H138" s="316">
        <v>32</v>
      </c>
      <c r="I138" s="316">
        <v>8</v>
      </c>
      <c r="J138" s="316">
        <v>2</v>
      </c>
      <c r="K138" s="316">
        <v>10</v>
      </c>
      <c r="L138" s="316">
        <v>4</v>
      </c>
      <c r="M138" s="316">
        <v>2</v>
      </c>
      <c r="N138" s="320">
        <v>6</v>
      </c>
      <c r="O138" s="307">
        <v>0</v>
      </c>
      <c r="P138" s="307">
        <v>0</v>
      </c>
      <c r="Q138" s="307">
        <v>0</v>
      </c>
      <c r="R138" s="282">
        <v>51</v>
      </c>
      <c r="S138" s="282">
        <v>39</v>
      </c>
      <c r="T138" s="282">
        <v>90</v>
      </c>
      <c r="U138" s="13"/>
      <c r="V138" s="13"/>
      <c r="W138" s="13"/>
      <c r="X138" s="13"/>
      <c r="Y138" s="13"/>
      <c r="Z138" s="13"/>
      <c r="AA138" s="13"/>
    </row>
    <row r="139" spans="2:27" x14ac:dyDescent="0.25">
      <c r="B139" s="136" t="s">
        <v>190</v>
      </c>
      <c r="C139" s="316">
        <v>9</v>
      </c>
      <c r="D139" s="316">
        <v>10</v>
      </c>
      <c r="E139" s="316">
        <v>19</v>
      </c>
      <c r="F139" s="316">
        <v>8</v>
      </c>
      <c r="G139" s="316">
        <v>3</v>
      </c>
      <c r="H139" s="316">
        <v>11</v>
      </c>
      <c r="I139" s="316">
        <v>3</v>
      </c>
      <c r="J139" s="316">
        <v>1</v>
      </c>
      <c r="K139" s="316">
        <v>4</v>
      </c>
      <c r="L139" s="316">
        <v>1</v>
      </c>
      <c r="M139" s="316">
        <v>0</v>
      </c>
      <c r="N139" s="320">
        <v>1</v>
      </c>
      <c r="O139" s="307">
        <v>0</v>
      </c>
      <c r="P139" s="307">
        <v>0</v>
      </c>
      <c r="Q139" s="307">
        <v>0</v>
      </c>
      <c r="R139" s="282">
        <v>21</v>
      </c>
      <c r="S139" s="282">
        <v>14</v>
      </c>
      <c r="T139" s="282">
        <v>35</v>
      </c>
      <c r="U139" s="13"/>
      <c r="V139" s="13"/>
      <c r="W139" s="13"/>
      <c r="X139" s="13"/>
      <c r="Y139" s="13"/>
      <c r="Z139" s="13"/>
      <c r="AA139" s="13"/>
    </row>
    <row r="140" spans="2:27" x14ac:dyDescent="0.25">
      <c r="B140" s="136" t="s">
        <v>191</v>
      </c>
      <c r="C140" s="316">
        <v>14</v>
      </c>
      <c r="D140" s="316">
        <v>12</v>
      </c>
      <c r="E140" s="316">
        <v>26</v>
      </c>
      <c r="F140" s="316">
        <v>10</v>
      </c>
      <c r="G140" s="316">
        <v>6</v>
      </c>
      <c r="H140" s="316">
        <v>16</v>
      </c>
      <c r="I140" s="316">
        <v>3</v>
      </c>
      <c r="J140" s="316">
        <v>1</v>
      </c>
      <c r="K140" s="316">
        <v>4</v>
      </c>
      <c r="L140" s="316">
        <v>2</v>
      </c>
      <c r="M140" s="316">
        <v>1</v>
      </c>
      <c r="N140" s="320">
        <v>3</v>
      </c>
      <c r="O140" s="307">
        <v>0</v>
      </c>
      <c r="P140" s="307">
        <v>0</v>
      </c>
      <c r="Q140" s="307">
        <v>0</v>
      </c>
      <c r="R140" s="282">
        <v>29</v>
      </c>
      <c r="S140" s="282">
        <v>20</v>
      </c>
      <c r="T140" s="282">
        <v>49</v>
      </c>
      <c r="U140" s="13"/>
      <c r="V140" s="13"/>
      <c r="W140" s="13"/>
      <c r="X140" s="13"/>
      <c r="Y140" s="13"/>
      <c r="Z140" s="13"/>
      <c r="AA140" s="13"/>
    </row>
    <row r="141" spans="2:27" x14ac:dyDescent="0.25">
      <c r="B141" s="136" t="s">
        <v>192</v>
      </c>
      <c r="C141" s="316">
        <v>14</v>
      </c>
      <c r="D141" s="316">
        <v>9</v>
      </c>
      <c r="E141" s="316">
        <v>23</v>
      </c>
      <c r="F141" s="316">
        <v>6</v>
      </c>
      <c r="G141" s="316">
        <v>12</v>
      </c>
      <c r="H141" s="316">
        <v>18</v>
      </c>
      <c r="I141" s="316">
        <v>7</v>
      </c>
      <c r="J141" s="316">
        <v>1</v>
      </c>
      <c r="K141" s="316">
        <v>8</v>
      </c>
      <c r="L141" s="316">
        <v>2</v>
      </c>
      <c r="M141" s="316">
        <v>3</v>
      </c>
      <c r="N141" s="320">
        <v>5</v>
      </c>
      <c r="O141" s="307">
        <v>0</v>
      </c>
      <c r="P141" s="307">
        <v>0</v>
      </c>
      <c r="Q141" s="307">
        <v>0</v>
      </c>
      <c r="R141" s="282">
        <v>29</v>
      </c>
      <c r="S141" s="282">
        <v>25</v>
      </c>
      <c r="T141" s="282">
        <v>54</v>
      </c>
      <c r="U141" s="13"/>
      <c r="V141" s="13"/>
      <c r="W141" s="13"/>
      <c r="X141" s="13"/>
      <c r="Y141" s="13"/>
      <c r="Z141" s="13"/>
      <c r="AA141" s="13"/>
    </row>
    <row r="142" spans="2:27" x14ac:dyDescent="0.25">
      <c r="B142" s="136" t="s">
        <v>193</v>
      </c>
      <c r="C142" s="316">
        <v>37</v>
      </c>
      <c r="D142" s="316">
        <v>31</v>
      </c>
      <c r="E142" s="316">
        <v>68</v>
      </c>
      <c r="F142" s="316">
        <v>24</v>
      </c>
      <c r="G142" s="316">
        <v>17</v>
      </c>
      <c r="H142" s="316">
        <v>41</v>
      </c>
      <c r="I142" s="316">
        <v>11</v>
      </c>
      <c r="J142" s="316">
        <v>2</v>
      </c>
      <c r="K142" s="316">
        <v>13</v>
      </c>
      <c r="L142" s="316">
        <v>1</v>
      </c>
      <c r="M142" s="316">
        <v>3</v>
      </c>
      <c r="N142" s="320">
        <v>4</v>
      </c>
      <c r="O142" s="307">
        <v>0</v>
      </c>
      <c r="P142" s="307">
        <v>0</v>
      </c>
      <c r="Q142" s="307">
        <v>0</v>
      </c>
      <c r="R142" s="282">
        <v>73</v>
      </c>
      <c r="S142" s="282">
        <v>53</v>
      </c>
      <c r="T142" s="282">
        <v>126</v>
      </c>
      <c r="U142" s="13"/>
      <c r="V142" s="13"/>
      <c r="W142" s="13"/>
      <c r="X142" s="13"/>
      <c r="Y142" s="13"/>
      <c r="Z142" s="13"/>
      <c r="AA142" s="13"/>
    </row>
    <row r="143" spans="2:27" x14ac:dyDescent="0.25">
      <c r="B143" s="136" t="s">
        <v>194</v>
      </c>
      <c r="C143" s="316">
        <v>26</v>
      </c>
      <c r="D143" s="316">
        <v>18</v>
      </c>
      <c r="E143" s="316">
        <v>44</v>
      </c>
      <c r="F143" s="316">
        <v>9</v>
      </c>
      <c r="G143" s="316">
        <v>15</v>
      </c>
      <c r="H143" s="316">
        <v>24</v>
      </c>
      <c r="I143" s="316">
        <v>8</v>
      </c>
      <c r="J143" s="316">
        <v>6</v>
      </c>
      <c r="K143" s="316">
        <v>14</v>
      </c>
      <c r="L143" s="316">
        <v>2</v>
      </c>
      <c r="M143" s="316">
        <v>2</v>
      </c>
      <c r="N143" s="320">
        <v>4</v>
      </c>
      <c r="O143" s="307">
        <v>0</v>
      </c>
      <c r="P143" s="307">
        <v>0</v>
      </c>
      <c r="Q143" s="307">
        <v>0</v>
      </c>
      <c r="R143" s="282">
        <v>45</v>
      </c>
      <c r="S143" s="282">
        <v>41</v>
      </c>
      <c r="T143" s="282">
        <v>86</v>
      </c>
      <c r="U143" s="13"/>
      <c r="V143" s="13"/>
      <c r="W143" s="13"/>
      <c r="X143" s="13"/>
      <c r="Y143" s="13"/>
      <c r="Z143" s="13"/>
      <c r="AA143" s="13"/>
    </row>
    <row r="144" spans="2:27" x14ac:dyDescent="0.25">
      <c r="B144" s="136" t="s">
        <v>195</v>
      </c>
      <c r="C144" s="316">
        <v>105</v>
      </c>
      <c r="D144" s="316">
        <v>100</v>
      </c>
      <c r="E144" s="316">
        <v>205</v>
      </c>
      <c r="F144" s="316">
        <v>79</v>
      </c>
      <c r="G144" s="316">
        <v>74</v>
      </c>
      <c r="H144" s="316">
        <v>153</v>
      </c>
      <c r="I144" s="316">
        <v>33</v>
      </c>
      <c r="J144" s="316">
        <v>13</v>
      </c>
      <c r="K144" s="316">
        <v>46</v>
      </c>
      <c r="L144" s="316">
        <v>21</v>
      </c>
      <c r="M144" s="316">
        <v>22</v>
      </c>
      <c r="N144" s="320">
        <v>43</v>
      </c>
      <c r="O144" s="307">
        <v>0</v>
      </c>
      <c r="P144" s="307">
        <v>0</v>
      </c>
      <c r="Q144" s="307">
        <v>0</v>
      </c>
      <c r="R144" s="282">
        <v>238</v>
      </c>
      <c r="S144" s="282">
        <v>209</v>
      </c>
      <c r="T144" s="282">
        <v>447</v>
      </c>
      <c r="U144" s="13"/>
      <c r="V144" s="13"/>
      <c r="W144" s="13"/>
      <c r="X144" s="13"/>
      <c r="Y144" s="13"/>
      <c r="Z144" s="13"/>
      <c r="AA144" s="13"/>
    </row>
    <row r="145" spans="2:27" x14ac:dyDescent="0.25">
      <c r="B145" s="136" t="s">
        <v>196</v>
      </c>
      <c r="C145" s="316">
        <v>193</v>
      </c>
      <c r="D145" s="316">
        <v>151</v>
      </c>
      <c r="E145" s="316">
        <v>344</v>
      </c>
      <c r="F145" s="316">
        <v>144</v>
      </c>
      <c r="G145" s="316">
        <v>90</v>
      </c>
      <c r="H145" s="316">
        <v>234</v>
      </c>
      <c r="I145" s="316">
        <v>57</v>
      </c>
      <c r="J145" s="316">
        <v>21</v>
      </c>
      <c r="K145" s="316">
        <v>78</v>
      </c>
      <c r="L145" s="316">
        <v>25</v>
      </c>
      <c r="M145" s="316">
        <v>26</v>
      </c>
      <c r="N145" s="320">
        <v>51</v>
      </c>
      <c r="O145" s="307">
        <v>0</v>
      </c>
      <c r="P145" s="307">
        <v>3</v>
      </c>
      <c r="Q145" s="307">
        <v>3</v>
      </c>
      <c r="R145" s="282">
        <v>419</v>
      </c>
      <c r="S145" s="282">
        <v>291</v>
      </c>
      <c r="T145" s="282">
        <v>710</v>
      </c>
      <c r="U145" s="13"/>
      <c r="V145" s="13"/>
      <c r="W145" s="13"/>
      <c r="X145" s="13"/>
      <c r="Y145" s="13"/>
      <c r="Z145" s="13"/>
      <c r="AA145" s="13"/>
    </row>
    <row r="146" spans="2:27" x14ac:dyDescent="0.25">
      <c r="B146" s="136" t="s">
        <v>197</v>
      </c>
      <c r="C146" s="316">
        <v>34</v>
      </c>
      <c r="D146" s="316">
        <v>40</v>
      </c>
      <c r="E146" s="316">
        <v>74</v>
      </c>
      <c r="F146" s="316">
        <v>29</v>
      </c>
      <c r="G146" s="316">
        <v>17</v>
      </c>
      <c r="H146" s="316">
        <v>46</v>
      </c>
      <c r="I146" s="316">
        <v>14</v>
      </c>
      <c r="J146" s="316">
        <v>6</v>
      </c>
      <c r="K146" s="316">
        <v>20</v>
      </c>
      <c r="L146" s="316">
        <v>10</v>
      </c>
      <c r="M146" s="316">
        <v>8</v>
      </c>
      <c r="N146" s="320">
        <v>18</v>
      </c>
      <c r="O146" s="307">
        <v>0</v>
      </c>
      <c r="P146" s="307">
        <v>0</v>
      </c>
      <c r="Q146" s="307">
        <v>0</v>
      </c>
      <c r="R146" s="282">
        <v>87</v>
      </c>
      <c r="S146" s="282">
        <v>71</v>
      </c>
      <c r="T146" s="282">
        <v>158</v>
      </c>
      <c r="U146" s="13"/>
      <c r="V146" s="13"/>
      <c r="W146" s="13"/>
      <c r="X146" s="13"/>
      <c r="Y146" s="13"/>
      <c r="Z146" s="13"/>
      <c r="AA146" s="13"/>
    </row>
    <row r="147" spans="2:27" x14ac:dyDescent="0.25">
      <c r="B147" s="136" t="s">
        <v>198</v>
      </c>
      <c r="C147" s="316">
        <v>7</v>
      </c>
      <c r="D147" s="316">
        <v>9</v>
      </c>
      <c r="E147" s="316">
        <v>16</v>
      </c>
      <c r="F147" s="316">
        <v>5</v>
      </c>
      <c r="G147" s="316">
        <v>8</v>
      </c>
      <c r="H147" s="316">
        <v>13</v>
      </c>
      <c r="I147" s="316">
        <v>5</v>
      </c>
      <c r="J147" s="316">
        <v>1</v>
      </c>
      <c r="K147" s="316">
        <v>6</v>
      </c>
      <c r="L147" s="316">
        <v>1</v>
      </c>
      <c r="M147" s="316">
        <v>0</v>
      </c>
      <c r="N147" s="320">
        <v>1</v>
      </c>
      <c r="O147" s="307">
        <v>0</v>
      </c>
      <c r="P147" s="307">
        <v>0</v>
      </c>
      <c r="Q147" s="307">
        <v>0</v>
      </c>
      <c r="R147" s="282">
        <v>18</v>
      </c>
      <c r="S147" s="282">
        <v>18</v>
      </c>
      <c r="T147" s="282">
        <v>36</v>
      </c>
      <c r="U147" s="13"/>
      <c r="V147" s="13"/>
      <c r="W147" s="13"/>
      <c r="X147" s="13"/>
      <c r="Y147" s="13"/>
      <c r="Z147" s="13"/>
      <c r="AA147" s="13"/>
    </row>
    <row r="148" spans="2:27" x14ac:dyDescent="0.25">
      <c r="B148" s="136" t="s">
        <v>199</v>
      </c>
      <c r="C148" s="316">
        <v>115</v>
      </c>
      <c r="D148" s="316">
        <v>78</v>
      </c>
      <c r="E148" s="316">
        <v>193</v>
      </c>
      <c r="F148" s="316">
        <v>75</v>
      </c>
      <c r="G148" s="316">
        <v>64</v>
      </c>
      <c r="H148" s="316">
        <v>139</v>
      </c>
      <c r="I148" s="316">
        <v>49</v>
      </c>
      <c r="J148" s="316">
        <v>21</v>
      </c>
      <c r="K148" s="316">
        <v>70</v>
      </c>
      <c r="L148" s="316">
        <v>20</v>
      </c>
      <c r="M148" s="316">
        <v>29</v>
      </c>
      <c r="N148" s="320">
        <v>49</v>
      </c>
      <c r="O148" s="307">
        <v>0</v>
      </c>
      <c r="P148" s="307">
        <v>0</v>
      </c>
      <c r="Q148" s="307">
        <v>0</v>
      </c>
      <c r="R148" s="282">
        <v>259</v>
      </c>
      <c r="S148" s="282">
        <v>192</v>
      </c>
      <c r="T148" s="282">
        <v>451</v>
      </c>
      <c r="U148" s="13"/>
      <c r="V148" s="13"/>
      <c r="W148" s="13"/>
      <c r="X148" s="13"/>
      <c r="Y148" s="13"/>
      <c r="Z148" s="13"/>
      <c r="AA148" s="13"/>
    </row>
    <row r="149" spans="2:27" x14ac:dyDescent="0.25">
      <c r="B149" s="136" t="s">
        <v>200</v>
      </c>
      <c r="C149" s="316">
        <v>22</v>
      </c>
      <c r="D149" s="316">
        <v>19</v>
      </c>
      <c r="E149" s="316">
        <v>41</v>
      </c>
      <c r="F149" s="316">
        <v>13</v>
      </c>
      <c r="G149" s="316">
        <v>10</v>
      </c>
      <c r="H149" s="316">
        <v>23</v>
      </c>
      <c r="I149" s="316">
        <v>10</v>
      </c>
      <c r="J149" s="316">
        <v>2</v>
      </c>
      <c r="K149" s="316">
        <v>12</v>
      </c>
      <c r="L149" s="316">
        <v>2</v>
      </c>
      <c r="M149" s="316">
        <v>3</v>
      </c>
      <c r="N149" s="320">
        <v>5</v>
      </c>
      <c r="O149" s="307">
        <v>0</v>
      </c>
      <c r="P149" s="307">
        <v>0</v>
      </c>
      <c r="Q149" s="307">
        <v>0</v>
      </c>
      <c r="R149" s="282">
        <v>47</v>
      </c>
      <c r="S149" s="282">
        <v>34</v>
      </c>
      <c r="T149" s="282">
        <v>81</v>
      </c>
      <c r="U149" s="13"/>
      <c r="V149" s="13"/>
      <c r="W149" s="13"/>
      <c r="X149" s="13"/>
      <c r="Y149" s="13"/>
      <c r="Z149" s="13"/>
      <c r="AA149" s="13"/>
    </row>
    <row r="150" spans="2:27" x14ac:dyDescent="0.25">
      <c r="B150" s="136" t="s">
        <v>201</v>
      </c>
      <c r="C150" s="316">
        <v>69</v>
      </c>
      <c r="D150" s="316">
        <v>83</v>
      </c>
      <c r="E150" s="316">
        <v>152</v>
      </c>
      <c r="F150" s="316">
        <v>105</v>
      </c>
      <c r="G150" s="316">
        <v>44</v>
      </c>
      <c r="H150" s="316">
        <v>149</v>
      </c>
      <c r="I150" s="316">
        <v>25</v>
      </c>
      <c r="J150" s="316">
        <v>13</v>
      </c>
      <c r="K150" s="316">
        <v>38</v>
      </c>
      <c r="L150" s="316">
        <v>10</v>
      </c>
      <c r="M150" s="316">
        <v>11</v>
      </c>
      <c r="N150" s="320">
        <v>21</v>
      </c>
      <c r="O150" s="307">
        <v>0</v>
      </c>
      <c r="P150" s="307">
        <v>1</v>
      </c>
      <c r="Q150" s="307">
        <v>1</v>
      </c>
      <c r="R150" s="282">
        <v>209</v>
      </c>
      <c r="S150" s="282">
        <v>152</v>
      </c>
      <c r="T150" s="282">
        <v>361</v>
      </c>
      <c r="U150" s="13"/>
      <c r="V150" s="13"/>
      <c r="W150" s="13"/>
      <c r="X150" s="13"/>
      <c r="Y150" s="13"/>
      <c r="Z150" s="13"/>
      <c r="AA150" s="13"/>
    </row>
    <row r="151" spans="2:27" x14ac:dyDescent="0.25">
      <c r="B151" s="136" t="s">
        <v>202</v>
      </c>
      <c r="C151" s="316">
        <v>15</v>
      </c>
      <c r="D151" s="316">
        <v>18</v>
      </c>
      <c r="E151" s="316">
        <v>33</v>
      </c>
      <c r="F151" s="316">
        <v>15</v>
      </c>
      <c r="G151" s="316">
        <v>5</v>
      </c>
      <c r="H151" s="316">
        <v>20</v>
      </c>
      <c r="I151" s="316">
        <v>4</v>
      </c>
      <c r="J151" s="316">
        <v>5</v>
      </c>
      <c r="K151" s="316">
        <v>9</v>
      </c>
      <c r="L151" s="316">
        <v>2</v>
      </c>
      <c r="M151" s="316">
        <v>3</v>
      </c>
      <c r="N151" s="320">
        <v>5</v>
      </c>
      <c r="O151" s="307">
        <v>0</v>
      </c>
      <c r="P151" s="307">
        <v>0</v>
      </c>
      <c r="Q151" s="307">
        <v>0</v>
      </c>
      <c r="R151" s="282">
        <v>36</v>
      </c>
      <c r="S151" s="282">
        <v>31</v>
      </c>
      <c r="T151" s="282">
        <v>67</v>
      </c>
      <c r="U151" s="13"/>
      <c r="V151" s="13"/>
      <c r="W151" s="13"/>
      <c r="X151" s="13"/>
      <c r="Y151" s="13"/>
      <c r="Z151" s="13"/>
      <c r="AA151" s="13"/>
    </row>
    <row r="152" spans="2:27" x14ac:dyDescent="0.25">
      <c r="B152" s="136" t="s">
        <v>203</v>
      </c>
      <c r="C152" s="316">
        <v>12</v>
      </c>
      <c r="D152" s="316">
        <v>15</v>
      </c>
      <c r="E152" s="316">
        <v>27</v>
      </c>
      <c r="F152" s="316">
        <v>15</v>
      </c>
      <c r="G152" s="316">
        <v>11</v>
      </c>
      <c r="H152" s="316">
        <v>26</v>
      </c>
      <c r="I152" s="316">
        <v>3</v>
      </c>
      <c r="J152" s="316">
        <v>1</v>
      </c>
      <c r="K152" s="316">
        <v>4</v>
      </c>
      <c r="L152" s="316">
        <v>0</v>
      </c>
      <c r="M152" s="316">
        <v>2</v>
      </c>
      <c r="N152" s="320">
        <v>2</v>
      </c>
      <c r="O152" s="307">
        <v>0</v>
      </c>
      <c r="P152" s="307">
        <v>0</v>
      </c>
      <c r="Q152" s="307">
        <v>0</v>
      </c>
      <c r="R152" s="282">
        <v>30</v>
      </c>
      <c r="S152" s="282">
        <v>29</v>
      </c>
      <c r="T152" s="282">
        <v>59</v>
      </c>
      <c r="U152" s="13"/>
      <c r="V152" s="13"/>
      <c r="W152" s="13"/>
      <c r="X152" s="13"/>
      <c r="Y152" s="13"/>
      <c r="Z152" s="13"/>
      <c r="AA152" s="13"/>
    </row>
    <row r="153" spans="2:27" x14ac:dyDescent="0.25">
      <c r="B153" s="136" t="s">
        <v>204</v>
      </c>
      <c r="C153" s="316">
        <v>308</v>
      </c>
      <c r="D153" s="316">
        <v>273</v>
      </c>
      <c r="E153" s="316">
        <v>581</v>
      </c>
      <c r="F153" s="316">
        <v>289</v>
      </c>
      <c r="G153" s="316">
        <v>186</v>
      </c>
      <c r="H153" s="316">
        <v>475</v>
      </c>
      <c r="I153" s="316">
        <v>108</v>
      </c>
      <c r="J153" s="316">
        <v>41</v>
      </c>
      <c r="K153" s="316">
        <v>149</v>
      </c>
      <c r="L153" s="316">
        <v>53</v>
      </c>
      <c r="M153" s="316">
        <v>54</v>
      </c>
      <c r="N153" s="320">
        <v>107</v>
      </c>
      <c r="O153" s="307">
        <v>1</v>
      </c>
      <c r="P153" s="307">
        <v>0</v>
      </c>
      <c r="Q153" s="307">
        <v>1</v>
      </c>
      <c r="R153" s="282">
        <v>759</v>
      </c>
      <c r="S153" s="282">
        <v>554</v>
      </c>
      <c r="T153" s="282">
        <v>1313</v>
      </c>
      <c r="U153" s="13"/>
      <c r="V153" s="13"/>
      <c r="W153" s="13"/>
      <c r="X153" s="13"/>
      <c r="Y153" s="13"/>
      <c r="Z153" s="13"/>
      <c r="AA153" s="13"/>
    </row>
    <row r="154" spans="2:27" x14ac:dyDescent="0.25">
      <c r="B154" s="136" t="s">
        <v>205</v>
      </c>
      <c r="C154" s="316">
        <v>159</v>
      </c>
      <c r="D154" s="316">
        <v>105</v>
      </c>
      <c r="E154" s="316">
        <v>264</v>
      </c>
      <c r="F154" s="316">
        <v>112</v>
      </c>
      <c r="G154" s="316">
        <v>95</v>
      </c>
      <c r="H154" s="316">
        <v>207</v>
      </c>
      <c r="I154" s="316">
        <v>57</v>
      </c>
      <c r="J154" s="316">
        <v>19</v>
      </c>
      <c r="K154" s="316">
        <v>76</v>
      </c>
      <c r="L154" s="316">
        <v>22</v>
      </c>
      <c r="M154" s="316">
        <v>24</v>
      </c>
      <c r="N154" s="320">
        <v>46</v>
      </c>
      <c r="O154" s="307">
        <v>0</v>
      </c>
      <c r="P154" s="307">
        <v>0</v>
      </c>
      <c r="Q154" s="307">
        <v>0</v>
      </c>
      <c r="R154" s="282">
        <v>350</v>
      </c>
      <c r="S154" s="282">
        <v>243</v>
      </c>
      <c r="T154" s="282">
        <v>593</v>
      </c>
      <c r="U154" s="13"/>
      <c r="V154" s="13"/>
      <c r="W154" s="13"/>
      <c r="X154" s="13"/>
      <c r="Y154" s="13"/>
      <c r="Z154" s="13"/>
      <c r="AA154" s="13"/>
    </row>
    <row r="155" spans="2:27" x14ac:dyDescent="0.25">
      <c r="B155" s="155" t="s">
        <v>492</v>
      </c>
      <c r="C155" s="317">
        <v>323</v>
      </c>
      <c r="D155" s="317">
        <v>340</v>
      </c>
      <c r="E155" s="317">
        <v>663</v>
      </c>
      <c r="F155" s="317">
        <v>397</v>
      </c>
      <c r="G155" s="317">
        <v>215</v>
      </c>
      <c r="H155" s="317">
        <v>612</v>
      </c>
      <c r="I155" s="317">
        <v>107</v>
      </c>
      <c r="J155" s="317">
        <v>38</v>
      </c>
      <c r="K155" s="317">
        <v>145</v>
      </c>
      <c r="L155" s="317">
        <v>49</v>
      </c>
      <c r="M155" s="317">
        <v>54</v>
      </c>
      <c r="N155" s="321">
        <v>103</v>
      </c>
      <c r="O155" s="307">
        <v>0</v>
      </c>
      <c r="P155" s="307">
        <v>1</v>
      </c>
      <c r="Q155" s="307">
        <v>1</v>
      </c>
      <c r="R155" s="282">
        <v>876</v>
      </c>
      <c r="S155" s="282">
        <v>648</v>
      </c>
      <c r="T155" s="282">
        <v>1524</v>
      </c>
      <c r="U155" s="13"/>
      <c r="V155" s="13"/>
      <c r="W155" s="13"/>
      <c r="X155" s="13"/>
      <c r="Y155" s="13"/>
      <c r="Z155" s="13"/>
      <c r="AA155" s="13"/>
    </row>
    <row r="156" spans="2:27" x14ac:dyDescent="0.25">
      <c r="B156" s="158" t="s">
        <v>206</v>
      </c>
      <c r="C156" s="307">
        <v>11</v>
      </c>
      <c r="D156" s="307">
        <v>18</v>
      </c>
      <c r="E156" s="307">
        <v>29</v>
      </c>
      <c r="F156" s="307">
        <v>9</v>
      </c>
      <c r="G156" s="307">
        <v>5</v>
      </c>
      <c r="H156" s="307">
        <v>14</v>
      </c>
      <c r="I156" s="307">
        <v>2</v>
      </c>
      <c r="J156" s="307">
        <v>0</v>
      </c>
      <c r="K156" s="307">
        <v>2</v>
      </c>
      <c r="L156" s="307">
        <v>1</v>
      </c>
      <c r="M156" s="307">
        <v>1</v>
      </c>
      <c r="N156" s="323">
        <v>2</v>
      </c>
      <c r="O156" s="307">
        <v>0</v>
      </c>
      <c r="P156" s="307">
        <v>0</v>
      </c>
      <c r="Q156" s="307">
        <v>0</v>
      </c>
      <c r="R156" s="282">
        <v>23</v>
      </c>
      <c r="S156" s="282">
        <v>24</v>
      </c>
      <c r="T156" s="282">
        <v>47</v>
      </c>
      <c r="U156" s="13"/>
      <c r="V156" s="13"/>
      <c r="W156" s="13"/>
      <c r="X156" s="13"/>
      <c r="Y156" s="13"/>
      <c r="Z156" s="13"/>
      <c r="AA156" s="13"/>
    </row>
    <row r="157" spans="2:27" x14ac:dyDescent="0.25">
      <c r="B157" s="260" t="s">
        <v>25</v>
      </c>
      <c r="C157" s="282">
        <v>2094</v>
      </c>
      <c r="D157" s="282">
        <v>1884</v>
      </c>
      <c r="E157" s="282">
        <v>3978</v>
      </c>
      <c r="F157" s="282">
        <v>1836</v>
      </c>
      <c r="G157" s="282">
        <v>1236</v>
      </c>
      <c r="H157" s="285">
        <v>3072</v>
      </c>
      <c r="I157" s="282">
        <v>729</v>
      </c>
      <c r="J157" s="285">
        <v>259</v>
      </c>
      <c r="K157" s="282">
        <v>988</v>
      </c>
      <c r="L157" s="285">
        <v>338</v>
      </c>
      <c r="M157" s="282">
        <v>351</v>
      </c>
      <c r="N157" s="322">
        <v>689</v>
      </c>
      <c r="O157" s="285">
        <v>1</v>
      </c>
      <c r="P157" s="285">
        <v>5</v>
      </c>
      <c r="Q157" s="285">
        <v>6</v>
      </c>
      <c r="R157" s="282">
        <v>4998</v>
      </c>
      <c r="S157" s="282">
        <v>3735</v>
      </c>
      <c r="T157" s="282">
        <v>8733</v>
      </c>
      <c r="U157" s="13"/>
      <c r="V157" s="13"/>
      <c r="W157" s="13"/>
      <c r="X157" s="13"/>
      <c r="Y157" s="13"/>
      <c r="Z157" s="13"/>
      <c r="AA157" s="13"/>
    </row>
    <row r="158" spans="2:27" ht="85.5" customHeight="1" x14ac:dyDescent="0.25">
      <c r="B158" s="468" t="s">
        <v>866</v>
      </c>
      <c r="C158" s="468"/>
      <c r="D158" s="468"/>
      <c r="E158" s="468"/>
      <c r="F158" s="468"/>
      <c r="G158" s="468"/>
      <c r="H158" s="468"/>
      <c r="I158" s="468"/>
      <c r="J158" s="468"/>
      <c r="K158" s="468"/>
      <c r="L158" s="468"/>
      <c r="M158" s="468"/>
      <c r="N158" s="468"/>
      <c r="O158" s="468"/>
      <c r="P158" s="468"/>
      <c r="Q158" s="468"/>
      <c r="R158" s="13"/>
      <c r="S158" s="13"/>
      <c r="T158" s="13"/>
      <c r="U158" s="13"/>
      <c r="V158" s="13"/>
      <c r="W158" s="13"/>
    </row>
    <row r="159" spans="2:27" x14ac:dyDescent="0.25">
      <c r="B159" s="157"/>
      <c r="C159" s="157"/>
      <c r="D159" s="157"/>
      <c r="E159" s="157"/>
      <c r="F159" s="157"/>
      <c r="G159"/>
      <c r="H159" s="13"/>
      <c r="I159" s="13"/>
      <c r="J159" s="13"/>
      <c r="K159" s="13"/>
      <c r="L159" s="13"/>
      <c r="M159" s="13"/>
      <c r="N159" s="13"/>
      <c r="O159" s="13"/>
      <c r="P159" s="13"/>
      <c r="Q159" s="13"/>
      <c r="R159" s="13"/>
      <c r="S159" s="13"/>
      <c r="T159" s="13"/>
      <c r="U159" s="13"/>
      <c r="V159" s="13"/>
      <c r="W159" s="13"/>
    </row>
    <row r="160" spans="2:27" x14ac:dyDescent="0.25">
      <c r="B160" s="186" t="s">
        <v>517</v>
      </c>
      <c r="C160"/>
      <c r="D160"/>
      <c r="E160"/>
      <c r="F160"/>
      <c r="G160"/>
      <c r="H160" s="13"/>
      <c r="I160" s="13"/>
      <c r="J160" s="13"/>
      <c r="K160" s="13"/>
      <c r="L160" s="13"/>
      <c r="M160" s="13"/>
      <c r="N160" s="13"/>
      <c r="O160" s="13"/>
      <c r="P160" s="13"/>
      <c r="Q160" s="13"/>
      <c r="R160" s="13"/>
      <c r="S160" s="13"/>
      <c r="T160" s="13"/>
      <c r="U160" s="13"/>
      <c r="V160" s="13"/>
      <c r="W160" s="13"/>
    </row>
    <row r="161" spans="2:27" x14ac:dyDescent="0.25">
      <c r="B161" s="186"/>
      <c r="C161"/>
      <c r="D161"/>
      <c r="E161"/>
      <c r="F161"/>
      <c r="G161"/>
      <c r="H161" s="13"/>
      <c r="I161" s="13"/>
      <c r="J161" s="13"/>
      <c r="K161" s="13"/>
      <c r="L161" s="13"/>
      <c r="M161" s="13"/>
      <c r="N161" s="13"/>
      <c r="O161" s="13"/>
      <c r="P161" s="13"/>
      <c r="Q161" s="13"/>
      <c r="R161" s="13"/>
      <c r="S161" s="13"/>
      <c r="T161" s="13"/>
      <c r="U161" s="13"/>
      <c r="V161" s="13"/>
      <c r="W161" s="13"/>
    </row>
    <row r="162" spans="2:27" ht="15" customHeight="1" x14ac:dyDescent="0.25">
      <c r="B162" s="432" t="s">
        <v>532</v>
      </c>
      <c r="C162" s="476" t="s">
        <v>477</v>
      </c>
      <c r="D162" s="477"/>
      <c r="E162" s="477"/>
      <c r="F162" s="477"/>
      <c r="G162" s="477"/>
      <c r="H162" s="477"/>
      <c r="I162" s="477"/>
      <c r="J162" s="477"/>
      <c r="K162" s="477"/>
      <c r="L162" s="477"/>
      <c r="M162" s="477"/>
      <c r="N162" s="477"/>
      <c r="O162" s="477"/>
      <c r="P162" s="477"/>
      <c r="Q162" s="478"/>
      <c r="R162" s="469" t="s">
        <v>865</v>
      </c>
      <c r="S162" s="470"/>
      <c r="T162" s="471"/>
      <c r="U162" s="13"/>
      <c r="V162" s="13"/>
      <c r="W162" s="13"/>
      <c r="X162" s="13"/>
      <c r="Y162" s="13"/>
      <c r="Z162" s="13"/>
    </row>
    <row r="163" spans="2:27" ht="15" customHeight="1" x14ac:dyDescent="0.25">
      <c r="B163" s="432"/>
      <c r="C163" s="463" t="s">
        <v>849</v>
      </c>
      <c r="D163" s="463"/>
      <c r="E163" s="463"/>
      <c r="F163" s="463" t="s">
        <v>850</v>
      </c>
      <c r="G163" s="463"/>
      <c r="H163" s="463"/>
      <c r="I163" s="463" t="s">
        <v>3</v>
      </c>
      <c r="J163" s="463"/>
      <c r="K163" s="463"/>
      <c r="L163" s="463" t="s">
        <v>5</v>
      </c>
      <c r="M163" s="463"/>
      <c r="N163" s="463"/>
      <c r="O163" s="463" t="s">
        <v>859</v>
      </c>
      <c r="P163" s="463"/>
      <c r="Q163" s="463"/>
      <c r="R163" s="472"/>
      <c r="S163" s="473"/>
      <c r="T163" s="474"/>
      <c r="U163" s="13"/>
      <c r="V163" s="13"/>
      <c r="W163" s="13"/>
      <c r="X163" s="13"/>
      <c r="Y163" s="13"/>
      <c r="Z163" s="13"/>
    </row>
    <row r="164" spans="2:27" ht="15" customHeight="1" x14ac:dyDescent="0.25">
      <c r="B164" s="432"/>
      <c r="C164" s="264" t="s">
        <v>73</v>
      </c>
      <c r="D164" s="264" t="s">
        <v>74</v>
      </c>
      <c r="E164" s="264" t="s">
        <v>25</v>
      </c>
      <c r="F164" s="264" t="s">
        <v>73</v>
      </c>
      <c r="G164" s="264" t="s">
        <v>74</v>
      </c>
      <c r="H164" s="264" t="s">
        <v>25</v>
      </c>
      <c r="I164" s="264" t="s">
        <v>73</v>
      </c>
      <c r="J164" s="264" t="s">
        <v>74</v>
      </c>
      <c r="K164" s="264" t="s">
        <v>25</v>
      </c>
      <c r="L164" s="264" t="s">
        <v>73</v>
      </c>
      <c r="M164" s="264" t="s">
        <v>74</v>
      </c>
      <c r="N164" s="319" t="s">
        <v>25</v>
      </c>
      <c r="O164" s="264" t="s">
        <v>73</v>
      </c>
      <c r="P164" s="264" t="s">
        <v>74</v>
      </c>
      <c r="Q164" s="264" t="s">
        <v>25</v>
      </c>
      <c r="R164" s="274" t="s">
        <v>73</v>
      </c>
      <c r="S164" s="274" t="s">
        <v>74</v>
      </c>
      <c r="T164" s="274" t="s">
        <v>25</v>
      </c>
      <c r="U164" s="13"/>
      <c r="V164" s="13"/>
      <c r="W164" s="13"/>
      <c r="X164" s="13"/>
      <c r="Y164" s="13"/>
      <c r="Z164" s="13"/>
    </row>
    <row r="165" spans="2:27" x14ac:dyDescent="0.25">
      <c r="B165" s="156" t="s">
        <v>385</v>
      </c>
      <c r="C165" s="314">
        <v>7</v>
      </c>
      <c r="D165" s="314">
        <v>12</v>
      </c>
      <c r="E165" s="314">
        <v>19</v>
      </c>
      <c r="F165" s="314">
        <v>5</v>
      </c>
      <c r="G165" s="314">
        <v>3</v>
      </c>
      <c r="H165" s="314">
        <v>8</v>
      </c>
      <c r="I165" s="314">
        <v>4</v>
      </c>
      <c r="J165" s="314">
        <v>2</v>
      </c>
      <c r="K165" s="314">
        <v>6</v>
      </c>
      <c r="L165" s="314">
        <v>1</v>
      </c>
      <c r="M165" s="314">
        <v>0</v>
      </c>
      <c r="N165" s="324">
        <v>1</v>
      </c>
      <c r="O165" s="307">
        <v>0</v>
      </c>
      <c r="P165" s="307">
        <v>0</v>
      </c>
      <c r="Q165" s="307">
        <v>0</v>
      </c>
      <c r="R165" s="295">
        <v>17</v>
      </c>
      <c r="S165" s="295">
        <v>17</v>
      </c>
      <c r="T165" s="295">
        <v>34</v>
      </c>
      <c r="U165" s="13"/>
      <c r="V165" s="13"/>
      <c r="W165" s="13"/>
      <c r="X165" s="13"/>
      <c r="Y165" s="13"/>
      <c r="Z165" s="13"/>
      <c r="AA165" s="13"/>
    </row>
    <row r="166" spans="2:27" x14ac:dyDescent="0.25">
      <c r="B166" s="136" t="s">
        <v>386</v>
      </c>
      <c r="C166" s="316">
        <v>90</v>
      </c>
      <c r="D166" s="316">
        <v>98</v>
      </c>
      <c r="E166" s="316">
        <v>188</v>
      </c>
      <c r="F166" s="316">
        <v>83</v>
      </c>
      <c r="G166" s="316">
        <v>60</v>
      </c>
      <c r="H166" s="316">
        <v>143</v>
      </c>
      <c r="I166" s="316">
        <v>37</v>
      </c>
      <c r="J166" s="316">
        <v>13</v>
      </c>
      <c r="K166" s="316">
        <v>50</v>
      </c>
      <c r="L166" s="316">
        <v>16</v>
      </c>
      <c r="M166" s="316">
        <v>18</v>
      </c>
      <c r="N166" s="320">
        <v>34</v>
      </c>
      <c r="O166" s="307">
        <v>0</v>
      </c>
      <c r="P166" s="307">
        <v>0</v>
      </c>
      <c r="Q166" s="307">
        <v>0</v>
      </c>
      <c r="R166" s="295">
        <v>226</v>
      </c>
      <c r="S166" s="295">
        <v>189</v>
      </c>
      <c r="T166" s="295">
        <v>415</v>
      </c>
      <c r="U166" s="13"/>
      <c r="V166" s="13"/>
      <c r="W166" s="13"/>
      <c r="X166" s="13"/>
      <c r="Y166" s="13"/>
      <c r="Z166" s="13"/>
      <c r="AA166" s="13"/>
    </row>
    <row r="167" spans="2:27" x14ac:dyDescent="0.25">
      <c r="B167" s="136" t="s">
        <v>387</v>
      </c>
      <c r="C167" s="316">
        <v>25</v>
      </c>
      <c r="D167" s="316">
        <v>24</v>
      </c>
      <c r="E167" s="316">
        <v>49</v>
      </c>
      <c r="F167" s="316">
        <v>25</v>
      </c>
      <c r="G167" s="316">
        <v>14</v>
      </c>
      <c r="H167" s="316">
        <v>39</v>
      </c>
      <c r="I167" s="316">
        <v>10</v>
      </c>
      <c r="J167" s="316">
        <v>2</v>
      </c>
      <c r="K167" s="316">
        <v>12</v>
      </c>
      <c r="L167" s="316">
        <v>7</v>
      </c>
      <c r="M167" s="316">
        <v>5</v>
      </c>
      <c r="N167" s="320">
        <v>12</v>
      </c>
      <c r="O167" s="307">
        <v>0</v>
      </c>
      <c r="P167" s="307">
        <v>0</v>
      </c>
      <c r="Q167" s="307">
        <v>0</v>
      </c>
      <c r="R167" s="295">
        <v>67</v>
      </c>
      <c r="S167" s="295">
        <v>45</v>
      </c>
      <c r="T167" s="295">
        <v>112</v>
      </c>
      <c r="U167" s="13"/>
      <c r="V167" s="13"/>
      <c r="W167" s="13"/>
      <c r="X167" s="13"/>
      <c r="Y167" s="13"/>
      <c r="Z167" s="13"/>
      <c r="AA167" s="13"/>
    </row>
    <row r="168" spans="2:27" x14ac:dyDescent="0.25">
      <c r="B168" s="136" t="s">
        <v>388</v>
      </c>
      <c r="C168" s="316">
        <v>79</v>
      </c>
      <c r="D168" s="316">
        <v>71</v>
      </c>
      <c r="E168" s="316">
        <v>150</v>
      </c>
      <c r="F168" s="316">
        <v>61</v>
      </c>
      <c r="G168" s="316">
        <v>47</v>
      </c>
      <c r="H168" s="316">
        <v>108</v>
      </c>
      <c r="I168" s="316">
        <v>27</v>
      </c>
      <c r="J168" s="316">
        <v>11</v>
      </c>
      <c r="K168" s="316">
        <v>38</v>
      </c>
      <c r="L168" s="316">
        <v>8</v>
      </c>
      <c r="M168" s="316">
        <v>15</v>
      </c>
      <c r="N168" s="320">
        <v>23</v>
      </c>
      <c r="O168" s="307">
        <v>0</v>
      </c>
      <c r="P168" s="307">
        <v>0</v>
      </c>
      <c r="Q168" s="307">
        <v>0</v>
      </c>
      <c r="R168" s="295">
        <v>175</v>
      </c>
      <c r="S168" s="295">
        <v>144</v>
      </c>
      <c r="T168" s="295">
        <v>319</v>
      </c>
      <c r="U168" s="13"/>
      <c r="V168" s="13"/>
      <c r="W168" s="13"/>
      <c r="X168" s="13"/>
      <c r="Y168" s="13"/>
      <c r="Z168" s="13"/>
      <c r="AA168" s="13"/>
    </row>
    <row r="169" spans="2:27" x14ac:dyDescent="0.25">
      <c r="B169" s="136" t="s">
        <v>389</v>
      </c>
      <c r="C169" s="316">
        <v>129</v>
      </c>
      <c r="D169" s="316">
        <v>127</v>
      </c>
      <c r="E169" s="316">
        <v>256</v>
      </c>
      <c r="F169" s="316">
        <v>88</v>
      </c>
      <c r="G169" s="316">
        <v>72</v>
      </c>
      <c r="H169" s="316">
        <v>160</v>
      </c>
      <c r="I169" s="316">
        <v>52</v>
      </c>
      <c r="J169" s="316">
        <v>24</v>
      </c>
      <c r="K169" s="316">
        <v>76</v>
      </c>
      <c r="L169" s="316">
        <v>25</v>
      </c>
      <c r="M169" s="316">
        <v>33</v>
      </c>
      <c r="N169" s="320">
        <v>58</v>
      </c>
      <c r="O169" s="307">
        <v>0</v>
      </c>
      <c r="P169" s="307">
        <v>0</v>
      </c>
      <c r="Q169" s="307">
        <v>0</v>
      </c>
      <c r="R169" s="295">
        <v>294</v>
      </c>
      <c r="S169" s="295">
        <v>256</v>
      </c>
      <c r="T169" s="295">
        <v>550</v>
      </c>
      <c r="U169" s="13"/>
      <c r="V169" s="13"/>
      <c r="W169" s="13"/>
      <c r="X169" s="13"/>
      <c r="Y169" s="13"/>
      <c r="Z169" s="13"/>
      <c r="AA169" s="13"/>
    </row>
    <row r="170" spans="2:27" x14ac:dyDescent="0.25">
      <c r="B170" s="136" t="s">
        <v>390</v>
      </c>
      <c r="C170" s="316">
        <v>91</v>
      </c>
      <c r="D170" s="316">
        <v>96</v>
      </c>
      <c r="E170" s="316">
        <v>187</v>
      </c>
      <c r="F170" s="316">
        <v>77</v>
      </c>
      <c r="G170" s="316">
        <v>48</v>
      </c>
      <c r="H170" s="316">
        <v>125</v>
      </c>
      <c r="I170" s="316">
        <v>42</v>
      </c>
      <c r="J170" s="316">
        <v>21</v>
      </c>
      <c r="K170" s="316">
        <v>63</v>
      </c>
      <c r="L170" s="316">
        <v>7</v>
      </c>
      <c r="M170" s="316">
        <v>16</v>
      </c>
      <c r="N170" s="320">
        <v>23</v>
      </c>
      <c r="O170" s="307">
        <v>0</v>
      </c>
      <c r="P170" s="307">
        <v>0</v>
      </c>
      <c r="Q170" s="307">
        <v>0</v>
      </c>
      <c r="R170" s="295">
        <v>217</v>
      </c>
      <c r="S170" s="295">
        <v>181</v>
      </c>
      <c r="T170" s="295">
        <v>398</v>
      </c>
      <c r="U170" s="13"/>
      <c r="V170" s="13"/>
      <c r="W170" s="13"/>
      <c r="X170" s="13"/>
      <c r="Y170" s="13"/>
      <c r="Z170" s="13"/>
      <c r="AA170" s="13"/>
    </row>
    <row r="171" spans="2:27" x14ac:dyDescent="0.25">
      <c r="B171" s="136" t="s">
        <v>391</v>
      </c>
      <c r="C171" s="316">
        <v>117</v>
      </c>
      <c r="D171" s="316">
        <v>141</v>
      </c>
      <c r="E171" s="316">
        <v>258</v>
      </c>
      <c r="F171" s="316">
        <v>135</v>
      </c>
      <c r="G171" s="316">
        <v>84</v>
      </c>
      <c r="H171" s="316">
        <v>219</v>
      </c>
      <c r="I171" s="316">
        <v>42</v>
      </c>
      <c r="J171" s="316">
        <v>17</v>
      </c>
      <c r="K171" s="316">
        <v>59</v>
      </c>
      <c r="L171" s="316">
        <v>19</v>
      </c>
      <c r="M171" s="316">
        <v>30</v>
      </c>
      <c r="N171" s="320">
        <v>49</v>
      </c>
      <c r="O171" s="307">
        <v>0</v>
      </c>
      <c r="P171" s="307">
        <v>0</v>
      </c>
      <c r="Q171" s="307">
        <v>0</v>
      </c>
      <c r="R171" s="295">
        <v>313</v>
      </c>
      <c r="S171" s="295">
        <v>272</v>
      </c>
      <c r="T171" s="295">
        <v>585</v>
      </c>
      <c r="U171" s="13"/>
      <c r="V171" s="13"/>
      <c r="W171" s="13"/>
      <c r="X171" s="13"/>
      <c r="Y171" s="13"/>
      <c r="Z171" s="13"/>
      <c r="AA171" s="13"/>
    </row>
    <row r="172" spans="2:27" x14ac:dyDescent="0.25">
      <c r="B172" s="136" t="s">
        <v>392</v>
      </c>
      <c r="C172" s="316">
        <v>41</v>
      </c>
      <c r="D172" s="316">
        <v>44</v>
      </c>
      <c r="E172" s="316">
        <v>85</v>
      </c>
      <c r="F172" s="316">
        <v>28</v>
      </c>
      <c r="G172" s="316">
        <v>25</v>
      </c>
      <c r="H172" s="316">
        <v>53</v>
      </c>
      <c r="I172" s="316">
        <v>10</v>
      </c>
      <c r="J172" s="316">
        <v>8</v>
      </c>
      <c r="K172" s="316">
        <v>18</v>
      </c>
      <c r="L172" s="316">
        <v>9</v>
      </c>
      <c r="M172" s="316">
        <v>3</v>
      </c>
      <c r="N172" s="320">
        <v>12</v>
      </c>
      <c r="O172" s="307">
        <v>0</v>
      </c>
      <c r="P172" s="307">
        <v>0</v>
      </c>
      <c r="Q172" s="307">
        <v>0</v>
      </c>
      <c r="R172" s="295">
        <v>88</v>
      </c>
      <c r="S172" s="295">
        <v>80</v>
      </c>
      <c r="T172" s="295">
        <v>168</v>
      </c>
      <c r="U172" s="13"/>
      <c r="V172" s="13"/>
      <c r="W172" s="13"/>
      <c r="X172" s="13"/>
      <c r="Y172" s="13"/>
      <c r="Z172" s="13"/>
      <c r="AA172" s="13"/>
    </row>
    <row r="173" spans="2:27" x14ac:dyDescent="0.25">
      <c r="B173" s="136" t="s">
        <v>393</v>
      </c>
      <c r="C173" s="316">
        <v>148</v>
      </c>
      <c r="D173" s="316">
        <v>173</v>
      </c>
      <c r="E173" s="316">
        <v>321</v>
      </c>
      <c r="F173" s="316">
        <v>110</v>
      </c>
      <c r="G173" s="316">
        <v>78</v>
      </c>
      <c r="H173" s="316">
        <v>188</v>
      </c>
      <c r="I173" s="316">
        <v>60</v>
      </c>
      <c r="J173" s="316">
        <v>14</v>
      </c>
      <c r="K173" s="316">
        <v>74</v>
      </c>
      <c r="L173" s="316">
        <v>36</v>
      </c>
      <c r="M173" s="316">
        <v>38</v>
      </c>
      <c r="N173" s="320">
        <v>74</v>
      </c>
      <c r="O173" s="307">
        <v>1</v>
      </c>
      <c r="P173" s="307">
        <v>0</v>
      </c>
      <c r="Q173" s="307">
        <v>1</v>
      </c>
      <c r="R173" s="295">
        <v>355</v>
      </c>
      <c r="S173" s="295">
        <v>303</v>
      </c>
      <c r="T173" s="295">
        <v>658</v>
      </c>
      <c r="U173" s="13"/>
      <c r="V173" s="13"/>
      <c r="W173" s="13"/>
      <c r="X173" s="13"/>
      <c r="Y173" s="13"/>
      <c r="Z173" s="13"/>
      <c r="AA173" s="13"/>
    </row>
    <row r="174" spans="2:27" x14ac:dyDescent="0.25">
      <c r="B174" s="136" t="s">
        <v>394</v>
      </c>
      <c r="C174" s="316">
        <v>37</v>
      </c>
      <c r="D174" s="316">
        <v>37</v>
      </c>
      <c r="E174" s="316">
        <v>74</v>
      </c>
      <c r="F174" s="316">
        <v>28</v>
      </c>
      <c r="G174" s="316">
        <v>15</v>
      </c>
      <c r="H174" s="316">
        <v>43</v>
      </c>
      <c r="I174" s="316">
        <v>15</v>
      </c>
      <c r="J174" s="316">
        <v>4</v>
      </c>
      <c r="K174" s="316">
        <v>19</v>
      </c>
      <c r="L174" s="316">
        <v>5</v>
      </c>
      <c r="M174" s="316">
        <v>7</v>
      </c>
      <c r="N174" s="320">
        <v>12</v>
      </c>
      <c r="O174" s="307">
        <v>0</v>
      </c>
      <c r="P174" s="307">
        <v>0</v>
      </c>
      <c r="Q174" s="307">
        <v>0</v>
      </c>
      <c r="R174" s="295">
        <v>85</v>
      </c>
      <c r="S174" s="295">
        <v>63</v>
      </c>
      <c r="T174" s="295">
        <v>148</v>
      </c>
      <c r="U174" s="13"/>
      <c r="V174" s="13"/>
      <c r="W174" s="13"/>
      <c r="X174" s="13"/>
      <c r="Y174" s="13"/>
      <c r="Z174" s="13"/>
      <c r="AA174" s="13"/>
    </row>
    <row r="175" spans="2:27" x14ac:dyDescent="0.25">
      <c r="B175" s="136" t="s">
        <v>395</v>
      </c>
      <c r="C175" s="316">
        <v>117</v>
      </c>
      <c r="D175" s="316">
        <v>122</v>
      </c>
      <c r="E175" s="316">
        <v>239</v>
      </c>
      <c r="F175" s="316">
        <v>108</v>
      </c>
      <c r="G175" s="316">
        <v>94</v>
      </c>
      <c r="H175" s="316">
        <v>202</v>
      </c>
      <c r="I175" s="316">
        <v>38</v>
      </c>
      <c r="J175" s="316">
        <v>10</v>
      </c>
      <c r="K175" s="316">
        <v>48</v>
      </c>
      <c r="L175" s="316">
        <v>22</v>
      </c>
      <c r="M175" s="316">
        <v>20</v>
      </c>
      <c r="N175" s="320">
        <v>42</v>
      </c>
      <c r="O175" s="307">
        <v>0</v>
      </c>
      <c r="P175" s="307">
        <v>0</v>
      </c>
      <c r="Q175" s="307">
        <v>0</v>
      </c>
      <c r="R175" s="295">
        <v>285</v>
      </c>
      <c r="S175" s="295">
        <v>246</v>
      </c>
      <c r="T175" s="295">
        <v>531</v>
      </c>
      <c r="U175" s="13"/>
      <c r="V175" s="13"/>
      <c r="W175" s="13"/>
      <c r="X175" s="13"/>
      <c r="Y175" s="13"/>
      <c r="Z175" s="13"/>
      <c r="AA175" s="13"/>
    </row>
    <row r="176" spans="2:27" x14ac:dyDescent="0.25">
      <c r="B176" s="136" t="s">
        <v>396</v>
      </c>
      <c r="C176" s="316">
        <v>69</v>
      </c>
      <c r="D176" s="316">
        <v>64</v>
      </c>
      <c r="E176" s="316">
        <v>133</v>
      </c>
      <c r="F176" s="316">
        <v>76</v>
      </c>
      <c r="G176" s="316">
        <v>44</v>
      </c>
      <c r="H176" s="316">
        <v>120</v>
      </c>
      <c r="I176" s="316">
        <v>39</v>
      </c>
      <c r="J176" s="316">
        <v>11</v>
      </c>
      <c r="K176" s="316">
        <v>50</v>
      </c>
      <c r="L176" s="316">
        <v>11</v>
      </c>
      <c r="M176" s="316">
        <v>16</v>
      </c>
      <c r="N176" s="320">
        <v>27</v>
      </c>
      <c r="O176" s="307">
        <v>1</v>
      </c>
      <c r="P176" s="307">
        <v>0</v>
      </c>
      <c r="Q176" s="307">
        <v>1</v>
      </c>
      <c r="R176" s="295">
        <v>196</v>
      </c>
      <c r="S176" s="295">
        <v>135</v>
      </c>
      <c r="T176" s="295">
        <v>331</v>
      </c>
      <c r="U176" s="13"/>
      <c r="V176" s="13"/>
      <c r="W176" s="13"/>
      <c r="X176" s="13"/>
      <c r="Y176" s="13"/>
      <c r="Z176" s="13"/>
      <c r="AA176" s="13"/>
    </row>
    <row r="177" spans="2:27" x14ac:dyDescent="0.25">
      <c r="B177" s="136" t="s">
        <v>397</v>
      </c>
      <c r="C177" s="316">
        <v>84</v>
      </c>
      <c r="D177" s="316">
        <v>66</v>
      </c>
      <c r="E177" s="316">
        <v>150</v>
      </c>
      <c r="F177" s="316">
        <v>81</v>
      </c>
      <c r="G177" s="316">
        <v>44</v>
      </c>
      <c r="H177" s="316">
        <v>125</v>
      </c>
      <c r="I177" s="316">
        <v>20</v>
      </c>
      <c r="J177" s="316">
        <v>7</v>
      </c>
      <c r="K177" s="316">
        <v>27</v>
      </c>
      <c r="L177" s="316">
        <v>12</v>
      </c>
      <c r="M177" s="316">
        <v>12</v>
      </c>
      <c r="N177" s="320">
        <v>24</v>
      </c>
      <c r="O177" s="307">
        <v>0</v>
      </c>
      <c r="P177" s="307">
        <v>0</v>
      </c>
      <c r="Q177" s="307">
        <v>0</v>
      </c>
      <c r="R177" s="295">
        <v>197</v>
      </c>
      <c r="S177" s="295">
        <v>129</v>
      </c>
      <c r="T177" s="295">
        <v>326</v>
      </c>
      <c r="U177" s="13"/>
      <c r="V177" s="13"/>
      <c r="W177" s="13"/>
      <c r="X177" s="13"/>
      <c r="Y177" s="13"/>
      <c r="Z177" s="13"/>
      <c r="AA177" s="13"/>
    </row>
    <row r="178" spans="2:27" x14ac:dyDescent="0.25">
      <c r="B178" s="136" t="s">
        <v>398</v>
      </c>
      <c r="C178" s="316">
        <v>38</v>
      </c>
      <c r="D178" s="316">
        <v>45</v>
      </c>
      <c r="E178" s="316">
        <v>83</v>
      </c>
      <c r="F178" s="316">
        <v>24</v>
      </c>
      <c r="G178" s="316">
        <v>31</v>
      </c>
      <c r="H178" s="316">
        <v>55</v>
      </c>
      <c r="I178" s="316">
        <v>10</v>
      </c>
      <c r="J178" s="316">
        <v>5</v>
      </c>
      <c r="K178" s="316">
        <v>15</v>
      </c>
      <c r="L178" s="316">
        <v>4</v>
      </c>
      <c r="M178" s="316">
        <v>3</v>
      </c>
      <c r="N178" s="320">
        <v>7</v>
      </c>
      <c r="O178" s="307">
        <v>0</v>
      </c>
      <c r="P178" s="307">
        <v>0</v>
      </c>
      <c r="Q178" s="307">
        <v>0</v>
      </c>
      <c r="R178" s="295">
        <v>76</v>
      </c>
      <c r="S178" s="295">
        <v>84</v>
      </c>
      <c r="T178" s="295">
        <v>160</v>
      </c>
      <c r="U178" s="13"/>
      <c r="V178" s="13"/>
      <c r="W178" s="13"/>
      <c r="X178" s="13"/>
      <c r="Y178" s="13"/>
      <c r="Z178" s="13"/>
      <c r="AA178" s="13"/>
    </row>
    <row r="179" spans="2:27" x14ac:dyDescent="0.25">
      <c r="B179" s="136" t="s">
        <v>399</v>
      </c>
      <c r="C179" s="316">
        <v>80</v>
      </c>
      <c r="D179" s="316">
        <v>86</v>
      </c>
      <c r="E179" s="316">
        <v>166</v>
      </c>
      <c r="F179" s="316">
        <v>92</v>
      </c>
      <c r="G179" s="316">
        <v>63</v>
      </c>
      <c r="H179" s="316">
        <v>155</v>
      </c>
      <c r="I179" s="316">
        <v>27</v>
      </c>
      <c r="J179" s="316">
        <v>11</v>
      </c>
      <c r="K179" s="316">
        <v>38</v>
      </c>
      <c r="L179" s="316">
        <v>12</v>
      </c>
      <c r="M179" s="316">
        <v>12</v>
      </c>
      <c r="N179" s="320">
        <v>24</v>
      </c>
      <c r="O179" s="307">
        <v>0</v>
      </c>
      <c r="P179" s="307">
        <v>0</v>
      </c>
      <c r="Q179" s="307">
        <v>0</v>
      </c>
      <c r="R179" s="295">
        <v>211</v>
      </c>
      <c r="S179" s="295">
        <v>172</v>
      </c>
      <c r="T179" s="295">
        <v>383</v>
      </c>
      <c r="U179" s="13"/>
      <c r="V179" s="13"/>
      <c r="W179" s="13"/>
      <c r="X179" s="13"/>
      <c r="Y179" s="13"/>
      <c r="Z179" s="13"/>
      <c r="AA179" s="13"/>
    </row>
    <row r="180" spans="2:27" x14ac:dyDescent="0.25">
      <c r="B180" s="136" t="s">
        <v>400</v>
      </c>
      <c r="C180" s="316">
        <v>363</v>
      </c>
      <c r="D180" s="316">
        <v>322</v>
      </c>
      <c r="E180" s="316">
        <v>685</v>
      </c>
      <c r="F180" s="316">
        <v>421</v>
      </c>
      <c r="G180" s="316">
        <v>249</v>
      </c>
      <c r="H180" s="316">
        <v>670</v>
      </c>
      <c r="I180" s="316">
        <v>87</v>
      </c>
      <c r="J180" s="316">
        <v>27</v>
      </c>
      <c r="K180" s="316">
        <v>114</v>
      </c>
      <c r="L180" s="316">
        <v>51</v>
      </c>
      <c r="M180" s="316">
        <v>45</v>
      </c>
      <c r="N180" s="320">
        <v>96</v>
      </c>
      <c r="O180" s="307">
        <v>0</v>
      </c>
      <c r="P180" s="307">
        <v>2</v>
      </c>
      <c r="Q180" s="307">
        <v>2</v>
      </c>
      <c r="R180" s="295">
        <v>922</v>
      </c>
      <c r="S180" s="295">
        <v>645</v>
      </c>
      <c r="T180" s="295">
        <v>1567</v>
      </c>
      <c r="U180" s="13"/>
      <c r="V180" s="13"/>
      <c r="W180" s="13"/>
      <c r="X180" s="13"/>
      <c r="Y180" s="13"/>
      <c r="Z180" s="13"/>
      <c r="AA180" s="13"/>
    </row>
    <row r="181" spans="2:27" x14ac:dyDescent="0.25">
      <c r="B181" s="136" t="s">
        <v>401</v>
      </c>
      <c r="C181" s="316">
        <v>121</v>
      </c>
      <c r="D181" s="316">
        <v>140</v>
      </c>
      <c r="E181" s="316">
        <v>261</v>
      </c>
      <c r="F181" s="316">
        <v>110</v>
      </c>
      <c r="G181" s="316">
        <v>72</v>
      </c>
      <c r="H181" s="316">
        <v>182</v>
      </c>
      <c r="I181" s="316">
        <v>44</v>
      </c>
      <c r="J181" s="316">
        <v>12</v>
      </c>
      <c r="K181" s="316">
        <v>56</v>
      </c>
      <c r="L181" s="316">
        <v>12</v>
      </c>
      <c r="M181" s="316">
        <v>16</v>
      </c>
      <c r="N181" s="320">
        <v>28</v>
      </c>
      <c r="O181" s="307">
        <v>0</v>
      </c>
      <c r="P181" s="307">
        <v>3</v>
      </c>
      <c r="Q181" s="307">
        <v>3</v>
      </c>
      <c r="R181" s="295">
        <v>287</v>
      </c>
      <c r="S181" s="295">
        <v>243</v>
      </c>
      <c r="T181" s="295">
        <v>530</v>
      </c>
      <c r="U181" s="13"/>
      <c r="V181" s="13"/>
      <c r="W181" s="13"/>
      <c r="X181" s="13"/>
      <c r="Y181" s="13"/>
      <c r="Z181" s="13"/>
      <c r="AA181" s="13"/>
    </row>
    <row r="182" spans="2:27" x14ac:dyDescent="0.25">
      <c r="B182" s="136" t="s">
        <v>402</v>
      </c>
      <c r="C182" s="316">
        <v>199</v>
      </c>
      <c r="D182" s="316">
        <v>164</v>
      </c>
      <c r="E182" s="316">
        <v>363</v>
      </c>
      <c r="F182" s="316">
        <v>115</v>
      </c>
      <c r="G182" s="316">
        <v>61</v>
      </c>
      <c r="H182" s="316">
        <v>176</v>
      </c>
      <c r="I182" s="316">
        <v>85</v>
      </c>
      <c r="J182" s="316">
        <v>15</v>
      </c>
      <c r="K182" s="316">
        <v>100</v>
      </c>
      <c r="L182" s="316">
        <v>38</v>
      </c>
      <c r="M182" s="316">
        <v>47</v>
      </c>
      <c r="N182" s="320">
        <v>85</v>
      </c>
      <c r="O182" s="307">
        <v>0</v>
      </c>
      <c r="P182" s="307">
        <v>1</v>
      </c>
      <c r="Q182" s="307">
        <v>1</v>
      </c>
      <c r="R182" s="295">
        <v>437</v>
      </c>
      <c r="S182" s="295">
        <v>288</v>
      </c>
      <c r="T182" s="295">
        <v>725</v>
      </c>
      <c r="U182" s="13"/>
      <c r="V182" s="13"/>
      <c r="W182" s="13"/>
      <c r="X182" s="13"/>
      <c r="Y182" s="13"/>
      <c r="Z182" s="13"/>
      <c r="AA182" s="13"/>
    </row>
    <row r="183" spans="2:27" x14ac:dyDescent="0.25">
      <c r="B183" s="136" t="s">
        <v>403</v>
      </c>
      <c r="C183" s="316">
        <v>44</v>
      </c>
      <c r="D183" s="316">
        <v>48</v>
      </c>
      <c r="E183" s="316">
        <v>92</v>
      </c>
      <c r="F183" s="316">
        <v>114</v>
      </c>
      <c r="G183" s="316">
        <v>71</v>
      </c>
      <c r="H183" s="316">
        <v>185</v>
      </c>
      <c r="I183" s="316">
        <v>11</v>
      </c>
      <c r="J183" s="316">
        <v>8</v>
      </c>
      <c r="K183" s="316">
        <v>19</v>
      </c>
      <c r="L183" s="316">
        <v>13</v>
      </c>
      <c r="M183" s="316">
        <v>4</v>
      </c>
      <c r="N183" s="320">
        <v>17</v>
      </c>
      <c r="O183" s="307">
        <v>0</v>
      </c>
      <c r="P183" s="307">
        <v>0</v>
      </c>
      <c r="Q183" s="307">
        <v>0</v>
      </c>
      <c r="R183" s="295">
        <v>182</v>
      </c>
      <c r="S183" s="295">
        <v>131</v>
      </c>
      <c r="T183" s="295">
        <v>313</v>
      </c>
      <c r="U183" s="13"/>
      <c r="V183" s="13"/>
      <c r="W183" s="13"/>
      <c r="X183" s="13"/>
      <c r="Y183" s="13"/>
      <c r="Z183" s="13"/>
      <c r="AA183" s="13"/>
    </row>
    <row r="184" spans="2:27" x14ac:dyDescent="0.25">
      <c r="B184" s="136" t="s">
        <v>404</v>
      </c>
      <c r="C184" s="316">
        <v>78</v>
      </c>
      <c r="D184" s="316">
        <v>75</v>
      </c>
      <c r="E184" s="316">
        <v>153</v>
      </c>
      <c r="F184" s="316">
        <v>56</v>
      </c>
      <c r="G184" s="316">
        <v>40</v>
      </c>
      <c r="H184" s="316">
        <v>96</v>
      </c>
      <c r="I184" s="316">
        <v>35</v>
      </c>
      <c r="J184" s="316">
        <v>14</v>
      </c>
      <c r="K184" s="316">
        <v>49</v>
      </c>
      <c r="L184" s="316">
        <v>22</v>
      </c>
      <c r="M184" s="316">
        <v>9</v>
      </c>
      <c r="N184" s="320">
        <v>31</v>
      </c>
      <c r="O184" s="307">
        <v>0</v>
      </c>
      <c r="P184" s="307">
        <v>0</v>
      </c>
      <c r="Q184" s="307">
        <v>0</v>
      </c>
      <c r="R184" s="295">
        <v>191</v>
      </c>
      <c r="S184" s="295">
        <v>138</v>
      </c>
      <c r="T184" s="295">
        <v>329</v>
      </c>
      <c r="U184" s="13"/>
      <c r="V184" s="13"/>
      <c r="W184" s="13"/>
      <c r="X184" s="13"/>
      <c r="Y184" s="13"/>
      <c r="Z184" s="13"/>
      <c r="AA184" s="13"/>
    </row>
    <row r="185" spans="2:27" x14ac:dyDescent="0.25">
      <c r="B185" s="136" t="s">
        <v>405</v>
      </c>
      <c r="C185" s="316">
        <v>206</v>
      </c>
      <c r="D185" s="316">
        <v>133</v>
      </c>
      <c r="E185" s="316">
        <v>339</v>
      </c>
      <c r="F185" s="316">
        <v>474</v>
      </c>
      <c r="G185" s="316">
        <v>191</v>
      </c>
      <c r="H185" s="316">
        <v>665</v>
      </c>
      <c r="I185" s="316">
        <v>26</v>
      </c>
      <c r="J185" s="316">
        <v>13</v>
      </c>
      <c r="K185" s="316">
        <v>39</v>
      </c>
      <c r="L185" s="316">
        <v>17</v>
      </c>
      <c r="M185" s="316">
        <v>14</v>
      </c>
      <c r="N185" s="320">
        <v>31</v>
      </c>
      <c r="O185" s="307">
        <v>0</v>
      </c>
      <c r="P185" s="307">
        <v>0</v>
      </c>
      <c r="Q185" s="307">
        <v>0</v>
      </c>
      <c r="R185" s="295">
        <v>723</v>
      </c>
      <c r="S185" s="295">
        <v>351</v>
      </c>
      <c r="T185" s="295">
        <v>1074</v>
      </c>
      <c r="U185" s="13"/>
      <c r="V185" s="13"/>
      <c r="W185" s="13"/>
      <c r="X185" s="13"/>
      <c r="Y185" s="13"/>
      <c r="Z185" s="13"/>
      <c r="AA185" s="13"/>
    </row>
    <row r="186" spans="2:27" x14ac:dyDescent="0.25">
      <c r="B186" s="136" t="s">
        <v>406</v>
      </c>
      <c r="C186" s="316">
        <v>61</v>
      </c>
      <c r="D186" s="316">
        <v>48</v>
      </c>
      <c r="E186" s="316">
        <v>109</v>
      </c>
      <c r="F186" s="316">
        <v>75</v>
      </c>
      <c r="G186" s="316">
        <v>39</v>
      </c>
      <c r="H186" s="316">
        <v>114</v>
      </c>
      <c r="I186" s="316">
        <v>7</v>
      </c>
      <c r="J186" s="316">
        <v>2</v>
      </c>
      <c r="K186" s="316">
        <v>9</v>
      </c>
      <c r="L186" s="316">
        <v>6</v>
      </c>
      <c r="M186" s="316">
        <v>6</v>
      </c>
      <c r="N186" s="320">
        <v>12</v>
      </c>
      <c r="O186" s="307">
        <v>0</v>
      </c>
      <c r="P186" s="307">
        <v>0</v>
      </c>
      <c r="Q186" s="307">
        <v>0</v>
      </c>
      <c r="R186" s="295">
        <v>149</v>
      </c>
      <c r="S186" s="295">
        <v>95</v>
      </c>
      <c r="T186" s="295">
        <v>244</v>
      </c>
      <c r="U186" s="13"/>
      <c r="V186" s="13"/>
      <c r="W186" s="13"/>
      <c r="X186" s="13"/>
      <c r="Y186" s="13"/>
      <c r="Z186" s="13"/>
      <c r="AA186" s="13"/>
    </row>
    <row r="187" spans="2:27" x14ac:dyDescent="0.25">
      <c r="B187" s="136" t="s">
        <v>407</v>
      </c>
      <c r="C187" s="316">
        <v>116</v>
      </c>
      <c r="D187" s="316">
        <v>121</v>
      </c>
      <c r="E187" s="316">
        <v>237</v>
      </c>
      <c r="F187" s="316">
        <v>77</v>
      </c>
      <c r="G187" s="316">
        <v>69</v>
      </c>
      <c r="H187" s="316">
        <v>146</v>
      </c>
      <c r="I187" s="316">
        <v>40</v>
      </c>
      <c r="J187" s="316">
        <v>13</v>
      </c>
      <c r="K187" s="316">
        <v>53</v>
      </c>
      <c r="L187" s="316">
        <v>15</v>
      </c>
      <c r="M187" s="316">
        <v>18</v>
      </c>
      <c r="N187" s="320">
        <v>33</v>
      </c>
      <c r="O187" s="307">
        <v>0</v>
      </c>
      <c r="P187" s="307">
        <v>1</v>
      </c>
      <c r="Q187" s="307">
        <v>1</v>
      </c>
      <c r="R187" s="295">
        <v>248</v>
      </c>
      <c r="S187" s="295">
        <v>222</v>
      </c>
      <c r="T187" s="295">
        <v>470</v>
      </c>
      <c r="U187" s="13"/>
      <c r="V187" s="13"/>
      <c r="W187" s="13"/>
      <c r="X187" s="13"/>
      <c r="Y187" s="13"/>
      <c r="Z187" s="13"/>
      <c r="AA187" s="13"/>
    </row>
    <row r="188" spans="2:27" x14ac:dyDescent="0.25">
      <c r="B188" s="136" t="s">
        <v>408</v>
      </c>
      <c r="C188" s="316">
        <v>95</v>
      </c>
      <c r="D188" s="316">
        <v>88</v>
      </c>
      <c r="E188" s="316">
        <v>183</v>
      </c>
      <c r="F188" s="316">
        <v>78</v>
      </c>
      <c r="G188" s="316">
        <v>31</v>
      </c>
      <c r="H188" s="316">
        <v>109</v>
      </c>
      <c r="I188" s="316">
        <v>36</v>
      </c>
      <c r="J188" s="316">
        <v>16</v>
      </c>
      <c r="K188" s="316">
        <v>52</v>
      </c>
      <c r="L188" s="316">
        <v>14</v>
      </c>
      <c r="M188" s="316">
        <v>29</v>
      </c>
      <c r="N188" s="320">
        <v>43</v>
      </c>
      <c r="O188" s="307">
        <v>0</v>
      </c>
      <c r="P188" s="307">
        <v>0</v>
      </c>
      <c r="Q188" s="307">
        <v>0</v>
      </c>
      <c r="R188" s="295">
        <v>223</v>
      </c>
      <c r="S188" s="295">
        <v>164</v>
      </c>
      <c r="T188" s="295">
        <v>387</v>
      </c>
      <c r="U188" s="13"/>
      <c r="V188" s="13"/>
      <c r="W188" s="13"/>
      <c r="X188" s="13"/>
      <c r="Y188" s="13"/>
      <c r="Z188" s="13"/>
      <c r="AA188" s="13"/>
    </row>
    <row r="189" spans="2:27" x14ac:dyDescent="0.25">
      <c r="B189" s="136" t="s">
        <v>409</v>
      </c>
      <c r="C189" s="316">
        <v>115</v>
      </c>
      <c r="D189" s="316">
        <v>105</v>
      </c>
      <c r="E189" s="316">
        <v>220</v>
      </c>
      <c r="F189" s="316">
        <v>156</v>
      </c>
      <c r="G189" s="316">
        <v>104</v>
      </c>
      <c r="H189" s="316">
        <v>260</v>
      </c>
      <c r="I189" s="316">
        <v>24</v>
      </c>
      <c r="J189" s="316">
        <v>10</v>
      </c>
      <c r="K189" s="316">
        <v>34</v>
      </c>
      <c r="L189" s="316">
        <v>14</v>
      </c>
      <c r="M189" s="316">
        <v>12</v>
      </c>
      <c r="N189" s="320">
        <v>26</v>
      </c>
      <c r="O189" s="307">
        <v>0</v>
      </c>
      <c r="P189" s="307">
        <v>0</v>
      </c>
      <c r="Q189" s="307">
        <v>0</v>
      </c>
      <c r="R189" s="295">
        <v>309</v>
      </c>
      <c r="S189" s="295">
        <v>231</v>
      </c>
      <c r="T189" s="295">
        <v>540</v>
      </c>
      <c r="U189" s="13"/>
      <c r="V189" s="13"/>
      <c r="W189" s="13"/>
      <c r="X189" s="13"/>
      <c r="Y189" s="13"/>
      <c r="Z189" s="13"/>
      <c r="AA189" s="13"/>
    </row>
    <row r="190" spans="2:27" x14ac:dyDescent="0.25">
      <c r="B190" s="136" t="s">
        <v>410</v>
      </c>
      <c r="C190" s="316">
        <v>537</v>
      </c>
      <c r="D190" s="316">
        <v>539</v>
      </c>
      <c r="E190" s="316">
        <v>1076</v>
      </c>
      <c r="F190" s="316">
        <v>563</v>
      </c>
      <c r="G190" s="316">
        <v>354</v>
      </c>
      <c r="H190" s="316">
        <v>917</v>
      </c>
      <c r="I190" s="316">
        <v>162</v>
      </c>
      <c r="J190" s="316">
        <v>47</v>
      </c>
      <c r="K190" s="316">
        <v>209</v>
      </c>
      <c r="L190" s="316">
        <v>78</v>
      </c>
      <c r="M190" s="316">
        <v>74</v>
      </c>
      <c r="N190" s="320">
        <v>152</v>
      </c>
      <c r="O190" s="307">
        <v>1</v>
      </c>
      <c r="P190" s="307">
        <v>3</v>
      </c>
      <c r="Q190" s="307">
        <v>4</v>
      </c>
      <c r="R190" s="295">
        <v>1341</v>
      </c>
      <c r="S190" s="295">
        <v>1017</v>
      </c>
      <c r="T190" s="295">
        <v>2358</v>
      </c>
      <c r="U190" s="13"/>
      <c r="V190" s="13"/>
      <c r="W190" s="13"/>
      <c r="X190" s="13"/>
      <c r="Y190" s="13"/>
      <c r="Z190" s="13"/>
      <c r="AA190" s="13"/>
    </row>
    <row r="191" spans="2:27" x14ac:dyDescent="0.25">
      <c r="B191" s="136" t="s">
        <v>411</v>
      </c>
      <c r="C191" s="316">
        <v>14</v>
      </c>
      <c r="D191" s="316">
        <v>28</v>
      </c>
      <c r="E191" s="316">
        <v>42</v>
      </c>
      <c r="F191" s="316">
        <v>8</v>
      </c>
      <c r="G191" s="316">
        <v>4</v>
      </c>
      <c r="H191" s="316">
        <v>12</v>
      </c>
      <c r="I191" s="316">
        <v>10</v>
      </c>
      <c r="J191" s="316">
        <v>0</v>
      </c>
      <c r="K191" s="316">
        <v>10</v>
      </c>
      <c r="L191" s="316">
        <v>1</v>
      </c>
      <c r="M191" s="316">
        <v>1</v>
      </c>
      <c r="N191" s="320">
        <v>2</v>
      </c>
      <c r="O191" s="307">
        <v>0</v>
      </c>
      <c r="P191" s="307">
        <v>0</v>
      </c>
      <c r="Q191" s="307">
        <v>0</v>
      </c>
      <c r="R191" s="295">
        <v>33</v>
      </c>
      <c r="S191" s="295">
        <v>33</v>
      </c>
      <c r="T191" s="295">
        <v>66</v>
      </c>
      <c r="U191" s="13"/>
      <c r="V191" s="13"/>
      <c r="W191" s="13"/>
      <c r="X191" s="13"/>
      <c r="Y191" s="13"/>
      <c r="Z191" s="13"/>
      <c r="AA191" s="13"/>
    </row>
    <row r="192" spans="2:27" x14ac:dyDescent="0.25">
      <c r="B192" s="136" t="s">
        <v>412</v>
      </c>
      <c r="C192" s="316">
        <v>149</v>
      </c>
      <c r="D192" s="316">
        <v>149</v>
      </c>
      <c r="E192" s="316">
        <v>298</v>
      </c>
      <c r="F192" s="316">
        <v>92</v>
      </c>
      <c r="G192" s="316">
        <v>73</v>
      </c>
      <c r="H192" s="316">
        <v>165</v>
      </c>
      <c r="I192" s="316">
        <v>61</v>
      </c>
      <c r="J192" s="316">
        <v>25</v>
      </c>
      <c r="K192" s="316">
        <v>86</v>
      </c>
      <c r="L192" s="316">
        <v>11</v>
      </c>
      <c r="M192" s="316">
        <v>25</v>
      </c>
      <c r="N192" s="320">
        <v>36</v>
      </c>
      <c r="O192" s="307">
        <v>0</v>
      </c>
      <c r="P192" s="307">
        <v>0</v>
      </c>
      <c r="Q192" s="307">
        <v>0</v>
      </c>
      <c r="R192" s="295">
        <v>313</v>
      </c>
      <c r="S192" s="295">
        <v>272</v>
      </c>
      <c r="T192" s="295">
        <v>585</v>
      </c>
      <c r="U192" s="13"/>
      <c r="V192" s="13"/>
      <c r="W192" s="13"/>
      <c r="X192" s="13"/>
      <c r="Y192" s="13"/>
      <c r="Z192" s="13"/>
      <c r="AA192" s="13"/>
    </row>
    <row r="193" spans="2:27" x14ac:dyDescent="0.25">
      <c r="B193" s="136" t="s">
        <v>413</v>
      </c>
      <c r="C193" s="316">
        <v>60</v>
      </c>
      <c r="D193" s="316">
        <v>56</v>
      </c>
      <c r="E193" s="316">
        <v>116</v>
      </c>
      <c r="F193" s="316">
        <v>45</v>
      </c>
      <c r="G193" s="316">
        <v>26</v>
      </c>
      <c r="H193" s="316">
        <v>71</v>
      </c>
      <c r="I193" s="316">
        <v>22</v>
      </c>
      <c r="J193" s="316">
        <v>5</v>
      </c>
      <c r="K193" s="316">
        <v>27</v>
      </c>
      <c r="L193" s="316">
        <v>9</v>
      </c>
      <c r="M193" s="316">
        <v>10</v>
      </c>
      <c r="N193" s="320">
        <v>19</v>
      </c>
      <c r="O193" s="307">
        <v>0</v>
      </c>
      <c r="P193" s="307">
        <v>0</v>
      </c>
      <c r="Q193" s="307">
        <v>0</v>
      </c>
      <c r="R193" s="295">
        <v>136</v>
      </c>
      <c r="S193" s="295">
        <v>97</v>
      </c>
      <c r="T193" s="295">
        <v>233</v>
      </c>
      <c r="U193" s="13"/>
      <c r="V193" s="13"/>
      <c r="W193" s="13"/>
      <c r="X193" s="13"/>
      <c r="Y193" s="13"/>
      <c r="Z193" s="13"/>
      <c r="AA193" s="13"/>
    </row>
    <row r="194" spans="2:27" x14ac:dyDescent="0.25">
      <c r="B194" s="136" t="s">
        <v>414</v>
      </c>
      <c r="C194" s="316">
        <v>71</v>
      </c>
      <c r="D194" s="316">
        <v>82</v>
      </c>
      <c r="E194" s="316">
        <v>153</v>
      </c>
      <c r="F194" s="316">
        <v>59</v>
      </c>
      <c r="G194" s="316">
        <v>49</v>
      </c>
      <c r="H194" s="316">
        <v>108</v>
      </c>
      <c r="I194" s="316">
        <v>24</v>
      </c>
      <c r="J194" s="316">
        <v>7</v>
      </c>
      <c r="K194" s="316">
        <v>31</v>
      </c>
      <c r="L194" s="316">
        <v>11</v>
      </c>
      <c r="M194" s="316">
        <v>16</v>
      </c>
      <c r="N194" s="320">
        <v>27</v>
      </c>
      <c r="O194" s="307">
        <v>0</v>
      </c>
      <c r="P194" s="307">
        <v>0</v>
      </c>
      <c r="Q194" s="307">
        <v>0</v>
      </c>
      <c r="R194" s="295">
        <v>165</v>
      </c>
      <c r="S194" s="295">
        <v>154</v>
      </c>
      <c r="T194" s="295">
        <v>319</v>
      </c>
      <c r="U194" s="13"/>
      <c r="V194" s="13"/>
      <c r="W194" s="13"/>
      <c r="X194" s="13"/>
      <c r="Y194" s="13"/>
      <c r="Z194" s="13"/>
      <c r="AA194" s="13"/>
    </row>
    <row r="195" spans="2:27" x14ac:dyDescent="0.25">
      <c r="B195" s="136" t="s">
        <v>415</v>
      </c>
      <c r="C195" s="316">
        <v>119</v>
      </c>
      <c r="D195" s="316">
        <v>135</v>
      </c>
      <c r="E195" s="316">
        <v>254</v>
      </c>
      <c r="F195" s="316">
        <v>115</v>
      </c>
      <c r="G195" s="316">
        <v>60</v>
      </c>
      <c r="H195" s="316">
        <v>175</v>
      </c>
      <c r="I195" s="316">
        <v>64</v>
      </c>
      <c r="J195" s="316">
        <v>20</v>
      </c>
      <c r="K195" s="316">
        <v>84</v>
      </c>
      <c r="L195" s="316">
        <v>15</v>
      </c>
      <c r="M195" s="316">
        <v>14</v>
      </c>
      <c r="N195" s="320">
        <v>29</v>
      </c>
      <c r="O195" s="307">
        <v>0</v>
      </c>
      <c r="P195" s="307">
        <v>1</v>
      </c>
      <c r="Q195" s="307">
        <v>1</v>
      </c>
      <c r="R195" s="295">
        <v>313</v>
      </c>
      <c r="S195" s="295">
        <v>230</v>
      </c>
      <c r="T195" s="295">
        <v>543</v>
      </c>
      <c r="U195" s="13"/>
      <c r="V195" s="13"/>
      <c r="W195" s="13"/>
      <c r="X195" s="13"/>
      <c r="Y195" s="13"/>
      <c r="Z195" s="13"/>
      <c r="AA195" s="13"/>
    </row>
    <row r="196" spans="2:27" x14ac:dyDescent="0.25">
      <c r="B196" s="136" t="s">
        <v>497</v>
      </c>
      <c r="C196" s="316">
        <v>85</v>
      </c>
      <c r="D196" s="316">
        <v>67</v>
      </c>
      <c r="E196" s="316">
        <v>152</v>
      </c>
      <c r="F196" s="316">
        <v>89</v>
      </c>
      <c r="G196" s="316">
        <v>53</v>
      </c>
      <c r="H196" s="316">
        <v>142</v>
      </c>
      <c r="I196" s="316">
        <v>38</v>
      </c>
      <c r="J196" s="316">
        <v>12</v>
      </c>
      <c r="K196" s="316">
        <v>50</v>
      </c>
      <c r="L196" s="316">
        <v>13</v>
      </c>
      <c r="M196" s="316">
        <v>12</v>
      </c>
      <c r="N196" s="320">
        <v>25</v>
      </c>
      <c r="O196" s="307">
        <v>0</v>
      </c>
      <c r="P196" s="307">
        <v>1</v>
      </c>
      <c r="Q196" s="307">
        <v>1</v>
      </c>
      <c r="R196" s="295">
        <v>225</v>
      </c>
      <c r="S196" s="295">
        <v>145</v>
      </c>
      <c r="T196" s="295">
        <v>370</v>
      </c>
      <c r="U196" s="13"/>
      <c r="V196" s="13"/>
      <c r="W196" s="13"/>
      <c r="X196" s="13"/>
      <c r="Y196" s="13"/>
      <c r="Z196" s="13"/>
      <c r="AA196" s="13"/>
    </row>
    <row r="197" spans="2:27" x14ac:dyDescent="0.25">
      <c r="B197" s="136" t="s">
        <v>860</v>
      </c>
      <c r="C197" s="316">
        <v>177</v>
      </c>
      <c r="D197" s="316">
        <v>163</v>
      </c>
      <c r="E197" s="316">
        <v>340</v>
      </c>
      <c r="F197" s="316">
        <v>204</v>
      </c>
      <c r="G197" s="316">
        <v>133</v>
      </c>
      <c r="H197" s="316">
        <v>337</v>
      </c>
      <c r="I197" s="316">
        <v>81</v>
      </c>
      <c r="J197" s="316">
        <v>19</v>
      </c>
      <c r="K197" s="316">
        <v>100</v>
      </c>
      <c r="L197" s="316">
        <v>35</v>
      </c>
      <c r="M197" s="316">
        <v>30</v>
      </c>
      <c r="N197" s="320">
        <v>65</v>
      </c>
      <c r="O197" s="307">
        <v>0</v>
      </c>
      <c r="P197" s="307">
        <v>1</v>
      </c>
      <c r="Q197" s="307">
        <v>1</v>
      </c>
      <c r="R197" s="295">
        <v>497</v>
      </c>
      <c r="S197" s="295">
        <v>346</v>
      </c>
      <c r="T197" s="295">
        <v>843</v>
      </c>
      <c r="U197" s="13"/>
      <c r="V197" s="13"/>
      <c r="W197" s="13"/>
      <c r="X197" s="13"/>
      <c r="Y197" s="13"/>
      <c r="Z197" s="13"/>
      <c r="AA197" s="13"/>
    </row>
    <row r="198" spans="2:27" x14ac:dyDescent="0.25">
      <c r="B198" s="136" t="s">
        <v>416</v>
      </c>
      <c r="C198" s="316">
        <v>25</v>
      </c>
      <c r="D198" s="316">
        <v>33</v>
      </c>
      <c r="E198" s="316">
        <v>58</v>
      </c>
      <c r="F198" s="316">
        <v>36</v>
      </c>
      <c r="G198" s="316">
        <v>19</v>
      </c>
      <c r="H198" s="316">
        <v>55</v>
      </c>
      <c r="I198" s="316">
        <v>8</v>
      </c>
      <c r="J198" s="316">
        <v>5</v>
      </c>
      <c r="K198" s="316">
        <v>13</v>
      </c>
      <c r="L198" s="316">
        <v>3</v>
      </c>
      <c r="M198" s="316">
        <v>4</v>
      </c>
      <c r="N198" s="320">
        <v>7</v>
      </c>
      <c r="O198" s="307">
        <v>0</v>
      </c>
      <c r="P198" s="307">
        <v>0</v>
      </c>
      <c r="Q198" s="307">
        <v>0</v>
      </c>
      <c r="R198" s="295">
        <v>72</v>
      </c>
      <c r="S198" s="295">
        <v>61</v>
      </c>
      <c r="T198" s="295">
        <v>133</v>
      </c>
      <c r="U198" s="13"/>
      <c r="V198" s="13"/>
      <c r="W198" s="13"/>
      <c r="X198" s="13"/>
      <c r="Y198" s="13"/>
      <c r="Z198" s="13"/>
      <c r="AA198" s="13"/>
    </row>
    <row r="199" spans="2:27" x14ac:dyDescent="0.25">
      <c r="B199" s="136" t="s">
        <v>417</v>
      </c>
      <c r="C199" s="316">
        <v>62</v>
      </c>
      <c r="D199" s="316">
        <v>52</v>
      </c>
      <c r="E199" s="316">
        <v>114</v>
      </c>
      <c r="F199" s="316">
        <v>198</v>
      </c>
      <c r="G199" s="316">
        <v>111</v>
      </c>
      <c r="H199" s="316">
        <v>309</v>
      </c>
      <c r="I199" s="316">
        <v>12</v>
      </c>
      <c r="J199" s="316">
        <v>7</v>
      </c>
      <c r="K199" s="316">
        <v>19</v>
      </c>
      <c r="L199" s="316">
        <v>4</v>
      </c>
      <c r="M199" s="316">
        <v>6</v>
      </c>
      <c r="N199" s="320">
        <v>10</v>
      </c>
      <c r="O199" s="307">
        <v>0</v>
      </c>
      <c r="P199" s="307">
        <v>0</v>
      </c>
      <c r="Q199" s="307">
        <v>0</v>
      </c>
      <c r="R199" s="295">
        <v>276</v>
      </c>
      <c r="S199" s="295">
        <v>176</v>
      </c>
      <c r="T199" s="295">
        <v>452</v>
      </c>
      <c r="U199" s="13"/>
      <c r="V199" s="13"/>
      <c r="W199" s="13"/>
      <c r="X199" s="13"/>
      <c r="Y199" s="13"/>
      <c r="Z199" s="13"/>
      <c r="AA199" s="13"/>
    </row>
    <row r="200" spans="2:27" x14ac:dyDescent="0.25">
      <c r="B200" s="136" t="s">
        <v>418</v>
      </c>
      <c r="C200" s="316">
        <v>230</v>
      </c>
      <c r="D200" s="316">
        <v>223</v>
      </c>
      <c r="E200" s="316">
        <v>453</v>
      </c>
      <c r="F200" s="316">
        <v>206</v>
      </c>
      <c r="G200" s="316">
        <v>133</v>
      </c>
      <c r="H200" s="316">
        <v>339</v>
      </c>
      <c r="I200" s="316">
        <v>82</v>
      </c>
      <c r="J200" s="316">
        <v>35</v>
      </c>
      <c r="K200" s="316">
        <v>117</v>
      </c>
      <c r="L200" s="316">
        <v>34</v>
      </c>
      <c r="M200" s="316">
        <v>45</v>
      </c>
      <c r="N200" s="320">
        <v>79</v>
      </c>
      <c r="O200" s="307">
        <v>0</v>
      </c>
      <c r="P200" s="307">
        <v>2</v>
      </c>
      <c r="Q200" s="307">
        <v>2</v>
      </c>
      <c r="R200" s="295">
        <v>552</v>
      </c>
      <c r="S200" s="295">
        <v>438</v>
      </c>
      <c r="T200" s="295">
        <v>990</v>
      </c>
      <c r="U200" s="13"/>
      <c r="V200" s="13"/>
      <c r="W200" s="13"/>
      <c r="X200" s="13"/>
      <c r="Y200" s="13"/>
      <c r="Z200" s="13"/>
      <c r="AA200" s="13"/>
    </row>
    <row r="201" spans="2:27" x14ac:dyDescent="0.25">
      <c r="B201" s="136" t="s">
        <v>419</v>
      </c>
      <c r="C201" s="316">
        <v>556</v>
      </c>
      <c r="D201" s="316">
        <v>587</v>
      </c>
      <c r="E201" s="316">
        <v>1143</v>
      </c>
      <c r="F201" s="316">
        <v>545</v>
      </c>
      <c r="G201" s="316">
        <v>346</v>
      </c>
      <c r="H201" s="316">
        <v>891</v>
      </c>
      <c r="I201" s="316">
        <v>227</v>
      </c>
      <c r="J201" s="316">
        <v>51</v>
      </c>
      <c r="K201" s="316">
        <v>278</v>
      </c>
      <c r="L201" s="316">
        <v>75</v>
      </c>
      <c r="M201" s="316">
        <v>84</v>
      </c>
      <c r="N201" s="320">
        <v>159</v>
      </c>
      <c r="O201" s="307">
        <v>0</v>
      </c>
      <c r="P201" s="307">
        <v>0</v>
      </c>
      <c r="Q201" s="307">
        <v>0</v>
      </c>
      <c r="R201" s="295">
        <v>1403</v>
      </c>
      <c r="S201" s="295">
        <v>1068</v>
      </c>
      <c r="T201" s="295">
        <v>2471</v>
      </c>
      <c r="U201" s="13"/>
      <c r="V201" s="13"/>
      <c r="W201" s="13"/>
      <c r="X201" s="13"/>
      <c r="Y201" s="13"/>
      <c r="Z201" s="13"/>
      <c r="AA201" s="13"/>
    </row>
    <row r="202" spans="2:27" x14ac:dyDescent="0.25">
      <c r="B202" s="136" t="s">
        <v>420</v>
      </c>
      <c r="C202" s="316">
        <v>163</v>
      </c>
      <c r="D202" s="316">
        <v>183</v>
      </c>
      <c r="E202" s="316">
        <v>346</v>
      </c>
      <c r="F202" s="316">
        <v>159</v>
      </c>
      <c r="G202" s="316">
        <v>106</v>
      </c>
      <c r="H202" s="316">
        <v>265</v>
      </c>
      <c r="I202" s="316">
        <v>55</v>
      </c>
      <c r="J202" s="316">
        <v>22</v>
      </c>
      <c r="K202" s="316">
        <v>77</v>
      </c>
      <c r="L202" s="316">
        <v>30</v>
      </c>
      <c r="M202" s="316">
        <v>35</v>
      </c>
      <c r="N202" s="320">
        <v>65</v>
      </c>
      <c r="O202" s="307">
        <v>0</v>
      </c>
      <c r="P202" s="307">
        <v>2</v>
      </c>
      <c r="Q202" s="307">
        <v>2</v>
      </c>
      <c r="R202" s="295">
        <v>407</v>
      </c>
      <c r="S202" s="295">
        <v>348</v>
      </c>
      <c r="T202" s="295">
        <v>755</v>
      </c>
      <c r="U202" s="13"/>
      <c r="V202" s="13"/>
      <c r="W202" s="13"/>
      <c r="X202" s="13"/>
      <c r="Y202" s="13"/>
      <c r="Z202" s="13"/>
      <c r="AA202" s="13"/>
    </row>
    <row r="203" spans="2:27" x14ac:dyDescent="0.25">
      <c r="B203" s="136" t="s">
        <v>421</v>
      </c>
      <c r="C203" s="316">
        <v>122</v>
      </c>
      <c r="D203" s="316">
        <v>115</v>
      </c>
      <c r="E203" s="316">
        <v>237</v>
      </c>
      <c r="F203" s="316">
        <v>107</v>
      </c>
      <c r="G203" s="316">
        <v>61</v>
      </c>
      <c r="H203" s="316">
        <v>168</v>
      </c>
      <c r="I203" s="316">
        <v>32</v>
      </c>
      <c r="J203" s="316">
        <v>13</v>
      </c>
      <c r="K203" s="316">
        <v>45</v>
      </c>
      <c r="L203" s="316">
        <v>23</v>
      </c>
      <c r="M203" s="316">
        <v>21</v>
      </c>
      <c r="N203" s="320">
        <v>44</v>
      </c>
      <c r="O203" s="307">
        <v>1</v>
      </c>
      <c r="P203" s="307">
        <v>0</v>
      </c>
      <c r="Q203" s="307">
        <v>1</v>
      </c>
      <c r="R203" s="295">
        <v>285</v>
      </c>
      <c r="S203" s="295">
        <v>210</v>
      </c>
      <c r="T203" s="295">
        <v>495</v>
      </c>
      <c r="U203" s="13"/>
      <c r="V203" s="13"/>
      <c r="W203" s="13"/>
      <c r="X203" s="13"/>
      <c r="Y203" s="13"/>
      <c r="Z203" s="13"/>
      <c r="AA203" s="13"/>
    </row>
    <row r="204" spans="2:27" x14ac:dyDescent="0.25">
      <c r="B204" s="136" t="s">
        <v>422</v>
      </c>
      <c r="C204" s="316">
        <v>159</v>
      </c>
      <c r="D204" s="316">
        <v>145</v>
      </c>
      <c r="E204" s="316">
        <v>304</v>
      </c>
      <c r="F204" s="316">
        <v>121</v>
      </c>
      <c r="G204" s="316">
        <v>100</v>
      </c>
      <c r="H204" s="316">
        <v>221</v>
      </c>
      <c r="I204" s="316">
        <v>45</v>
      </c>
      <c r="J204" s="316">
        <v>25</v>
      </c>
      <c r="K204" s="316">
        <v>70</v>
      </c>
      <c r="L204" s="316">
        <v>25</v>
      </c>
      <c r="M204" s="316">
        <v>30</v>
      </c>
      <c r="N204" s="320">
        <v>55</v>
      </c>
      <c r="O204" s="307">
        <v>0</v>
      </c>
      <c r="P204" s="307">
        <v>1</v>
      </c>
      <c r="Q204" s="307">
        <v>1</v>
      </c>
      <c r="R204" s="295">
        <v>350</v>
      </c>
      <c r="S204" s="295">
        <v>301</v>
      </c>
      <c r="T204" s="295">
        <v>651</v>
      </c>
      <c r="U204" s="13"/>
      <c r="V204" s="13"/>
      <c r="W204" s="13"/>
      <c r="X204" s="13"/>
      <c r="Y204" s="13"/>
      <c r="Z204" s="13"/>
      <c r="AA204" s="13"/>
    </row>
    <row r="205" spans="2:27" x14ac:dyDescent="0.25">
      <c r="B205" s="136" t="s">
        <v>423</v>
      </c>
      <c r="C205" s="316">
        <v>132</v>
      </c>
      <c r="D205" s="316">
        <v>125</v>
      </c>
      <c r="E205" s="316">
        <v>257</v>
      </c>
      <c r="F205" s="316">
        <v>113</v>
      </c>
      <c r="G205" s="316">
        <v>64</v>
      </c>
      <c r="H205" s="316">
        <v>177</v>
      </c>
      <c r="I205" s="316">
        <v>64</v>
      </c>
      <c r="J205" s="316">
        <v>24</v>
      </c>
      <c r="K205" s="316">
        <v>88</v>
      </c>
      <c r="L205" s="316">
        <v>31</v>
      </c>
      <c r="M205" s="316">
        <v>35</v>
      </c>
      <c r="N205" s="320">
        <v>66</v>
      </c>
      <c r="O205" s="307">
        <v>0</v>
      </c>
      <c r="P205" s="307">
        <v>1</v>
      </c>
      <c r="Q205" s="307">
        <v>1</v>
      </c>
      <c r="R205" s="295">
        <v>340</v>
      </c>
      <c r="S205" s="295">
        <v>249</v>
      </c>
      <c r="T205" s="295">
        <v>589</v>
      </c>
      <c r="U205" s="13"/>
      <c r="V205" s="13"/>
      <c r="W205" s="13"/>
      <c r="X205" s="13"/>
      <c r="Y205" s="13"/>
      <c r="Z205" s="13"/>
      <c r="AA205" s="13"/>
    </row>
    <row r="206" spans="2:27" x14ac:dyDescent="0.25">
      <c r="B206" s="136" t="s">
        <v>424</v>
      </c>
      <c r="C206" s="316">
        <v>278</v>
      </c>
      <c r="D206" s="316">
        <v>268</v>
      </c>
      <c r="E206" s="316">
        <v>546</v>
      </c>
      <c r="F206" s="316">
        <v>206</v>
      </c>
      <c r="G206" s="316">
        <v>142</v>
      </c>
      <c r="H206" s="316">
        <v>348</v>
      </c>
      <c r="I206" s="316">
        <v>117</v>
      </c>
      <c r="J206" s="316">
        <v>32</v>
      </c>
      <c r="K206" s="316">
        <v>149</v>
      </c>
      <c r="L206" s="316">
        <v>66</v>
      </c>
      <c r="M206" s="316">
        <v>62</v>
      </c>
      <c r="N206" s="320">
        <v>128</v>
      </c>
      <c r="O206" s="307">
        <v>0</v>
      </c>
      <c r="P206" s="307">
        <v>1</v>
      </c>
      <c r="Q206" s="307">
        <v>1</v>
      </c>
      <c r="R206" s="295">
        <v>667</v>
      </c>
      <c r="S206" s="295">
        <v>505</v>
      </c>
      <c r="T206" s="295">
        <v>1172</v>
      </c>
      <c r="U206" s="13"/>
      <c r="V206" s="13"/>
      <c r="W206" s="13"/>
      <c r="X206" s="13"/>
      <c r="Y206" s="13"/>
      <c r="Z206" s="13"/>
      <c r="AA206" s="13"/>
    </row>
    <row r="207" spans="2:27" x14ac:dyDescent="0.25">
      <c r="B207" s="136" t="s">
        <v>425</v>
      </c>
      <c r="C207" s="316">
        <v>84</v>
      </c>
      <c r="D207" s="316">
        <v>98</v>
      </c>
      <c r="E207" s="316">
        <v>182</v>
      </c>
      <c r="F207" s="316">
        <v>94</v>
      </c>
      <c r="G207" s="316">
        <v>57</v>
      </c>
      <c r="H207" s="316">
        <v>151</v>
      </c>
      <c r="I207" s="316">
        <v>33</v>
      </c>
      <c r="J207" s="316">
        <v>11</v>
      </c>
      <c r="K207" s="316">
        <v>44</v>
      </c>
      <c r="L207" s="316">
        <v>11</v>
      </c>
      <c r="M207" s="316">
        <v>22</v>
      </c>
      <c r="N207" s="320">
        <v>33</v>
      </c>
      <c r="O207" s="307">
        <v>0</v>
      </c>
      <c r="P207" s="307">
        <v>0</v>
      </c>
      <c r="Q207" s="307">
        <v>0</v>
      </c>
      <c r="R207" s="295">
        <v>222</v>
      </c>
      <c r="S207" s="295">
        <v>188</v>
      </c>
      <c r="T207" s="295">
        <v>410</v>
      </c>
      <c r="U207" s="13"/>
      <c r="V207" s="13"/>
      <c r="W207" s="13"/>
      <c r="X207" s="13"/>
      <c r="Y207" s="13"/>
      <c r="Z207" s="13"/>
      <c r="AA207" s="13"/>
    </row>
    <row r="208" spans="2:27" x14ac:dyDescent="0.25">
      <c r="B208" s="136" t="s">
        <v>426</v>
      </c>
      <c r="C208" s="316">
        <v>25</v>
      </c>
      <c r="D208" s="316">
        <v>17</v>
      </c>
      <c r="E208" s="316">
        <v>42</v>
      </c>
      <c r="F208" s="316">
        <v>15</v>
      </c>
      <c r="G208" s="316">
        <v>14</v>
      </c>
      <c r="H208" s="316">
        <v>29</v>
      </c>
      <c r="I208" s="316">
        <v>4</v>
      </c>
      <c r="J208" s="316">
        <v>3</v>
      </c>
      <c r="K208" s="316">
        <v>7</v>
      </c>
      <c r="L208" s="316">
        <v>3</v>
      </c>
      <c r="M208" s="316">
        <v>2</v>
      </c>
      <c r="N208" s="320">
        <v>5</v>
      </c>
      <c r="O208" s="307">
        <v>0</v>
      </c>
      <c r="P208" s="307">
        <v>0</v>
      </c>
      <c r="Q208" s="307">
        <v>0</v>
      </c>
      <c r="R208" s="295">
        <v>47</v>
      </c>
      <c r="S208" s="295">
        <v>36</v>
      </c>
      <c r="T208" s="295">
        <v>83</v>
      </c>
      <c r="U208" s="13"/>
      <c r="V208" s="13"/>
      <c r="W208" s="13"/>
      <c r="X208" s="13"/>
      <c r="Y208" s="13"/>
      <c r="Z208" s="13"/>
      <c r="AA208" s="13"/>
    </row>
    <row r="209" spans="2:27" x14ac:dyDescent="0.25">
      <c r="B209" s="136" t="s">
        <v>427</v>
      </c>
      <c r="C209" s="316">
        <v>110</v>
      </c>
      <c r="D209" s="316">
        <v>102</v>
      </c>
      <c r="E209" s="316">
        <v>212</v>
      </c>
      <c r="F209" s="316">
        <v>125</v>
      </c>
      <c r="G209" s="316">
        <v>77</v>
      </c>
      <c r="H209" s="316">
        <v>202</v>
      </c>
      <c r="I209" s="316">
        <v>26</v>
      </c>
      <c r="J209" s="316">
        <v>9</v>
      </c>
      <c r="K209" s="316">
        <v>35</v>
      </c>
      <c r="L209" s="316">
        <v>11</v>
      </c>
      <c r="M209" s="316">
        <v>11</v>
      </c>
      <c r="N209" s="320">
        <v>22</v>
      </c>
      <c r="O209" s="307">
        <v>0</v>
      </c>
      <c r="P209" s="307">
        <v>0</v>
      </c>
      <c r="Q209" s="307">
        <v>0</v>
      </c>
      <c r="R209" s="295">
        <v>272</v>
      </c>
      <c r="S209" s="295">
        <v>199</v>
      </c>
      <c r="T209" s="295">
        <v>471</v>
      </c>
      <c r="U209" s="13"/>
      <c r="V209" s="13"/>
      <c r="W209" s="13"/>
      <c r="X209" s="13"/>
      <c r="Y209" s="13"/>
      <c r="Z209" s="13"/>
      <c r="AA209" s="13"/>
    </row>
    <row r="210" spans="2:27" x14ac:dyDescent="0.25">
      <c r="B210" s="136" t="s">
        <v>428</v>
      </c>
      <c r="C210" s="316">
        <v>8</v>
      </c>
      <c r="D210" s="316">
        <v>13</v>
      </c>
      <c r="E210" s="316">
        <v>21</v>
      </c>
      <c r="F210" s="316">
        <v>2</v>
      </c>
      <c r="G210" s="316">
        <v>4</v>
      </c>
      <c r="H210" s="316">
        <v>6</v>
      </c>
      <c r="I210" s="316">
        <v>9</v>
      </c>
      <c r="J210" s="316">
        <v>2</v>
      </c>
      <c r="K210" s="316">
        <v>11</v>
      </c>
      <c r="L210" s="316">
        <v>1</v>
      </c>
      <c r="M210" s="316">
        <v>1</v>
      </c>
      <c r="N210" s="320">
        <v>2</v>
      </c>
      <c r="O210" s="307">
        <v>0</v>
      </c>
      <c r="P210" s="307">
        <v>0</v>
      </c>
      <c r="Q210" s="307">
        <v>0</v>
      </c>
      <c r="R210" s="295">
        <v>20</v>
      </c>
      <c r="S210" s="295">
        <v>20</v>
      </c>
      <c r="T210" s="295">
        <v>40</v>
      </c>
      <c r="U210" s="13"/>
      <c r="V210" s="13"/>
      <c r="W210" s="13"/>
      <c r="X210" s="13"/>
      <c r="Y210" s="13"/>
      <c r="Z210" s="13"/>
      <c r="AA210" s="13"/>
    </row>
    <row r="211" spans="2:27" x14ac:dyDescent="0.25">
      <c r="B211" s="136" t="s">
        <v>429</v>
      </c>
      <c r="C211" s="316">
        <v>64</v>
      </c>
      <c r="D211" s="316">
        <v>82</v>
      </c>
      <c r="E211" s="316">
        <v>146</v>
      </c>
      <c r="F211" s="316">
        <v>51</v>
      </c>
      <c r="G211" s="316">
        <v>32</v>
      </c>
      <c r="H211" s="316">
        <v>83</v>
      </c>
      <c r="I211" s="316">
        <v>33</v>
      </c>
      <c r="J211" s="316">
        <v>4</v>
      </c>
      <c r="K211" s="316">
        <v>37</v>
      </c>
      <c r="L211" s="316">
        <v>22</v>
      </c>
      <c r="M211" s="316">
        <v>19</v>
      </c>
      <c r="N211" s="320">
        <v>41</v>
      </c>
      <c r="O211" s="307">
        <v>0</v>
      </c>
      <c r="P211" s="307">
        <v>0</v>
      </c>
      <c r="Q211" s="307">
        <v>0</v>
      </c>
      <c r="R211" s="295">
        <v>170</v>
      </c>
      <c r="S211" s="295">
        <v>137</v>
      </c>
      <c r="T211" s="295">
        <v>307</v>
      </c>
      <c r="U211" s="13"/>
      <c r="V211" s="13"/>
      <c r="W211" s="13"/>
      <c r="X211" s="13"/>
      <c r="Y211" s="13"/>
      <c r="Z211" s="13"/>
      <c r="AA211" s="13"/>
    </row>
    <row r="212" spans="2:27" x14ac:dyDescent="0.25">
      <c r="B212" s="136" t="s">
        <v>430</v>
      </c>
      <c r="C212" s="316">
        <v>312</v>
      </c>
      <c r="D212" s="316">
        <v>281</v>
      </c>
      <c r="E212" s="316">
        <v>593</v>
      </c>
      <c r="F212" s="316">
        <v>350</v>
      </c>
      <c r="G212" s="316">
        <v>285</v>
      </c>
      <c r="H212" s="316">
        <v>635</v>
      </c>
      <c r="I212" s="316">
        <v>69</v>
      </c>
      <c r="J212" s="316">
        <v>31</v>
      </c>
      <c r="K212" s="316">
        <v>100</v>
      </c>
      <c r="L212" s="316">
        <v>38</v>
      </c>
      <c r="M212" s="316">
        <v>46</v>
      </c>
      <c r="N212" s="320">
        <v>84</v>
      </c>
      <c r="O212" s="307">
        <v>0</v>
      </c>
      <c r="P212" s="307">
        <v>1</v>
      </c>
      <c r="Q212" s="307">
        <v>1</v>
      </c>
      <c r="R212" s="295">
        <v>769</v>
      </c>
      <c r="S212" s="295">
        <v>644</v>
      </c>
      <c r="T212" s="295">
        <v>1413</v>
      </c>
      <c r="U212" s="13"/>
      <c r="V212" s="13"/>
      <c r="W212" s="13"/>
      <c r="X212" s="13"/>
      <c r="Y212" s="13"/>
      <c r="Z212" s="13"/>
      <c r="AA212" s="13"/>
    </row>
    <row r="213" spans="2:27" x14ac:dyDescent="0.25">
      <c r="B213" s="136" t="s">
        <v>431</v>
      </c>
      <c r="C213" s="316">
        <v>62</v>
      </c>
      <c r="D213" s="316">
        <v>84</v>
      </c>
      <c r="E213" s="316">
        <v>146</v>
      </c>
      <c r="F213" s="316">
        <v>73</v>
      </c>
      <c r="G213" s="316">
        <v>40</v>
      </c>
      <c r="H213" s="316">
        <v>113</v>
      </c>
      <c r="I213" s="316">
        <v>31</v>
      </c>
      <c r="J213" s="316">
        <v>9</v>
      </c>
      <c r="K213" s="316">
        <v>40</v>
      </c>
      <c r="L213" s="316">
        <v>5</v>
      </c>
      <c r="M213" s="316">
        <v>16</v>
      </c>
      <c r="N213" s="320">
        <v>21</v>
      </c>
      <c r="O213" s="307">
        <v>0</v>
      </c>
      <c r="P213" s="307">
        <v>0</v>
      </c>
      <c r="Q213" s="307">
        <v>0</v>
      </c>
      <c r="R213" s="295">
        <v>171</v>
      </c>
      <c r="S213" s="295">
        <v>149</v>
      </c>
      <c r="T213" s="295">
        <v>320</v>
      </c>
      <c r="U213" s="13"/>
      <c r="V213" s="13"/>
      <c r="W213" s="13"/>
      <c r="X213" s="13"/>
      <c r="Y213" s="13"/>
      <c r="Z213" s="13"/>
      <c r="AA213" s="13"/>
    </row>
    <row r="214" spans="2:27" x14ac:dyDescent="0.25">
      <c r="B214" s="136" t="s">
        <v>432</v>
      </c>
      <c r="C214" s="316">
        <v>27</v>
      </c>
      <c r="D214" s="316">
        <v>18</v>
      </c>
      <c r="E214" s="316">
        <v>45</v>
      </c>
      <c r="F214" s="316">
        <v>12</v>
      </c>
      <c r="G214" s="316">
        <v>20</v>
      </c>
      <c r="H214" s="316">
        <v>32</v>
      </c>
      <c r="I214" s="316">
        <v>6</v>
      </c>
      <c r="J214" s="316">
        <v>1</v>
      </c>
      <c r="K214" s="316">
        <v>7</v>
      </c>
      <c r="L214" s="316">
        <v>3</v>
      </c>
      <c r="M214" s="316">
        <v>5</v>
      </c>
      <c r="N214" s="320">
        <v>8</v>
      </c>
      <c r="O214" s="307">
        <v>0</v>
      </c>
      <c r="P214" s="307">
        <v>0</v>
      </c>
      <c r="Q214" s="307">
        <v>0</v>
      </c>
      <c r="R214" s="295">
        <v>48</v>
      </c>
      <c r="S214" s="295">
        <v>44</v>
      </c>
      <c r="T214" s="295">
        <v>92</v>
      </c>
      <c r="U214" s="13"/>
      <c r="V214" s="13"/>
      <c r="W214" s="13"/>
      <c r="X214" s="13"/>
      <c r="Y214" s="13"/>
      <c r="Z214" s="13"/>
      <c r="AA214" s="13"/>
    </row>
    <row r="215" spans="2:27" x14ac:dyDescent="0.25">
      <c r="B215" s="136" t="s">
        <v>433</v>
      </c>
      <c r="C215" s="316">
        <v>41</v>
      </c>
      <c r="D215" s="316">
        <v>18</v>
      </c>
      <c r="E215" s="316">
        <v>59</v>
      </c>
      <c r="F215" s="316">
        <v>113</v>
      </c>
      <c r="G215" s="316">
        <v>55</v>
      </c>
      <c r="H215" s="316">
        <v>168</v>
      </c>
      <c r="I215" s="316">
        <v>5</v>
      </c>
      <c r="J215" s="316">
        <v>3</v>
      </c>
      <c r="K215" s="316">
        <v>8</v>
      </c>
      <c r="L215" s="316">
        <v>2</v>
      </c>
      <c r="M215" s="316">
        <v>2</v>
      </c>
      <c r="N215" s="320">
        <v>4</v>
      </c>
      <c r="O215" s="307">
        <v>0</v>
      </c>
      <c r="P215" s="307">
        <v>0</v>
      </c>
      <c r="Q215" s="307">
        <v>0</v>
      </c>
      <c r="R215" s="295">
        <v>161</v>
      </c>
      <c r="S215" s="295">
        <v>78</v>
      </c>
      <c r="T215" s="295">
        <v>239</v>
      </c>
      <c r="U215" s="13"/>
      <c r="V215" s="13"/>
      <c r="W215" s="13"/>
      <c r="X215" s="13"/>
      <c r="Y215" s="13"/>
      <c r="Z215" s="13"/>
      <c r="AA215" s="13"/>
    </row>
    <row r="216" spans="2:27" x14ac:dyDescent="0.25">
      <c r="B216" s="136" t="s">
        <v>499</v>
      </c>
      <c r="C216" s="316">
        <v>153</v>
      </c>
      <c r="D216" s="316">
        <v>127</v>
      </c>
      <c r="E216" s="316">
        <v>280</v>
      </c>
      <c r="F216" s="316">
        <v>333</v>
      </c>
      <c r="G216" s="316">
        <v>165</v>
      </c>
      <c r="H216" s="316">
        <v>498</v>
      </c>
      <c r="I216" s="316">
        <v>23</v>
      </c>
      <c r="J216" s="316">
        <v>6</v>
      </c>
      <c r="K216" s="316">
        <v>29</v>
      </c>
      <c r="L216" s="316">
        <v>16</v>
      </c>
      <c r="M216" s="316">
        <v>6</v>
      </c>
      <c r="N216" s="320">
        <v>22</v>
      </c>
      <c r="O216" s="307">
        <v>0</v>
      </c>
      <c r="P216" s="307">
        <v>0</v>
      </c>
      <c r="Q216" s="307">
        <v>0</v>
      </c>
      <c r="R216" s="295">
        <v>525</v>
      </c>
      <c r="S216" s="295">
        <v>304</v>
      </c>
      <c r="T216" s="295">
        <v>829</v>
      </c>
      <c r="U216" s="13"/>
      <c r="V216" s="13"/>
      <c r="W216" s="13"/>
      <c r="X216" s="13"/>
      <c r="Y216" s="13"/>
      <c r="Z216" s="13"/>
      <c r="AA216" s="13"/>
    </row>
    <row r="217" spans="2:27" x14ac:dyDescent="0.25">
      <c r="B217" s="260" t="s">
        <v>25</v>
      </c>
      <c r="C217" s="282">
        <v>6375</v>
      </c>
      <c r="D217" s="282">
        <v>6240</v>
      </c>
      <c r="E217" s="282">
        <v>12615</v>
      </c>
      <c r="F217" s="282">
        <v>6731</v>
      </c>
      <c r="G217" s="282">
        <v>4232</v>
      </c>
      <c r="H217" s="285">
        <v>10963</v>
      </c>
      <c r="I217" s="282">
        <v>2171</v>
      </c>
      <c r="J217" s="285">
        <v>718</v>
      </c>
      <c r="K217" s="282">
        <v>2889</v>
      </c>
      <c r="L217" s="285">
        <v>972</v>
      </c>
      <c r="M217" s="282">
        <v>1062</v>
      </c>
      <c r="N217" s="322">
        <v>2034</v>
      </c>
      <c r="O217" s="285">
        <v>4</v>
      </c>
      <c r="P217" s="285">
        <v>21</v>
      </c>
      <c r="Q217" s="285">
        <v>25</v>
      </c>
      <c r="R217" s="295">
        <v>16253</v>
      </c>
      <c r="S217" s="295">
        <v>12273</v>
      </c>
      <c r="T217" s="295">
        <v>28526</v>
      </c>
      <c r="U217" s="13"/>
      <c r="V217" s="13"/>
      <c r="W217" s="13"/>
      <c r="X217" s="13"/>
      <c r="Y217" s="13"/>
      <c r="Z217" s="13"/>
      <c r="AA217" s="13"/>
    </row>
    <row r="218" spans="2:27" ht="82.5" customHeight="1" x14ac:dyDescent="0.25">
      <c r="B218" s="468" t="s">
        <v>866</v>
      </c>
      <c r="C218" s="468"/>
      <c r="D218" s="468"/>
      <c r="E218" s="468"/>
      <c r="F218" s="468"/>
      <c r="G218" s="468"/>
      <c r="H218" s="468"/>
      <c r="I218" s="468"/>
      <c r="J218" s="468"/>
      <c r="K218" s="468"/>
      <c r="L218" s="468"/>
      <c r="M218" s="468"/>
      <c r="N218" s="468"/>
      <c r="O218" s="468"/>
      <c r="P218" s="468"/>
      <c r="Q218" s="468"/>
      <c r="R218" s="13"/>
      <c r="S218" s="13"/>
      <c r="T218" s="13"/>
      <c r="U218" s="13"/>
      <c r="V218" s="13"/>
      <c r="W218" s="13"/>
    </row>
    <row r="219" spans="2:27" x14ac:dyDescent="0.25">
      <c r="B219" s="157"/>
      <c r="C219" s="157"/>
      <c r="D219" s="157"/>
      <c r="E219" s="157"/>
      <c r="F219" s="157"/>
      <c r="G219"/>
      <c r="H219" s="13"/>
      <c r="I219" s="13"/>
      <c r="J219" s="13"/>
      <c r="K219" s="13"/>
      <c r="L219" s="13"/>
      <c r="M219" s="13"/>
      <c r="N219" s="13"/>
      <c r="O219" s="13"/>
      <c r="P219" s="13"/>
      <c r="Q219" s="13"/>
      <c r="R219" s="13"/>
      <c r="S219" s="13"/>
      <c r="T219" s="13"/>
      <c r="U219" s="13"/>
      <c r="V219" s="13"/>
      <c r="W219" s="13"/>
    </row>
    <row r="220" spans="2:27" x14ac:dyDescent="0.25">
      <c r="B220" s="186" t="s">
        <v>510</v>
      </c>
      <c r="C220"/>
      <c r="D220"/>
      <c r="E220"/>
      <c r="F220"/>
      <c r="G220"/>
      <c r="H220" s="13"/>
      <c r="I220" s="13"/>
      <c r="J220" s="13"/>
      <c r="K220" s="13"/>
      <c r="L220" s="13"/>
      <c r="M220" s="13"/>
      <c r="N220" s="13"/>
      <c r="O220" s="13"/>
      <c r="P220" s="13"/>
      <c r="Q220" s="13"/>
      <c r="R220" s="13"/>
      <c r="S220" s="13"/>
      <c r="T220" s="13"/>
      <c r="U220" s="13"/>
      <c r="V220" s="13"/>
      <c r="W220" s="13"/>
    </row>
    <row r="221" spans="2:27" x14ac:dyDescent="0.25">
      <c r="B221" s="186"/>
      <c r="C221"/>
      <c r="D221"/>
      <c r="E221"/>
      <c r="F221"/>
      <c r="G221"/>
      <c r="H221" s="13"/>
      <c r="I221" s="13"/>
      <c r="J221" s="13"/>
      <c r="K221" s="13"/>
      <c r="L221" s="13"/>
      <c r="M221" s="13"/>
      <c r="N221" s="13"/>
      <c r="O221" s="13"/>
      <c r="P221" s="13"/>
      <c r="Q221" s="13"/>
      <c r="R221" s="13"/>
      <c r="S221" s="13"/>
      <c r="T221" s="13"/>
      <c r="U221" s="13"/>
      <c r="V221" s="13"/>
      <c r="W221" s="13"/>
    </row>
    <row r="222" spans="2:27" ht="15" customHeight="1" x14ac:dyDescent="0.25">
      <c r="B222" s="432" t="s">
        <v>532</v>
      </c>
      <c r="C222" s="475" t="s">
        <v>477</v>
      </c>
      <c r="D222" s="475"/>
      <c r="E222" s="475"/>
      <c r="F222" s="475"/>
      <c r="G222" s="475"/>
      <c r="H222" s="475"/>
      <c r="I222" s="475"/>
      <c r="J222" s="475"/>
      <c r="K222" s="475"/>
      <c r="L222" s="475"/>
      <c r="M222" s="475"/>
      <c r="N222" s="475"/>
      <c r="O222" s="475"/>
      <c r="P222" s="475"/>
      <c r="Q222" s="475"/>
      <c r="R222" s="469" t="s">
        <v>865</v>
      </c>
      <c r="S222" s="470"/>
      <c r="T222" s="471"/>
      <c r="U222" s="13"/>
      <c r="V222" s="13"/>
      <c r="W222" s="13"/>
    </row>
    <row r="223" spans="2:27" ht="15" customHeight="1" x14ac:dyDescent="0.25">
      <c r="B223" s="432"/>
      <c r="C223" s="463" t="s">
        <v>849</v>
      </c>
      <c r="D223" s="463"/>
      <c r="E223" s="463"/>
      <c r="F223" s="463" t="s">
        <v>850</v>
      </c>
      <c r="G223" s="463"/>
      <c r="H223" s="463"/>
      <c r="I223" s="463" t="s">
        <v>3</v>
      </c>
      <c r="J223" s="463"/>
      <c r="K223" s="463"/>
      <c r="L223" s="463" t="s">
        <v>5</v>
      </c>
      <c r="M223" s="463"/>
      <c r="N223" s="463"/>
      <c r="O223" s="463" t="s">
        <v>859</v>
      </c>
      <c r="P223" s="463"/>
      <c r="Q223" s="463"/>
      <c r="R223" s="472"/>
      <c r="S223" s="473"/>
      <c r="T223" s="474"/>
      <c r="U223" s="13"/>
      <c r="V223" s="13"/>
      <c r="W223" s="13"/>
    </row>
    <row r="224" spans="2:27" x14ac:dyDescent="0.25">
      <c r="B224" s="432"/>
      <c r="C224" s="264" t="s">
        <v>73</v>
      </c>
      <c r="D224" s="264" t="s">
        <v>74</v>
      </c>
      <c r="E224" s="264" t="s">
        <v>25</v>
      </c>
      <c r="F224" s="264" t="s">
        <v>73</v>
      </c>
      <c r="G224" s="264" t="s">
        <v>74</v>
      </c>
      <c r="H224" s="264" t="s">
        <v>25</v>
      </c>
      <c r="I224" s="264" t="s">
        <v>73</v>
      </c>
      <c r="J224" s="264" t="s">
        <v>74</v>
      </c>
      <c r="K224" s="264" t="s">
        <v>25</v>
      </c>
      <c r="L224" s="264" t="s">
        <v>73</v>
      </c>
      <c r="M224" s="264" t="s">
        <v>74</v>
      </c>
      <c r="N224" s="264" t="s">
        <v>25</v>
      </c>
      <c r="O224" s="264" t="s">
        <v>73</v>
      </c>
      <c r="P224" s="264" t="s">
        <v>74</v>
      </c>
      <c r="Q224" s="264" t="s">
        <v>25</v>
      </c>
      <c r="R224" s="274" t="s">
        <v>73</v>
      </c>
      <c r="S224" s="274" t="s">
        <v>74</v>
      </c>
      <c r="T224" s="274" t="s">
        <v>25</v>
      </c>
      <c r="U224" s="13"/>
      <c r="V224" s="13"/>
      <c r="W224" s="13"/>
    </row>
    <row r="225" spans="2:24" x14ac:dyDescent="0.25">
      <c r="B225" s="156" t="s">
        <v>207</v>
      </c>
      <c r="C225" s="314">
        <v>20</v>
      </c>
      <c r="D225" s="314">
        <v>18</v>
      </c>
      <c r="E225" s="314">
        <v>38</v>
      </c>
      <c r="F225" s="314">
        <v>9</v>
      </c>
      <c r="G225" s="314">
        <v>12</v>
      </c>
      <c r="H225" s="314">
        <v>21</v>
      </c>
      <c r="I225" s="314">
        <v>13</v>
      </c>
      <c r="J225" s="314">
        <v>3</v>
      </c>
      <c r="K225" s="314">
        <v>16</v>
      </c>
      <c r="L225" s="314">
        <v>3</v>
      </c>
      <c r="M225" s="314">
        <v>6</v>
      </c>
      <c r="N225" s="314">
        <v>9</v>
      </c>
      <c r="O225" s="314">
        <v>0</v>
      </c>
      <c r="P225" s="314">
        <v>0</v>
      </c>
      <c r="Q225" s="314">
        <v>0</v>
      </c>
      <c r="R225" s="295">
        <v>45</v>
      </c>
      <c r="S225" s="295">
        <v>39</v>
      </c>
      <c r="T225" s="295">
        <v>84</v>
      </c>
      <c r="U225" s="13"/>
      <c r="V225" s="13"/>
      <c r="W225" s="13"/>
      <c r="X225" s="13"/>
    </row>
    <row r="226" spans="2:24" x14ac:dyDescent="0.25">
      <c r="B226" s="136" t="s">
        <v>208</v>
      </c>
      <c r="C226" s="316">
        <v>43</v>
      </c>
      <c r="D226" s="316">
        <v>56</v>
      </c>
      <c r="E226" s="316">
        <v>99</v>
      </c>
      <c r="F226" s="316">
        <v>23</v>
      </c>
      <c r="G226" s="316">
        <v>24</v>
      </c>
      <c r="H226" s="316">
        <v>47</v>
      </c>
      <c r="I226" s="316">
        <v>12</v>
      </c>
      <c r="J226" s="316">
        <v>11</v>
      </c>
      <c r="K226" s="316">
        <v>23</v>
      </c>
      <c r="L226" s="316">
        <v>8</v>
      </c>
      <c r="M226" s="316">
        <v>7</v>
      </c>
      <c r="N226" s="316">
        <v>15</v>
      </c>
      <c r="O226" s="316">
        <v>0</v>
      </c>
      <c r="P226" s="316">
        <v>0</v>
      </c>
      <c r="Q226" s="316">
        <v>0</v>
      </c>
      <c r="R226" s="295">
        <v>86</v>
      </c>
      <c r="S226" s="295">
        <v>98</v>
      </c>
      <c r="T226" s="295">
        <v>184</v>
      </c>
      <c r="U226" s="13"/>
      <c r="V226" s="13"/>
      <c r="W226" s="13"/>
      <c r="X226" s="13"/>
    </row>
    <row r="227" spans="2:24" x14ac:dyDescent="0.25">
      <c r="B227" s="136" t="s">
        <v>209</v>
      </c>
      <c r="C227" s="316">
        <v>15</v>
      </c>
      <c r="D227" s="316">
        <v>20</v>
      </c>
      <c r="E227" s="316">
        <v>35</v>
      </c>
      <c r="F227" s="316">
        <v>7</v>
      </c>
      <c r="G227" s="316">
        <v>5</v>
      </c>
      <c r="H227" s="316">
        <v>12</v>
      </c>
      <c r="I227" s="316">
        <v>10</v>
      </c>
      <c r="J227" s="316">
        <v>1</v>
      </c>
      <c r="K227" s="316">
        <v>11</v>
      </c>
      <c r="L227" s="316">
        <v>2</v>
      </c>
      <c r="M227" s="316">
        <v>1</v>
      </c>
      <c r="N227" s="316">
        <v>3</v>
      </c>
      <c r="O227" s="316">
        <v>0</v>
      </c>
      <c r="P227" s="316">
        <v>0</v>
      </c>
      <c r="Q227" s="316">
        <v>0</v>
      </c>
      <c r="R227" s="295">
        <v>34</v>
      </c>
      <c r="S227" s="295">
        <v>27</v>
      </c>
      <c r="T227" s="295">
        <v>61</v>
      </c>
      <c r="U227" s="13"/>
      <c r="V227" s="13"/>
      <c r="W227" s="13"/>
      <c r="X227" s="13"/>
    </row>
    <row r="228" spans="2:24" x14ac:dyDescent="0.25">
      <c r="B228" s="136" t="s">
        <v>210</v>
      </c>
      <c r="C228" s="316">
        <v>7</v>
      </c>
      <c r="D228" s="316">
        <v>3</v>
      </c>
      <c r="E228" s="316">
        <v>10</v>
      </c>
      <c r="F228" s="316">
        <v>8</v>
      </c>
      <c r="G228" s="316">
        <v>8</v>
      </c>
      <c r="H228" s="316">
        <v>16</v>
      </c>
      <c r="I228" s="316">
        <v>4</v>
      </c>
      <c r="J228" s="316">
        <v>2</v>
      </c>
      <c r="K228" s="316">
        <v>6</v>
      </c>
      <c r="L228" s="316">
        <v>1</v>
      </c>
      <c r="M228" s="316">
        <v>3</v>
      </c>
      <c r="N228" s="316">
        <v>4</v>
      </c>
      <c r="O228" s="316">
        <v>0</v>
      </c>
      <c r="P228" s="316">
        <v>0</v>
      </c>
      <c r="Q228" s="316">
        <v>0</v>
      </c>
      <c r="R228" s="295">
        <v>20</v>
      </c>
      <c r="S228" s="295">
        <v>16</v>
      </c>
      <c r="T228" s="295">
        <v>36</v>
      </c>
      <c r="U228" s="13"/>
      <c r="V228" s="13"/>
      <c r="W228" s="13"/>
      <c r="X228" s="13"/>
    </row>
    <row r="229" spans="2:24" x14ac:dyDescent="0.25">
      <c r="B229" s="136" t="s">
        <v>211</v>
      </c>
      <c r="C229" s="316">
        <v>23</v>
      </c>
      <c r="D229" s="316">
        <v>22</v>
      </c>
      <c r="E229" s="316">
        <v>45</v>
      </c>
      <c r="F229" s="316">
        <v>19</v>
      </c>
      <c r="G229" s="316">
        <v>11</v>
      </c>
      <c r="H229" s="316">
        <v>30</v>
      </c>
      <c r="I229" s="316">
        <v>7</v>
      </c>
      <c r="J229" s="316">
        <v>1</v>
      </c>
      <c r="K229" s="316">
        <v>8</v>
      </c>
      <c r="L229" s="316">
        <v>4</v>
      </c>
      <c r="M229" s="316">
        <v>11</v>
      </c>
      <c r="N229" s="316">
        <v>15</v>
      </c>
      <c r="O229" s="316">
        <v>0</v>
      </c>
      <c r="P229" s="316">
        <v>0</v>
      </c>
      <c r="Q229" s="316">
        <v>0</v>
      </c>
      <c r="R229" s="295">
        <v>53</v>
      </c>
      <c r="S229" s="295">
        <v>45</v>
      </c>
      <c r="T229" s="295">
        <v>98</v>
      </c>
      <c r="U229" s="13"/>
      <c r="V229" s="13"/>
      <c r="W229" s="13"/>
      <c r="X229" s="13"/>
    </row>
    <row r="230" spans="2:24" x14ac:dyDescent="0.25">
      <c r="B230" s="136" t="s">
        <v>493</v>
      </c>
      <c r="C230" s="316">
        <v>22</v>
      </c>
      <c r="D230" s="316">
        <v>23</v>
      </c>
      <c r="E230" s="316">
        <v>45</v>
      </c>
      <c r="F230" s="316">
        <v>16</v>
      </c>
      <c r="G230" s="316">
        <v>14</v>
      </c>
      <c r="H230" s="316">
        <v>30</v>
      </c>
      <c r="I230" s="316">
        <v>4</v>
      </c>
      <c r="J230" s="316">
        <v>1</v>
      </c>
      <c r="K230" s="316">
        <v>5</v>
      </c>
      <c r="L230" s="316">
        <v>4</v>
      </c>
      <c r="M230" s="316">
        <v>4</v>
      </c>
      <c r="N230" s="316">
        <v>8</v>
      </c>
      <c r="O230" s="316">
        <v>0</v>
      </c>
      <c r="P230" s="316">
        <v>0</v>
      </c>
      <c r="Q230" s="316">
        <v>0</v>
      </c>
      <c r="R230" s="295">
        <v>46</v>
      </c>
      <c r="S230" s="295">
        <v>42</v>
      </c>
      <c r="T230" s="295">
        <v>88</v>
      </c>
      <c r="U230" s="13"/>
      <c r="V230" s="13"/>
      <c r="W230" s="13"/>
      <c r="X230" s="13"/>
    </row>
    <row r="231" spans="2:24" x14ac:dyDescent="0.25">
      <c r="B231" s="136" t="s">
        <v>212</v>
      </c>
      <c r="C231" s="316">
        <v>38</v>
      </c>
      <c r="D231" s="316">
        <v>25</v>
      </c>
      <c r="E231" s="316">
        <v>63</v>
      </c>
      <c r="F231" s="316">
        <v>26</v>
      </c>
      <c r="G231" s="316">
        <v>21</v>
      </c>
      <c r="H231" s="316">
        <v>47</v>
      </c>
      <c r="I231" s="316">
        <v>9</v>
      </c>
      <c r="J231" s="316">
        <v>5</v>
      </c>
      <c r="K231" s="316">
        <v>14</v>
      </c>
      <c r="L231" s="316">
        <v>8</v>
      </c>
      <c r="M231" s="316">
        <v>6</v>
      </c>
      <c r="N231" s="316">
        <v>14</v>
      </c>
      <c r="O231" s="316">
        <v>0</v>
      </c>
      <c r="P231" s="316">
        <v>0</v>
      </c>
      <c r="Q231" s="316">
        <v>0</v>
      </c>
      <c r="R231" s="295">
        <v>81</v>
      </c>
      <c r="S231" s="295">
        <v>57</v>
      </c>
      <c r="T231" s="295">
        <v>138</v>
      </c>
      <c r="U231" s="13"/>
      <c r="V231" s="13"/>
      <c r="W231" s="13"/>
      <c r="X231" s="13"/>
    </row>
    <row r="232" spans="2:24" x14ac:dyDescent="0.25">
      <c r="B232" s="136" t="s">
        <v>213</v>
      </c>
      <c r="C232" s="316">
        <v>7</v>
      </c>
      <c r="D232" s="316">
        <v>11</v>
      </c>
      <c r="E232" s="316">
        <v>18</v>
      </c>
      <c r="F232" s="316">
        <v>2</v>
      </c>
      <c r="G232" s="316">
        <v>4</v>
      </c>
      <c r="H232" s="316">
        <v>6</v>
      </c>
      <c r="I232" s="316">
        <v>1</v>
      </c>
      <c r="J232" s="316">
        <v>1</v>
      </c>
      <c r="K232" s="316">
        <v>2</v>
      </c>
      <c r="L232" s="316">
        <v>0</v>
      </c>
      <c r="M232" s="316">
        <v>2</v>
      </c>
      <c r="N232" s="316">
        <v>2</v>
      </c>
      <c r="O232" s="316">
        <v>0</v>
      </c>
      <c r="P232" s="316">
        <v>0</v>
      </c>
      <c r="Q232" s="316">
        <v>0</v>
      </c>
      <c r="R232" s="295">
        <v>10</v>
      </c>
      <c r="S232" s="295">
        <v>18</v>
      </c>
      <c r="T232" s="295">
        <v>28</v>
      </c>
      <c r="U232" s="13"/>
      <c r="V232" s="13"/>
      <c r="W232" s="13"/>
      <c r="X232" s="13"/>
    </row>
    <row r="233" spans="2:24" x14ac:dyDescent="0.25">
      <c r="B233" s="136" t="s">
        <v>214</v>
      </c>
      <c r="C233" s="316">
        <v>34</v>
      </c>
      <c r="D233" s="316">
        <v>35</v>
      </c>
      <c r="E233" s="316">
        <v>69</v>
      </c>
      <c r="F233" s="316">
        <v>20</v>
      </c>
      <c r="G233" s="316">
        <v>24</v>
      </c>
      <c r="H233" s="316">
        <v>44</v>
      </c>
      <c r="I233" s="316">
        <v>19</v>
      </c>
      <c r="J233" s="316">
        <v>8</v>
      </c>
      <c r="K233" s="316">
        <v>27</v>
      </c>
      <c r="L233" s="316">
        <v>3</v>
      </c>
      <c r="M233" s="316">
        <v>9</v>
      </c>
      <c r="N233" s="316">
        <v>12</v>
      </c>
      <c r="O233" s="316">
        <v>0</v>
      </c>
      <c r="P233" s="316">
        <v>0</v>
      </c>
      <c r="Q233" s="316">
        <v>0</v>
      </c>
      <c r="R233" s="295">
        <v>76</v>
      </c>
      <c r="S233" s="295">
        <v>76</v>
      </c>
      <c r="T233" s="295">
        <v>152</v>
      </c>
      <c r="U233" s="13"/>
      <c r="V233" s="13"/>
      <c r="W233" s="13"/>
      <c r="X233" s="13"/>
    </row>
    <row r="234" spans="2:24" x14ac:dyDescent="0.25">
      <c r="B234" s="136" t="s">
        <v>215</v>
      </c>
      <c r="C234" s="316">
        <v>13</v>
      </c>
      <c r="D234" s="316">
        <v>14</v>
      </c>
      <c r="E234" s="316">
        <v>27</v>
      </c>
      <c r="F234" s="316">
        <v>2</v>
      </c>
      <c r="G234" s="316">
        <v>6</v>
      </c>
      <c r="H234" s="316">
        <v>8</v>
      </c>
      <c r="I234" s="316">
        <v>10</v>
      </c>
      <c r="J234" s="316">
        <v>1</v>
      </c>
      <c r="K234" s="316">
        <v>11</v>
      </c>
      <c r="L234" s="316">
        <v>4</v>
      </c>
      <c r="M234" s="316">
        <v>3</v>
      </c>
      <c r="N234" s="316">
        <v>7</v>
      </c>
      <c r="O234" s="316">
        <v>0</v>
      </c>
      <c r="P234" s="316">
        <v>0</v>
      </c>
      <c r="Q234" s="316">
        <v>0</v>
      </c>
      <c r="R234" s="295">
        <v>29</v>
      </c>
      <c r="S234" s="295">
        <v>24</v>
      </c>
      <c r="T234" s="295">
        <v>53</v>
      </c>
      <c r="U234" s="13"/>
      <c r="V234" s="13"/>
      <c r="W234" s="13"/>
      <c r="X234" s="13"/>
    </row>
    <row r="235" spans="2:24" x14ac:dyDescent="0.25">
      <c r="B235" s="136" t="s">
        <v>216</v>
      </c>
      <c r="C235" s="316">
        <v>16</v>
      </c>
      <c r="D235" s="316">
        <v>12</v>
      </c>
      <c r="E235" s="316">
        <v>28</v>
      </c>
      <c r="F235" s="316">
        <v>9</v>
      </c>
      <c r="G235" s="316">
        <v>2</v>
      </c>
      <c r="H235" s="316">
        <v>11</v>
      </c>
      <c r="I235" s="316">
        <v>4</v>
      </c>
      <c r="J235" s="316">
        <v>0</v>
      </c>
      <c r="K235" s="316">
        <v>4</v>
      </c>
      <c r="L235" s="316">
        <v>1</v>
      </c>
      <c r="M235" s="316">
        <v>1</v>
      </c>
      <c r="N235" s="316">
        <v>2</v>
      </c>
      <c r="O235" s="316">
        <v>0</v>
      </c>
      <c r="P235" s="316">
        <v>0</v>
      </c>
      <c r="Q235" s="316">
        <v>0</v>
      </c>
      <c r="R235" s="295">
        <v>30</v>
      </c>
      <c r="S235" s="295">
        <v>15</v>
      </c>
      <c r="T235" s="295">
        <v>45</v>
      </c>
      <c r="U235" s="13"/>
      <c r="V235" s="13"/>
      <c r="W235" s="13"/>
      <c r="X235" s="13"/>
    </row>
    <row r="236" spans="2:24" x14ac:dyDescent="0.25">
      <c r="B236" s="136" t="s">
        <v>217</v>
      </c>
      <c r="C236" s="316">
        <v>53</v>
      </c>
      <c r="D236" s="316">
        <v>34</v>
      </c>
      <c r="E236" s="316">
        <v>87</v>
      </c>
      <c r="F236" s="316">
        <v>48</v>
      </c>
      <c r="G236" s="316">
        <v>47</v>
      </c>
      <c r="H236" s="316">
        <v>95</v>
      </c>
      <c r="I236" s="316">
        <v>20</v>
      </c>
      <c r="J236" s="316">
        <v>7</v>
      </c>
      <c r="K236" s="316">
        <v>27</v>
      </c>
      <c r="L236" s="316">
        <v>10</v>
      </c>
      <c r="M236" s="316">
        <v>7</v>
      </c>
      <c r="N236" s="316">
        <v>17</v>
      </c>
      <c r="O236" s="316">
        <v>0</v>
      </c>
      <c r="P236" s="316">
        <v>1</v>
      </c>
      <c r="Q236" s="316">
        <v>1</v>
      </c>
      <c r="R236" s="295">
        <v>131</v>
      </c>
      <c r="S236" s="295">
        <v>96</v>
      </c>
      <c r="T236" s="295">
        <v>227</v>
      </c>
      <c r="U236" s="13"/>
      <c r="V236" s="13"/>
      <c r="W236" s="13"/>
      <c r="X236" s="13"/>
    </row>
    <row r="237" spans="2:24" x14ac:dyDescent="0.25">
      <c r="B237" s="136" t="s">
        <v>218</v>
      </c>
      <c r="C237" s="316">
        <v>22</v>
      </c>
      <c r="D237" s="316">
        <v>20</v>
      </c>
      <c r="E237" s="316">
        <v>42</v>
      </c>
      <c r="F237" s="316">
        <v>9</v>
      </c>
      <c r="G237" s="316">
        <v>13</v>
      </c>
      <c r="H237" s="316">
        <v>22</v>
      </c>
      <c r="I237" s="316">
        <v>2</v>
      </c>
      <c r="J237" s="316">
        <v>4</v>
      </c>
      <c r="K237" s="316">
        <v>6</v>
      </c>
      <c r="L237" s="316">
        <v>6</v>
      </c>
      <c r="M237" s="316">
        <v>6</v>
      </c>
      <c r="N237" s="316">
        <v>12</v>
      </c>
      <c r="O237" s="316">
        <v>0</v>
      </c>
      <c r="P237" s="316">
        <v>0</v>
      </c>
      <c r="Q237" s="316">
        <v>0</v>
      </c>
      <c r="R237" s="295">
        <v>39</v>
      </c>
      <c r="S237" s="295">
        <v>43</v>
      </c>
      <c r="T237" s="295">
        <v>82</v>
      </c>
      <c r="U237" s="13"/>
      <c r="V237" s="13"/>
      <c r="W237" s="13"/>
      <c r="X237" s="13"/>
    </row>
    <row r="238" spans="2:24" x14ac:dyDescent="0.25">
      <c r="B238" s="136" t="s">
        <v>219</v>
      </c>
      <c r="C238" s="316">
        <v>8</v>
      </c>
      <c r="D238" s="316">
        <v>10</v>
      </c>
      <c r="E238" s="316">
        <v>18</v>
      </c>
      <c r="F238" s="316">
        <v>6</v>
      </c>
      <c r="G238" s="316">
        <v>2</v>
      </c>
      <c r="H238" s="316">
        <v>8</v>
      </c>
      <c r="I238" s="316">
        <v>2</v>
      </c>
      <c r="J238" s="316">
        <v>0</v>
      </c>
      <c r="K238" s="316">
        <v>2</v>
      </c>
      <c r="L238" s="316">
        <v>0</v>
      </c>
      <c r="M238" s="316">
        <v>1</v>
      </c>
      <c r="N238" s="316">
        <v>1</v>
      </c>
      <c r="O238" s="316">
        <v>0</v>
      </c>
      <c r="P238" s="316">
        <v>0</v>
      </c>
      <c r="Q238" s="316">
        <v>0</v>
      </c>
      <c r="R238" s="295">
        <v>16</v>
      </c>
      <c r="S238" s="295">
        <v>13</v>
      </c>
      <c r="T238" s="295">
        <v>29</v>
      </c>
      <c r="U238" s="13"/>
      <c r="V238" s="13"/>
      <c r="W238" s="13"/>
      <c r="X238" s="13"/>
    </row>
    <row r="239" spans="2:24" x14ac:dyDescent="0.25">
      <c r="B239" s="136" t="s">
        <v>220</v>
      </c>
      <c r="C239" s="316">
        <v>36</v>
      </c>
      <c r="D239" s="316">
        <v>40</v>
      </c>
      <c r="E239" s="316">
        <v>76</v>
      </c>
      <c r="F239" s="316">
        <v>21</v>
      </c>
      <c r="G239" s="316">
        <v>13</v>
      </c>
      <c r="H239" s="316">
        <v>34</v>
      </c>
      <c r="I239" s="316">
        <v>21</v>
      </c>
      <c r="J239" s="316">
        <v>3</v>
      </c>
      <c r="K239" s="316">
        <v>24</v>
      </c>
      <c r="L239" s="316">
        <v>5</v>
      </c>
      <c r="M239" s="316">
        <v>4</v>
      </c>
      <c r="N239" s="316">
        <v>9</v>
      </c>
      <c r="O239" s="316">
        <v>0</v>
      </c>
      <c r="P239" s="316">
        <v>0</v>
      </c>
      <c r="Q239" s="316">
        <v>0</v>
      </c>
      <c r="R239" s="295">
        <v>83</v>
      </c>
      <c r="S239" s="295">
        <v>60</v>
      </c>
      <c r="T239" s="295">
        <v>143</v>
      </c>
      <c r="U239" s="13"/>
      <c r="V239" s="13"/>
      <c r="W239" s="13"/>
      <c r="X239" s="13"/>
    </row>
    <row r="240" spans="2:24" x14ac:dyDescent="0.25">
      <c r="B240" s="136" t="s">
        <v>221</v>
      </c>
      <c r="C240" s="316">
        <v>16</v>
      </c>
      <c r="D240" s="316">
        <v>13</v>
      </c>
      <c r="E240" s="316">
        <v>29</v>
      </c>
      <c r="F240" s="316">
        <v>14</v>
      </c>
      <c r="G240" s="316">
        <v>4</v>
      </c>
      <c r="H240" s="316">
        <v>18</v>
      </c>
      <c r="I240" s="316">
        <v>7</v>
      </c>
      <c r="J240" s="316">
        <v>2</v>
      </c>
      <c r="K240" s="316">
        <v>9</v>
      </c>
      <c r="L240" s="316">
        <v>4</v>
      </c>
      <c r="M240" s="316">
        <v>6</v>
      </c>
      <c r="N240" s="316">
        <v>10</v>
      </c>
      <c r="O240" s="316">
        <v>0</v>
      </c>
      <c r="P240" s="316">
        <v>0</v>
      </c>
      <c r="Q240" s="316">
        <v>0</v>
      </c>
      <c r="R240" s="295">
        <v>41</v>
      </c>
      <c r="S240" s="295">
        <v>25</v>
      </c>
      <c r="T240" s="295">
        <v>66</v>
      </c>
      <c r="U240" s="13"/>
      <c r="V240" s="13"/>
      <c r="W240" s="13"/>
      <c r="X240" s="13"/>
    </row>
    <row r="241" spans="2:24" x14ac:dyDescent="0.25">
      <c r="B241" s="136" t="s">
        <v>222</v>
      </c>
      <c r="C241" s="316">
        <v>7</v>
      </c>
      <c r="D241" s="316">
        <v>10</v>
      </c>
      <c r="E241" s="316">
        <v>17</v>
      </c>
      <c r="F241" s="316">
        <v>8</v>
      </c>
      <c r="G241" s="316">
        <v>5</v>
      </c>
      <c r="H241" s="316">
        <v>13</v>
      </c>
      <c r="I241" s="316">
        <v>4</v>
      </c>
      <c r="J241" s="316">
        <v>3</v>
      </c>
      <c r="K241" s="316">
        <v>7</v>
      </c>
      <c r="L241" s="316">
        <v>5</v>
      </c>
      <c r="M241" s="316">
        <v>1</v>
      </c>
      <c r="N241" s="316">
        <v>6</v>
      </c>
      <c r="O241" s="316">
        <v>0</v>
      </c>
      <c r="P241" s="316">
        <v>0</v>
      </c>
      <c r="Q241" s="316">
        <v>0</v>
      </c>
      <c r="R241" s="295">
        <v>24</v>
      </c>
      <c r="S241" s="295">
        <v>19</v>
      </c>
      <c r="T241" s="295">
        <v>43</v>
      </c>
      <c r="U241" s="13"/>
      <c r="V241" s="13"/>
      <c r="W241" s="13"/>
      <c r="X241" s="13"/>
    </row>
    <row r="242" spans="2:24" x14ac:dyDescent="0.25">
      <c r="B242" s="136" t="s">
        <v>223</v>
      </c>
      <c r="C242" s="316">
        <v>17</v>
      </c>
      <c r="D242" s="316">
        <v>15</v>
      </c>
      <c r="E242" s="316">
        <v>32</v>
      </c>
      <c r="F242" s="316">
        <v>16</v>
      </c>
      <c r="G242" s="316">
        <v>14</v>
      </c>
      <c r="H242" s="316">
        <v>30</v>
      </c>
      <c r="I242" s="316">
        <v>10</v>
      </c>
      <c r="J242" s="316">
        <v>1</v>
      </c>
      <c r="K242" s="316">
        <v>11</v>
      </c>
      <c r="L242" s="316">
        <v>1</v>
      </c>
      <c r="M242" s="316">
        <v>2</v>
      </c>
      <c r="N242" s="316">
        <v>3</v>
      </c>
      <c r="O242" s="316">
        <v>0</v>
      </c>
      <c r="P242" s="316">
        <v>0</v>
      </c>
      <c r="Q242" s="316">
        <v>0</v>
      </c>
      <c r="R242" s="295">
        <v>44</v>
      </c>
      <c r="S242" s="295">
        <v>32</v>
      </c>
      <c r="T242" s="295">
        <v>76</v>
      </c>
      <c r="U242" s="13"/>
      <c r="V242" s="13"/>
      <c r="W242" s="13"/>
      <c r="X242" s="13"/>
    </row>
    <row r="243" spans="2:24" x14ac:dyDescent="0.25">
      <c r="B243" s="136" t="s">
        <v>224</v>
      </c>
      <c r="C243" s="316">
        <v>12</v>
      </c>
      <c r="D243" s="316">
        <v>18</v>
      </c>
      <c r="E243" s="316">
        <v>30</v>
      </c>
      <c r="F243" s="316">
        <v>8</v>
      </c>
      <c r="G243" s="316">
        <v>10</v>
      </c>
      <c r="H243" s="316">
        <v>18</v>
      </c>
      <c r="I243" s="316">
        <v>3</v>
      </c>
      <c r="J243" s="316">
        <v>1</v>
      </c>
      <c r="K243" s="316">
        <v>4</v>
      </c>
      <c r="L243" s="316">
        <v>1</v>
      </c>
      <c r="M243" s="316">
        <v>1</v>
      </c>
      <c r="N243" s="316">
        <v>2</v>
      </c>
      <c r="O243" s="316">
        <v>0</v>
      </c>
      <c r="P243" s="316">
        <v>0</v>
      </c>
      <c r="Q243" s="316">
        <v>0</v>
      </c>
      <c r="R243" s="295">
        <v>24</v>
      </c>
      <c r="S243" s="295">
        <v>30</v>
      </c>
      <c r="T243" s="295">
        <v>54</v>
      </c>
      <c r="U243" s="13"/>
      <c r="V243" s="13"/>
      <c r="W243" s="13"/>
      <c r="X243" s="13"/>
    </row>
    <row r="244" spans="2:24" x14ac:dyDescent="0.25">
      <c r="B244" s="136" t="s">
        <v>225</v>
      </c>
      <c r="C244" s="316">
        <v>12</v>
      </c>
      <c r="D244" s="316">
        <v>9</v>
      </c>
      <c r="E244" s="316">
        <v>21</v>
      </c>
      <c r="F244" s="316">
        <v>5</v>
      </c>
      <c r="G244" s="316">
        <v>10</v>
      </c>
      <c r="H244" s="316">
        <v>15</v>
      </c>
      <c r="I244" s="316">
        <v>6</v>
      </c>
      <c r="J244" s="316">
        <v>2</v>
      </c>
      <c r="K244" s="316">
        <v>8</v>
      </c>
      <c r="L244" s="316">
        <v>3</v>
      </c>
      <c r="M244" s="316">
        <v>3</v>
      </c>
      <c r="N244" s="316">
        <v>6</v>
      </c>
      <c r="O244" s="316">
        <v>0</v>
      </c>
      <c r="P244" s="316">
        <v>0</v>
      </c>
      <c r="Q244" s="316">
        <v>0</v>
      </c>
      <c r="R244" s="295">
        <v>26</v>
      </c>
      <c r="S244" s="295">
        <v>24</v>
      </c>
      <c r="T244" s="295">
        <v>50</v>
      </c>
      <c r="U244" s="13"/>
      <c r="V244" s="13"/>
      <c r="W244" s="13"/>
      <c r="X244" s="13"/>
    </row>
    <row r="245" spans="2:24" x14ac:dyDescent="0.25">
      <c r="B245" s="136" t="s">
        <v>226</v>
      </c>
      <c r="C245" s="316">
        <v>19</v>
      </c>
      <c r="D245" s="316">
        <v>15</v>
      </c>
      <c r="E245" s="316">
        <v>34</v>
      </c>
      <c r="F245" s="316">
        <v>9</v>
      </c>
      <c r="G245" s="316">
        <v>6</v>
      </c>
      <c r="H245" s="316">
        <v>15</v>
      </c>
      <c r="I245" s="316">
        <v>7</v>
      </c>
      <c r="J245" s="316">
        <v>1</v>
      </c>
      <c r="K245" s="316">
        <v>8</v>
      </c>
      <c r="L245" s="316">
        <v>2</v>
      </c>
      <c r="M245" s="316">
        <v>4</v>
      </c>
      <c r="N245" s="316">
        <v>6</v>
      </c>
      <c r="O245" s="316">
        <v>0</v>
      </c>
      <c r="P245" s="316">
        <v>0</v>
      </c>
      <c r="Q245" s="316">
        <v>0</v>
      </c>
      <c r="R245" s="295">
        <v>37</v>
      </c>
      <c r="S245" s="295">
        <v>26</v>
      </c>
      <c r="T245" s="295">
        <v>63</v>
      </c>
      <c r="U245" s="13"/>
      <c r="V245" s="13"/>
      <c r="W245" s="13"/>
      <c r="X245" s="13"/>
    </row>
    <row r="246" spans="2:24" x14ac:dyDescent="0.25">
      <c r="B246" s="136" t="s">
        <v>227</v>
      </c>
      <c r="C246" s="316">
        <v>13</v>
      </c>
      <c r="D246" s="316">
        <v>20</v>
      </c>
      <c r="E246" s="316">
        <v>33</v>
      </c>
      <c r="F246" s="316">
        <v>13</v>
      </c>
      <c r="G246" s="316">
        <v>10</v>
      </c>
      <c r="H246" s="316">
        <v>23</v>
      </c>
      <c r="I246" s="316">
        <v>5</v>
      </c>
      <c r="J246" s="316">
        <v>3</v>
      </c>
      <c r="K246" s="316">
        <v>8</v>
      </c>
      <c r="L246" s="316">
        <v>2</v>
      </c>
      <c r="M246" s="316">
        <v>2</v>
      </c>
      <c r="N246" s="316">
        <v>4</v>
      </c>
      <c r="O246" s="316">
        <v>0</v>
      </c>
      <c r="P246" s="316">
        <v>0</v>
      </c>
      <c r="Q246" s="316">
        <v>0</v>
      </c>
      <c r="R246" s="295">
        <v>33</v>
      </c>
      <c r="S246" s="295">
        <v>35</v>
      </c>
      <c r="T246" s="295">
        <v>68</v>
      </c>
      <c r="U246" s="13"/>
      <c r="V246" s="13"/>
      <c r="W246" s="13"/>
      <c r="X246" s="13"/>
    </row>
    <row r="247" spans="2:24" x14ac:dyDescent="0.25">
      <c r="B247" s="136" t="s">
        <v>228</v>
      </c>
      <c r="C247" s="316">
        <v>24</v>
      </c>
      <c r="D247" s="316">
        <v>21</v>
      </c>
      <c r="E247" s="316">
        <v>45</v>
      </c>
      <c r="F247" s="316">
        <v>12</v>
      </c>
      <c r="G247" s="316">
        <v>18</v>
      </c>
      <c r="H247" s="316">
        <v>30</v>
      </c>
      <c r="I247" s="316">
        <v>10</v>
      </c>
      <c r="J247" s="316">
        <v>1</v>
      </c>
      <c r="K247" s="316">
        <v>11</v>
      </c>
      <c r="L247" s="316">
        <v>13</v>
      </c>
      <c r="M247" s="316">
        <v>5</v>
      </c>
      <c r="N247" s="316">
        <v>18</v>
      </c>
      <c r="O247" s="316">
        <v>0</v>
      </c>
      <c r="P247" s="316">
        <v>0</v>
      </c>
      <c r="Q247" s="316">
        <v>0</v>
      </c>
      <c r="R247" s="295">
        <v>59</v>
      </c>
      <c r="S247" s="295">
        <v>45</v>
      </c>
      <c r="T247" s="295">
        <v>104</v>
      </c>
      <c r="U247" s="13"/>
      <c r="V247" s="13"/>
      <c r="W247" s="13"/>
      <c r="X247" s="13"/>
    </row>
    <row r="248" spans="2:24" x14ac:dyDescent="0.25">
      <c r="B248" s="136" t="s">
        <v>229</v>
      </c>
      <c r="C248" s="316">
        <v>23</v>
      </c>
      <c r="D248" s="316">
        <v>24</v>
      </c>
      <c r="E248" s="316">
        <v>47</v>
      </c>
      <c r="F248" s="316">
        <v>8</v>
      </c>
      <c r="G248" s="316">
        <v>25</v>
      </c>
      <c r="H248" s="316">
        <v>33</v>
      </c>
      <c r="I248" s="316">
        <v>11</v>
      </c>
      <c r="J248" s="316">
        <v>1</v>
      </c>
      <c r="K248" s="316">
        <v>12</v>
      </c>
      <c r="L248" s="316">
        <v>5</v>
      </c>
      <c r="M248" s="316">
        <v>5</v>
      </c>
      <c r="N248" s="316">
        <v>10</v>
      </c>
      <c r="O248" s="316">
        <v>0</v>
      </c>
      <c r="P248" s="316">
        <v>0</v>
      </c>
      <c r="Q248" s="316">
        <v>0</v>
      </c>
      <c r="R248" s="295">
        <v>47</v>
      </c>
      <c r="S248" s="295">
        <v>55</v>
      </c>
      <c r="T248" s="295">
        <v>102</v>
      </c>
      <c r="U248" s="13"/>
      <c r="V248" s="13"/>
      <c r="W248" s="13"/>
      <c r="X248" s="13"/>
    </row>
    <row r="249" spans="2:24" x14ac:dyDescent="0.25">
      <c r="B249" s="136" t="s">
        <v>230</v>
      </c>
      <c r="C249" s="316">
        <v>10</v>
      </c>
      <c r="D249" s="316">
        <v>9</v>
      </c>
      <c r="E249" s="316">
        <v>19</v>
      </c>
      <c r="F249" s="316">
        <v>9</v>
      </c>
      <c r="G249" s="316">
        <v>4</v>
      </c>
      <c r="H249" s="316">
        <v>13</v>
      </c>
      <c r="I249" s="316">
        <v>4</v>
      </c>
      <c r="J249" s="316">
        <v>0</v>
      </c>
      <c r="K249" s="316">
        <v>4</v>
      </c>
      <c r="L249" s="316">
        <v>4</v>
      </c>
      <c r="M249" s="316">
        <v>3</v>
      </c>
      <c r="N249" s="316">
        <v>7</v>
      </c>
      <c r="O249" s="316">
        <v>0</v>
      </c>
      <c r="P249" s="316">
        <v>0</v>
      </c>
      <c r="Q249" s="316">
        <v>0</v>
      </c>
      <c r="R249" s="295">
        <v>27</v>
      </c>
      <c r="S249" s="295">
        <v>16</v>
      </c>
      <c r="T249" s="295">
        <v>43</v>
      </c>
      <c r="U249" s="13"/>
      <c r="V249" s="13"/>
      <c r="W249" s="13"/>
      <c r="X249" s="13"/>
    </row>
    <row r="250" spans="2:24" x14ac:dyDescent="0.25">
      <c r="B250" s="136" t="s">
        <v>231</v>
      </c>
      <c r="C250" s="316">
        <v>6</v>
      </c>
      <c r="D250" s="316">
        <v>4</v>
      </c>
      <c r="E250" s="316">
        <v>10</v>
      </c>
      <c r="F250" s="316">
        <v>1</v>
      </c>
      <c r="G250" s="316">
        <v>3</v>
      </c>
      <c r="H250" s="316">
        <v>4</v>
      </c>
      <c r="I250" s="316">
        <v>2</v>
      </c>
      <c r="J250" s="316">
        <v>0</v>
      </c>
      <c r="K250" s="316">
        <v>2</v>
      </c>
      <c r="L250" s="316">
        <v>1</v>
      </c>
      <c r="M250" s="316">
        <v>2</v>
      </c>
      <c r="N250" s="316">
        <v>3</v>
      </c>
      <c r="O250" s="316">
        <v>0</v>
      </c>
      <c r="P250" s="316">
        <v>0</v>
      </c>
      <c r="Q250" s="316">
        <v>0</v>
      </c>
      <c r="R250" s="295">
        <v>10</v>
      </c>
      <c r="S250" s="295">
        <v>9</v>
      </c>
      <c r="T250" s="295">
        <v>19</v>
      </c>
      <c r="U250" s="13"/>
      <c r="V250" s="13"/>
      <c r="W250" s="13"/>
      <c r="X250" s="13"/>
    </row>
    <row r="251" spans="2:24" x14ac:dyDescent="0.25">
      <c r="B251" s="136" t="s">
        <v>232</v>
      </c>
      <c r="C251" s="316">
        <v>13</v>
      </c>
      <c r="D251" s="316">
        <v>18</v>
      </c>
      <c r="E251" s="316">
        <v>31</v>
      </c>
      <c r="F251" s="316">
        <v>5</v>
      </c>
      <c r="G251" s="316">
        <v>9</v>
      </c>
      <c r="H251" s="316">
        <v>14</v>
      </c>
      <c r="I251" s="316">
        <v>7</v>
      </c>
      <c r="J251" s="316">
        <v>3</v>
      </c>
      <c r="K251" s="316">
        <v>10</v>
      </c>
      <c r="L251" s="316">
        <v>3</v>
      </c>
      <c r="M251" s="316">
        <v>4</v>
      </c>
      <c r="N251" s="316">
        <v>7</v>
      </c>
      <c r="O251" s="316">
        <v>0</v>
      </c>
      <c r="P251" s="316">
        <v>0</v>
      </c>
      <c r="Q251" s="316">
        <v>0</v>
      </c>
      <c r="R251" s="295">
        <v>28</v>
      </c>
      <c r="S251" s="295">
        <v>34</v>
      </c>
      <c r="T251" s="295">
        <v>62</v>
      </c>
      <c r="U251" s="13"/>
      <c r="V251" s="13"/>
      <c r="W251" s="13"/>
      <c r="X251" s="13"/>
    </row>
    <row r="252" spans="2:24" x14ac:dyDescent="0.25">
      <c r="B252" s="136" t="s">
        <v>233</v>
      </c>
      <c r="C252" s="316">
        <v>265</v>
      </c>
      <c r="D252" s="316">
        <v>254</v>
      </c>
      <c r="E252" s="316">
        <v>519</v>
      </c>
      <c r="F252" s="316">
        <v>222</v>
      </c>
      <c r="G252" s="316">
        <v>179</v>
      </c>
      <c r="H252" s="316">
        <v>401</v>
      </c>
      <c r="I252" s="316">
        <v>111</v>
      </c>
      <c r="J252" s="316">
        <v>32</v>
      </c>
      <c r="K252" s="316">
        <v>143</v>
      </c>
      <c r="L252" s="316">
        <v>59</v>
      </c>
      <c r="M252" s="316">
        <v>62</v>
      </c>
      <c r="N252" s="316">
        <v>121</v>
      </c>
      <c r="O252" s="316">
        <v>0</v>
      </c>
      <c r="P252" s="316">
        <v>0</v>
      </c>
      <c r="Q252" s="316">
        <v>0</v>
      </c>
      <c r="R252" s="295">
        <v>657</v>
      </c>
      <c r="S252" s="295">
        <v>527</v>
      </c>
      <c r="T252" s="295">
        <v>1184</v>
      </c>
      <c r="U252" s="13"/>
      <c r="V252" s="13"/>
      <c r="W252" s="13"/>
      <c r="X252" s="13"/>
    </row>
    <row r="253" spans="2:24" x14ac:dyDescent="0.25">
      <c r="B253" s="136" t="s">
        <v>234</v>
      </c>
      <c r="C253" s="316">
        <v>57</v>
      </c>
      <c r="D253" s="316">
        <v>59</v>
      </c>
      <c r="E253" s="316">
        <v>116</v>
      </c>
      <c r="F253" s="316">
        <v>46</v>
      </c>
      <c r="G253" s="316">
        <v>37</v>
      </c>
      <c r="H253" s="316">
        <v>83</v>
      </c>
      <c r="I253" s="316">
        <v>26</v>
      </c>
      <c r="J253" s="316">
        <v>12</v>
      </c>
      <c r="K253" s="316">
        <v>38</v>
      </c>
      <c r="L253" s="316">
        <v>8</v>
      </c>
      <c r="M253" s="316">
        <v>11</v>
      </c>
      <c r="N253" s="316">
        <v>19</v>
      </c>
      <c r="O253" s="316">
        <v>0</v>
      </c>
      <c r="P253" s="316">
        <v>0</v>
      </c>
      <c r="Q253" s="316">
        <v>0</v>
      </c>
      <c r="R253" s="295">
        <v>137</v>
      </c>
      <c r="S253" s="295">
        <v>119</v>
      </c>
      <c r="T253" s="295">
        <v>256</v>
      </c>
      <c r="U253" s="13"/>
      <c r="V253" s="13"/>
      <c r="W253" s="13"/>
      <c r="X253" s="13"/>
    </row>
    <row r="254" spans="2:24" x14ac:dyDescent="0.25">
      <c r="B254" s="136" t="s">
        <v>235</v>
      </c>
      <c r="C254" s="316">
        <v>28</v>
      </c>
      <c r="D254" s="316">
        <v>28</v>
      </c>
      <c r="E254" s="316">
        <v>56</v>
      </c>
      <c r="F254" s="316">
        <v>18</v>
      </c>
      <c r="G254" s="316">
        <v>21</v>
      </c>
      <c r="H254" s="316">
        <v>39</v>
      </c>
      <c r="I254" s="316">
        <v>12</v>
      </c>
      <c r="J254" s="316">
        <v>3</v>
      </c>
      <c r="K254" s="316">
        <v>15</v>
      </c>
      <c r="L254" s="316">
        <v>5</v>
      </c>
      <c r="M254" s="316">
        <v>3</v>
      </c>
      <c r="N254" s="316">
        <v>8</v>
      </c>
      <c r="O254" s="316">
        <v>0</v>
      </c>
      <c r="P254" s="316">
        <v>0</v>
      </c>
      <c r="Q254" s="316">
        <v>0</v>
      </c>
      <c r="R254" s="295">
        <v>63</v>
      </c>
      <c r="S254" s="295">
        <v>55</v>
      </c>
      <c r="T254" s="295">
        <v>118</v>
      </c>
      <c r="U254" s="13"/>
      <c r="V254" s="13"/>
      <c r="W254" s="13"/>
      <c r="X254" s="13"/>
    </row>
    <row r="255" spans="2:24" x14ac:dyDescent="0.25">
      <c r="B255" s="136" t="s">
        <v>236</v>
      </c>
      <c r="C255" s="316">
        <v>83</v>
      </c>
      <c r="D255" s="316">
        <v>79</v>
      </c>
      <c r="E255" s="316">
        <v>162</v>
      </c>
      <c r="F255" s="316">
        <v>82</v>
      </c>
      <c r="G255" s="316">
        <v>63</v>
      </c>
      <c r="H255" s="316">
        <v>145</v>
      </c>
      <c r="I255" s="316">
        <v>37</v>
      </c>
      <c r="J255" s="316">
        <v>6</v>
      </c>
      <c r="K255" s="316">
        <v>43</v>
      </c>
      <c r="L255" s="316">
        <v>27</v>
      </c>
      <c r="M255" s="316">
        <v>23</v>
      </c>
      <c r="N255" s="316">
        <v>50</v>
      </c>
      <c r="O255" s="316">
        <v>0</v>
      </c>
      <c r="P255" s="316">
        <v>0</v>
      </c>
      <c r="Q255" s="316">
        <v>0</v>
      </c>
      <c r="R255" s="295">
        <v>229</v>
      </c>
      <c r="S255" s="295">
        <v>171</v>
      </c>
      <c r="T255" s="295">
        <v>400</v>
      </c>
      <c r="U255" s="13"/>
      <c r="V255" s="13"/>
      <c r="W255" s="13"/>
      <c r="X255" s="13"/>
    </row>
    <row r="256" spans="2:24" x14ac:dyDescent="0.25">
      <c r="B256" s="136" t="s">
        <v>237</v>
      </c>
      <c r="C256" s="316">
        <v>56</v>
      </c>
      <c r="D256" s="316">
        <v>48</v>
      </c>
      <c r="E256" s="316">
        <v>104</v>
      </c>
      <c r="F256" s="316">
        <v>46</v>
      </c>
      <c r="G256" s="316">
        <v>37</v>
      </c>
      <c r="H256" s="316">
        <v>83</v>
      </c>
      <c r="I256" s="316">
        <v>33</v>
      </c>
      <c r="J256" s="316">
        <v>5</v>
      </c>
      <c r="K256" s="316">
        <v>38</v>
      </c>
      <c r="L256" s="316">
        <v>8</v>
      </c>
      <c r="M256" s="316">
        <v>19</v>
      </c>
      <c r="N256" s="316">
        <v>27</v>
      </c>
      <c r="O256" s="316">
        <v>0</v>
      </c>
      <c r="P256" s="316">
        <v>0</v>
      </c>
      <c r="Q256" s="316">
        <v>0</v>
      </c>
      <c r="R256" s="295">
        <v>143</v>
      </c>
      <c r="S256" s="295">
        <v>109</v>
      </c>
      <c r="T256" s="295">
        <v>252</v>
      </c>
      <c r="U256" s="13"/>
      <c r="V256" s="13"/>
      <c r="W256" s="13"/>
      <c r="X256" s="13"/>
    </row>
    <row r="257" spans="1:24" x14ac:dyDescent="0.25">
      <c r="B257" s="155" t="s">
        <v>238</v>
      </c>
      <c r="C257" s="317">
        <v>42</v>
      </c>
      <c r="D257" s="317">
        <v>45</v>
      </c>
      <c r="E257" s="317">
        <v>87</v>
      </c>
      <c r="F257" s="317">
        <v>35</v>
      </c>
      <c r="G257" s="317">
        <v>28</v>
      </c>
      <c r="H257" s="317">
        <v>63</v>
      </c>
      <c r="I257" s="317">
        <v>19</v>
      </c>
      <c r="J257" s="317">
        <v>3</v>
      </c>
      <c r="K257" s="317">
        <v>22</v>
      </c>
      <c r="L257" s="317">
        <v>5</v>
      </c>
      <c r="M257" s="317">
        <v>7</v>
      </c>
      <c r="N257" s="317">
        <v>12</v>
      </c>
      <c r="O257" s="317">
        <v>1</v>
      </c>
      <c r="P257" s="317">
        <v>0</v>
      </c>
      <c r="Q257" s="317">
        <v>1</v>
      </c>
      <c r="R257" s="295">
        <v>102</v>
      </c>
      <c r="S257" s="295">
        <v>83</v>
      </c>
      <c r="T257" s="295">
        <v>185</v>
      </c>
      <c r="U257" s="13"/>
      <c r="V257" s="13"/>
      <c r="W257" s="13"/>
      <c r="X257" s="13"/>
    </row>
    <row r="258" spans="1:24" x14ac:dyDescent="0.25">
      <c r="B258" s="260" t="s">
        <v>25</v>
      </c>
      <c r="C258" s="282">
        <v>1060</v>
      </c>
      <c r="D258" s="282">
        <v>1032</v>
      </c>
      <c r="E258" s="282">
        <v>2092</v>
      </c>
      <c r="F258" s="282">
        <v>782</v>
      </c>
      <c r="G258" s="282">
        <v>689</v>
      </c>
      <c r="H258" s="285">
        <v>1471</v>
      </c>
      <c r="I258" s="282">
        <v>452</v>
      </c>
      <c r="J258" s="285">
        <v>127</v>
      </c>
      <c r="K258" s="282">
        <v>579</v>
      </c>
      <c r="L258" s="285">
        <v>215</v>
      </c>
      <c r="M258" s="282">
        <v>234</v>
      </c>
      <c r="N258" s="285">
        <v>449</v>
      </c>
      <c r="O258" s="285">
        <v>1</v>
      </c>
      <c r="P258" s="282">
        <v>1</v>
      </c>
      <c r="Q258" s="285">
        <v>2</v>
      </c>
      <c r="R258" s="295">
        <v>2510</v>
      </c>
      <c r="S258" s="295">
        <v>2083</v>
      </c>
      <c r="T258" s="295">
        <v>4593</v>
      </c>
      <c r="U258" s="13"/>
      <c r="V258" s="13"/>
      <c r="W258" s="13"/>
      <c r="X258" s="13"/>
    </row>
    <row r="259" spans="1:24" ht="85.5" customHeight="1" x14ac:dyDescent="0.25">
      <c r="B259" s="468" t="s">
        <v>866</v>
      </c>
      <c r="C259" s="468"/>
      <c r="D259" s="468"/>
      <c r="E259" s="468"/>
      <c r="F259" s="468"/>
      <c r="G259" s="468"/>
      <c r="H259" s="468"/>
      <c r="I259" s="468"/>
      <c r="J259" s="468"/>
      <c r="K259" s="468"/>
      <c r="L259" s="468"/>
      <c r="M259" s="468"/>
      <c r="N259" s="468"/>
      <c r="O259" s="468"/>
      <c r="P259" s="468"/>
      <c r="Q259" s="468"/>
      <c r="R259" s="13"/>
      <c r="S259" s="13"/>
      <c r="T259" s="13"/>
      <c r="U259" s="13"/>
      <c r="V259" s="13"/>
      <c r="W259" s="13"/>
    </row>
    <row r="260" spans="1:24" x14ac:dyDescent="0.25">
      <c r="B260" s="157"/>
      <c r="C260" s="157"/>
      <c r="D260" s="157"/>
      <c r="E260"/>
      <c r="F260"/>
      <c r="G260"/>
      <c r="H260" s="13"/>
      <c r="I260" s="13"/>
      <c r="J260" s="13"/>
      <c r="K260" s="13"/>
      <c r="L260" s="13"/>
      <c r="M260" s="13"/>
      <c r="N260" s="13"/>
      <c r="O260" s="13"/>
      <c r="P260" s="13"/>
      <c r="Q260" s="13"/>
      <c r="R260" s="13"/>
      <c r="S260" s="13"/>
      <c r="T260" s="13"/>
      <c r="U260" s="13"/>
      <c r="V260" s="13"/>
      <c r="W260" s="13"/>
    </row>
    <row r="261" spans="1:24" x14ac:dyDescent="0.25">
      <c r="A261"/>
      <c r="B261" s="186" t="s">
        <v>511</v>
      </c>
      <c r="C261"/>
      <c r="D261"/>
      <c r="E261"/>
      <c r="F261"/>
      <c r="G261"/>
      <c r="H261" s="13"/>
      <c r="I261" s="13"/>
      <c r="J261" s="13"/>
      <c r="K261" s="13"/>
      <c r="L261" s="13"/>
      <c r="M261" s="13"/>
      <c r="N261" s="13"/>
      <c r="O261" s="13"/>
      <c r="P261" s="13"/>
      <c r="Q261" s="13"/>
      <c r="R261" s="13"/>
      <c r="S261" s="13"/>
      <c r="T261" s="13"/>
      <c r="U261" s="13"/>
      <c r="V261" s="13"/>
      <c r="W261" s="13"/>
    </row>
    <row r="262" spans="1:24" x14ac:dyDescent="0.25">
      <c r="A262"/>
      <c r="B262" s="186"/>
      <c r="C262"/>
      <c r="D262"/>
      <c r="E262"/>
      <c r="F262"/>
      <c r="G262"/>
      <c r="H262" s="13"/>
      <c r="I262" s="13"/>
      <c r="J262" s="13"/>
      <c r="K262" s="13"/>
      <c r="L262" s="13"/>
      <c r="M262" s="13"/>
      <c r="N262" s="13"/>
      <c r="O262" s="13"/>
      <c r="P262" s="13"/>
      <c r="Q262" s="13"/>
      <c r="R262" s="13"/>
      <c r="S262" s="13"/>
      <c r="T262" s="13"/>
      <c r="U262" s="13"/>
      <c r="V262" s="13"/>
      <c r="W262" s="13"/>
    </row>
    <row r="263" spans="1:24" ht="15" customHeight="1" x14ac:dyDescent="0.25">
      <c r="A263"/>
      <c r="B263" s="432" t="s">
        <v>532</v>
      </c>
      <c r="C263" s="475" t="s">
        <v>477</v>
      </c>
      <c r="D263" s="475"/>
      <c r="E263" s="475"/>
      <c r="F263" s="475"/>
      <c r="G263" s="475"/>
      <c r="H263" s="475"/>
      <c r="I263" s="475"/>
      <c r="J263" s="475"/>
      <c r="K263" s="475"/>
      <c r="L263" s="475"/>
      <c r="M263" s="475"/>
      <c r="N263" s="475"/>
      <c r="O263" s="475"/>
      <c r="P263" s="475"/>
      <c r="Q263" s="475"/>
      <c r="R263" s="469" t="s">
        <v>865</v>
      </c>
      <c r="S263" s="470"/>
      <c r="T263" s="471"/>
      <c r="U263" s="13"/>
      <c r="V263" s="13"/>
      <c r="W263" s="13"/>
    </row>
    <row r="264" spans="1:24" ht="15" customHeight="1" x14ac:dyDescent="0.25">
      <c r="B264" s="432"/>
      <c r="C264" s="463" t="s">
        <v>849</v>
      </c>
      <c r="D264" s="463"/>
      <c r="E264" s="463"/>
      <c r="F264" s="463" t="s">
        <v>850</v>
      </c>
      <c r="G264" s="463"/>
      <c r="H264" s="463"/>
      <c r="I264" s="463" t="s">
        <v>3</v>
      </c>
      <c r="J264" s="463"/>
      <c r="K264" s="463"/>
      <c r="L264" s="463" t="s">
        <v>5</v>
      </c>
      <c r="M264" s="463"/>
      <c r="N264" s="463"/>
      <c r="O264" s="463" t="s">
        <v>859</v>
      </c>
      <c r="P264" s="463"/>
      <c r="Q264" s="463"/>
      <c r="R264" s="472"/>
      <c r="S264" s="473"/>
      <c r="T264" s="474"/>
      <c r="U264" s="13"/>
      <c r="V264" s="13"/>
      <c r="W264" s="13"/>
    </row>
    <row r="265" spans="1:24" x14ac:dyDescent="0.25">
      <c r="B265" s="432"/>
      <c r="C265" s="264" t="s">
        <v>73</v>
      </c>
      <c r="D265" s="264" t="s">
        <v>74</v>
      </c>
      <c r="E265" s="264" t="s">
        <v>25</v>
      </c>
      <c r="F265" s="264" t="s">
        <v>73</v>
      </c>
      <c r="G265" s="264" t="s">
        <v>74</v>
      </c>
      <c r="H265" s="264" t="s">
        <v>25</v>
      </c>
      <c r="I265" s="264" t="s">
        <v>73</v>
      </c>
      <c r="J265" s="264" t="s">
        <v>74</v>
      </c>
      <c r="K265" s="264" t="s">
        <v>25</v>
      </c>
      <c r="L265" s="264" t="s">
        <v>73</v>
      </c>
      <c r="M265" s="264" t="s">
        <v>74</v>
      </c>
      <c r="N265" s="264" t="s">
        <v>25</v>
      </c>
      <c r="O265" s="264" t="s">
        <v>73</v>
      </c>
      <c r="P265" s="264" t="s">
        <v>74</v>
      </c>
      <c r="Q265" s="264" t="s">
        <v>25</v>
      </c>
      <c r="R265" s="274" t="s">
        <v>73</v>
      </c>
      <c r="S265" s="274" t="s">
        <v>74</v>
      </c>
      <c r="T265" s="274" t="s">
        <v>25</v>
      </c>
      <c r="U265" s="13"/>
      <c r="V265" s="13"/>
      <c r="W265" s="13"/>
    </row>
    <row r="266" spans="1:24" x14ac:dyDescent="0.25">
      <c r="B266" s="156" t="s">
        <v>239</v>
      </c>
      <c r="C266" s="316">
        <v>57</v>
      </c>
      <c r="D266" s="316">
        <v>65</v>
      </c>
      <c r="E266" s="316">
        <v>122</v>
      </c>
      <c r="F266" s="316">
        <v>34</v>
      </c>
      <c r="G266" s="316">
        <v>34</v>
      </c>
      <c r="H266" s="316">
        <v>68</v>
      </c>
      <c r="I266" s="316">
        <v>26</v>
      </c>
      <c r="J266" s="316">
        <v>15</v>
      </c>
      <c r="K266" s="316">
        <v>41</v>
      </c>
      <c r="L266" s="316">
        <v>4</v>
      </c>
      <c r="M266" s="316">
        <v>1</v>
      </c>
      <c r="N266" s="316">
        <v>5</v>
      </c>
      <c r="O266" s="316">
        <v>0</v>
      </c>
      <c r="P266" s="316">
        <v>0</v>
      </c>
      <c r="Q266" s="316">
        <v>0</v>
      </c>
      <c r="R266" s="295">
        <v>121</v>
      </c>
      <c r="S266" s="295">
        <v>115</v>
      </c>
      <c r="T266" s="295">
        <v>236</v>
      </c>
      <c r="U266" s="13"/>
      <c r="V266" s="13"/>
      <c r="W266" s="13"/>
      <c r="X266" s="13"/>
    </row>
    <row r="267" spans="1:24" x14ac:dyDescent="0.25">
      <c r="B267" s="136" t="s">
        <v>240</v>
      </c>
      <c r="C267" s="316">
        <v>14</v>
      </c>
      <c r="D267" s="316">
        <v>13</v>
      </c>
      <c r="E267" s="316">
        <v>27</v>
      </c>
      <c r="F267" s="316">
        <v>6</v>
      </c>
      <c r="G267" s="316">
        <v>3</v>
      </c>
      <c r="H267" s="316">
        <v>9</v>
      </c>
      <c r="I267" s="316">
        <v>5</v>
      </c>
      <c r="J267" s="316">
        <v>2</v>
      </c>
      <c r="K267" s="316">
        <v>7</v>
      </c>
      <c r="L267" s="316">
        <v>0</v>
      </c>
      <c r="M267" s="316">
        <v>3</v>
      </c>
      <c r="N267" s="316">
        <v>3</v>
      </c>
      <c r="O267" s="316">
        <v>0</v>
      </c>
      <c r="P267" s="316">
        <v>0</v>
      </c>
      <c r="Q267" s="316">
        <v>0</v>
      </c>
      <c r="R267" s="295">
        <v>25</v>
      </c>
      <c r="S267" s="295">
        <v>21</v>
      </c>
      <c r="T267" s="295">
        <v>46</v>
      </c>
      <c r="U267" s="13"/>
      <c r="V267" s="13"/>
      <c r="W267" s="13"/>
      <c r="X267" s="13"/>
    </row>
    <row r="268" spans="1:24" x14ac:dyDescent="0.25">
      <c r="B268" s="136" t="s">
        <v>241</v>
      </c>
      <c r="C268" s="316">
        <v>26</v>
      </c>
      <c r="D268" s="316">
        <v>23</v>
      </c>
      <c r="E268" s="316">
        <v>49</v>
      </c>
      <c r="F268" s="316">
        <v>16</v>
      </c>
      <c r="G268" s="316">
        <v>15</v>
      </c>
      <c r="H268" s="316">
        <v>31</v>
      </c>
      <c r="I268" s="316">
        <v>13</v>
      </c>
      <c r="J268" s="316">
        <v>4</v>
      </c>
      <c r="K268" s="316">
        <v>17</v>
      </c>
      <c r="L268" s="316">
        <v>1</v>
      </c>
      <c r="M268" s="316">
        <v>3</v>
      </c>
      <c r="N268" s="316">
        <v>4</v>
      </c>
      <c r="O268" s="316">
        <v>0</v>
      </c>
      <c r="P268" s="316">
        <v>0</v>
      </c>
      <c r="Q268" s="316">
        <v>0</v>
      </c>
      <c r="R268" s="295">
        <v>56</v>
      </c>
      <c r="S268" s="295">
        <v>45</v>
      </c>
      <c r="T268" s="295">
        <v>101</v>
      </c>
      <c r="U268" s="13"/>
      <c r="V268" s="13"/>
      <c r="W268" s="13"/>
      <c r="X268" s="13"/>
    </row>
    <row r="269" spans="1:24" x14ac:dyDescent="0.25">
      <c r="B269" s="136" t="s">
        <v>242</v>
      </c>
      <c r="C269" s="316">
        <v>51</v>
      </c>
      <c r="D269" s="316">
        <v>53</v>
      </c>
      <c r="E269" s="316">
        <v>104</v>
      </c>
      <c r="F269" s="316">
        <v>33</v>
      </c>
      <c r="G269" s="316">
        <v>37</v>
      </c>
      <c r="H269" s="316">
        <v>70</v>
      </c>
      <c r="I269" s="316">
        <v>45</v>
      </c>
      <c r="J269" s="316">
        <v>6</v>
      </c>
      <c r="K269" s="316">
        <v>51</v>
      </c>
      <c r="L269" s="316">
        <v>6</v>
      </c>
      <c r="M269" s="316">
        <v>7</v>
      </c>
      <c r="N269" s="316">
        <v>13</v>
      </c>
      <c r="O269" s="316">
        <v>0</v>
      </c>
      <c r="P269" s="316">
        <v>0</v>
      </c>
      <c r="Q269" s="316">
        <v>0</v>
      </c>
      <c r="R269" s="295">
        <v>135</v>
      </c>
      <c r="S269" s="295">
        <v>103</v>
      </c>
      <c r="T269" s="295">
        <v>238</v>
      </c>
      <c r="U269" s="13"/>
      <c r="V269" s="13"/>
      <c r="W269" s="13"/>
      <c r="X269" s="13"/>
    </row>
    <row r="270" spans="1:24" x14ac:dyDescent="0.25">
      <c r="B270" s="136" t="s">
        <v>243</v>
      </c>
      <c r="C270" s="316">
        <v>20</v>
      </c>
      <c r="D270" s="316">
        <v>17</v>
      </c>
      <c r="E270" s="316">
        <v>37</v>
      </c>
      <c r="F270" s="316">
        <v>4</v>
      </c>
      <c r="G270" s="316">
        <v>13</v>
      </c>
      <c r="H270" s="316">
        <v>17</v>
      </c>
      <c r="I270" s="316">
        <v>5</v>
      </c>
      <c r="J270" s="316">
        <v>6</v>
      </c>
      <c r="K270" s="316">
        <v>11</v>
      </c>
      <c r="L270" s="316">
        <v>2</v>
      </c>
      <c r="M270" s="316">
        <v>1</v>
      </c>
      <c r="N270" s="316">
        <v>3</v>
      </c>
      <c r="O270" s="316">
        <v>0</v>
      </c>
      <c r="P270" s="316">
        <v>0</v>
      </c>
      <c r="Q270" s="316">
        <v>0</v>
      </c>
      <c r="R270" s="295">
        <v>31</v>
      </c>
      <c r="S270" s="295">
        <v>37</v>
      </c>
      <c r="T270" s="295">
        <v>68</v>
      </c>
      <c r="U270" s="13"/>
      <c r="V270" s="13"/>
      <c r="W270" s="13"/>
      <c r="X270" s="13"/>
    </row>
    <row r="271" spans="1:24" x14ac:dyDescent="0.25">
      <c r="B271" s="136" t="s">
        <v>244</v>
      </c>
      <c r="C271" s="316">
        <v>165</v>
      </c>
      <c r="D271" s="316">
        <v>168</v>
      </c>
      <c r="E271" s="316">
        <v>333</v>
      </c>
      <c r="F271" s="316">
        <v>145</v>
      </c>
      <c r="G271" s="316">
        <v>99</v>
      </c>
      <c r="H271" s="316">
        <v>244</v>
      </c>
      <c r="I271" s="316">
        <v>57</v>
      </c>
      <c r="J271" s="316">
        <v>17</v>
      </c>
      <c r="K271" s="316">
        <v>74</v>
      </c>
      <c r="L271" s="316">
        <v>35</v>
      </c>
      <c r="M271" s="316">
        <v>41</v>
      </c>
      <c r="N271" s="316">
        <v>76</v>
      </c>
      <c r="O271" s="316">
        <v>0</v>
      </c>
      <c r="P271" s="316">
        <v>0</v>
      </c>
      <c r="Q271" s="316">
        <v>0</v>
      </c>
      <c r="R271" s="295">
        <v>402</v>
      </c>
      <c r="S271" s="295">
        <v>325</v>
      </c>
      <c r="T271" s="295">
        <v>727</v>
      </c>
      <c r="U271" s="13"/>
      <c r="V271" s="13"/>
      <c r="W271" s="13"/>
      <c r="X271" s="13"/>
    </row>
    <row r="272" spans="1:24" x14ac:dyDescent="0.25">
      <c r="B272" s="136" t="s">
        <v>245</v>
      </c>
      <c r="C272" s="316">
        <v>3</v>
      </c>
      <c r="D272" s="316">
        <v>2</v>
      </c>
      <c r="E272" s="316">
        <v>5</v>
      </c>
      <c r="F272" s="316">
        <v>2</v>
      </c>
      <c r="G272" s="316">
        <v>1</v>
      </c>
      <c r="H272" s="316">
        <v>3</v>
      </c>
      <c r="I272" s="316">
        <v>2</v>
      </c>
      <c r="J272" s="316">
        <v>3</v>
      </c>
      <c r="K272" s="316">
        <v>5</v>
      </c>
      <c r="L272" s="316">
        <v>1</v>
      </c>
      <c r="M272" s="316">
        <v>0</v>
      </c>
      <c r="N272" s="316">
        <v>1</v>
      </c>
      <c r="O272" s="316">
        <v>0</v>
      </c>
      <c r="P272" s="316">
        <v>0</v>
      </c>
      <c r="Q272" s="316">
        <v>0</v>
      </c>
      <c r="R272" s="295">
        <v>8</v>
      </c>
      <c r="S272" s="295">
        <v>6</v>
      </c>
      <c r="T272" s="295">
        <v>14</v>
      </c>
      <c r="U272" s="13"/>
      <c r="V272" s="13"/>
      <c r="W272" s="13"/>
      <c r="X272" s="13"/>
    </row>
    <row r="273" spans="2:24" x14ac:dyDescent="0.25">
      <c r="B273" s="136" t="s">
        <v>494</v>
      </c>
      <c r="C273" s="316">
        <v>12</v>
      </c>
      <c r="D273" s="316">
        <v>18</v>
      </c>
      <c r="E273" s="316">
        <v>30</v>
      </c>
      <c r="F273" s="316">
        <v>9</v>
      </c>
      <c r="G273" s="316">
        <v>10</v>
      </c>
      <c r="H273" s="316">
        <v>19</v>
      </c>
      <c r="I273" s="316">
        <v>12</v>
      </c>
      <c r="J273" s="316">
        <v>4</v>
      </c>
      <c r="K273" s="316">
        <v>16</v>
      </c>
      <c r="L273" s="316">
        <v>1</v>
      </c>
      <c r="M273" s="316">
        <v>3</v>
      </c>
      <c r="N273" s="316">
        <v>4</v>
      </c>
      <c r="O273" s="316">
        <v>0</v>
      </c>
      <c r="P273" s="316">
        <v>0</v>
      </c>
      <c r="Q273" s="316">
        <v>0</v>
      </c>
      <c r="R273" s="295">
        <v>34</v>
      </c>
      <c r="S273" s="295">
        <v>35</v>
      </c>
      <c r="T273" s="295">
        <v>69</v>
      </c>
      <c r="U273" s="13"/>
      <c r="V273" s="13"/>
      <c r="W273" s="13"/>
      <c r="X273" s="13"/>
    </row>
    <row r="274" spans="2:24" x14ac:dyDescent="0.25">
      <c r="B274" s="136" t="s">
        <v>246</v>
      </c>
      <c r="C274" s="316">
        <v>8</v>
      </c>
      <c r="D274" s="316">
        <v>11</v>
      </c>
      <c r="E274" s="316">
        <v>19</v>
      </c>
      <c r="F274" s="316">
        <v>6</v>
      </c>
      <c r="G274" s="316">
        <v>6</v>
      </c>
      <c r="H274" s="316">
        <v>12</v>
      </c>
      <c r="I274" s="316">
        <v>5</v>
      </c>
      <c r="J274" s="316">
        <v>1</v>
      </c>
      <c r="K274" s="316">
        <v>6</v>
      </c>
      <c r="L274" s="316">
        <v>1</v>
      </c>
      <c r="M274" s="316">
        <v>0</v>
      </c>
      <c r="N274" s="316">
        <v>1</v>
      </c>
      <c r="O274" s="316">
        <v>0</v>
      </c>
      <c r="P274" s="316">
        <v>0</v>
      </c>
      <c r="Q274" s="316">
        <v>0</v>
      </c>
      <c r="R274" s="295">
        <v>20</v>
      </c>
      <c r="S274" s="295">
        <v>18</v>
      </c>
      <c r="T274" s="295">
        <v>38</v>
      </c>
      <c r="U274" s="13"/>
      <c r="V274" s="13"/>
      <c r="W274" s="13"/>
      <c r="X274" s="13"/>
    </row>
    <row r="275" spans="2:24" x14ac:dyDescent="0.25">
      <c r="B275" s="136" t="s">
        <v>247</v>
      </c>
      <c r="C275" s="316">
        <v>122</v>
      </c>
      <c r="D275" s="316">
        <v>111</v>
      </c>
      <c r="E275" s="316">
        <v>233</v>
      </c>
      <c r="F275" s="316">
        <v>96</v>
      </c>
      <c r="G275" s="316">
        <v>65</v>
      </c>
      <c r="H275" s="316">
        <v>161</v>
      </c>
      <c r="I275" s="316">
        <v>43</v>
      </c>
      <c r="J275" s="316">
        <v>10</v>
      </c>
      <c r="K275" s="316">
        <v>53</v>
      </c>
      <c r="L275" s="316">
        <v>18</v>
      </c>
      <c r="M275" s="316">
        <v>25</v>
      </c>
      <c r="N275" s="316">
        <v>43</v>
      </c>
      <c r="O275" s="316">
        <v>1</v>
      </c>
      <c r="P275" s="316">
        <v>0</v>
      </c>
      <c r="Q275" s="316">
        <v>1</v>
      </c>
      <c r="R275" s="295">
        <v>280</v>
      </c>
      <c r="S275" s="295">
        <v>211</v>
      </c>
      <c r="T275" s="295">
        <v>491</v>
      </c>
      <c r="U275" s="13"/>
      <c r="V275" s="13"/>
      <c r="W275" s="13"/>
      <c r="X275" s="13"/>
    </row>
    <row r="276" spans="2:24" x14ac:dyDescent="0.25">
      <c r="B276" s="136" t="s">
        <v>248</v>
      </c>
      <c r="C276" s="316">
        <v>41</v>
      </c>
      <c r="D276" s="316">
        <v>46</v>
      </c>
      <c r="E276" s="316">
        <v>87</v>
      </c>
      <c r="F276" s="316">
        <v>22</v>
      </c>
      <c r="G276" s="316">
        <v>22</v>
      </c>
      <c r="H276" s="316">
        <v>44</v>
      </c>
      <c r="I276" s="316">
        <v>19</v>
      </c>
      <c r="J276" s="316">
        <v>7</v>
      </c>
      <c r="K276" s="316">
        <v>26</v>
      </c>
      <c r="L276" s="316">
        <v>2</v>
      </c>
      <c r="M276" s="316">
        <v>5</v>
      </c>
      <c r="N276" s="316">
        <v>7</v>
      </c>
      <c r="O276" s="316">
        <v>0</v>
      </c>
      <c r="P276" s="316">
        <v>0</v>
      </c>
      <c r="Q276" s="316">
        <v>0</v>
      </c>
      <c r="R276" s="295">
        <v>84</v>
      </c>
      <c r="S276" s="295">
        <v>80</v>
      </c>
      <c r="T276" s="295">
        <v>164</v>
      </c>
      <c r="U276" s="13"/>
      <c r="V276" s="13"/>
      <c r="W276" s="13"/>
      <c r="X276" s="13"/>
    </row>
    <row r="277" spans="2:24" x14ac:dyDescent="0.25">
      <c r="B277" s="136" t="s">
        <v>249</v>
      </c>
      <c r="C277" s="316">
        <v>47</v>
      </c>
      <c r="D277" s="316">
        <v>47</v>
      </c>
      <c r="E277" s="316">
        <v>94</v>
      </c>
      <c r="F277" s="316">
        <v>33</v>
      </c>
      <c r="G277" s="316">
        <v>11</v>
      </c>
      <c r="H277" s="316">
        <v>44</v>
      </c>
      <c r="I277" s="316">
        <v>39</v>
      </c>
      <c r="J277" s="316">
        <v>10</v>
      </c>
      <c r="K277" s="316">
        <v>49</v>
      </c>
      <c r="L277" s="316">
        <v>7</v>
      </c>
      <c r="M277" s="316">
        <v>9</v>
      </c>
      <c r="N277" s="316">
        <v>16</v>
      </c>
      <c r="O277" s="316">
        <v>0</v>
      </c>
      <c r="P277" s="316">
        <v>0</v>
      </c>
      <c r="Q277" s="316">
        <v>0</v>
      </c>
      <c r="R277" s="295">
        <v>126</v>
      </c>
      <c r="S277" s="295">
        <v>77</v>
      </c>
      <c r="T277" s="295">
        <v>203</v>
      </c>
      <c r="U277" s="13"/>
      <c r="V277" s="13"/>
      <c r="W277" s="13"/>
      <c r="X277" s="13"/>
    </row>
    <row r="278" spans="2:24" x14ac:dyDescent="0.25">
      <c r="B278" s="136" t="s">
        <v>250</v>
      </c>
      <c r="C278" s="316">
        <v>45</v>
      </c>
      <c r="D278" s="316">
        <v>50</v>
      </c>
      <c r="E278" s="316">
        <v>95</v>
      </c>
      <c r="F278" s="316">
        <v>37</v>
      </c>
      <c r="G278" s="316">
        <v>27</v>
      </c>
      <c r="H278" s="316">
        <v>64</v>
      </c>
      <c r="I278" s="316">
        <v>16</v>
      </c>
      <c r="J278" s="316">
        <v>8</v>
      </c>
      <c r="K278" s="316">
        <v>24</v>
      </c>
      <c r="L278" s="316">
        <v>9</v>
      </c>
      <c r="M278" s="316">
        <v>6</v>
      </c>
      <c r="N278" s="316">
        <v>15</v>
      </c>
      <c r="O278" s="316">
        <v>0</v>
      </c>
      <c r="P278" s="316">
        <v>0</v>
      </c>
      <c r="Q278" s="316">
        <v>0</v>
      </c>
      <c r="R278" s="295">
        <v>107</v>
      </c>
      <c r="S278" s="295">
        <v>91</v>
      </c>
      <c r="T278" s="295">
        <v>198</v>
      </c>
      <c r="U278" s="13"/>
      <c r="V278" s="13"/>
      <c r="W278" s="13"/>
      <c r="X278" s="13"/>
    </row>
    <row r="279" spans="2:24" x14ac:dyDescent="0.25">
      <c r="B279" s="136" t="s">
        <v>251</v>
      </c>
      <c r="C279" s="316">
        <v>61</v>
      </c>
      <c r="D279" s="316">
        <v>44</v>
      </c>
      <c r="E279" s="316">
        <v>105</v>
      </c>
      <c r="F279" s="316">
        <v>37</v>
      </c>
      <c r="G279" s="316">
        <v>26</v>
      </c>
      <c r="H279" s="316">
        <v>63</v>
      </c>
      <c r="I279" s="316">
        <v>20</v>
      </c>
      <c r="J279" s="316">
        <v>10</v>
      </c>
      <c r="K279" s="316">
        <v>30</v>
      </c>
      <c r="L279" s="316">
        <v>11</v>
      </c>
      <c r="M279" s="316">
        <v>14</v>
      </c>
      <c r="N279" s="316">
        <v>25</v>
      </c>
      <c r="O279" s="316">
        <v>0</v>
      </c>
      <c r="P279" s="316">
        <v>0</v>
      </c>
      <c r="Q279" s="316">
        <v>0</v>
      </c>
      <c r="R279" s="295">
        <v>129</v>
      </c>
      <c r="S279" s="295">
        <v>94</v>
      </c>
      <c r="T279" s="295">
        <v>223</v>
      </c>
      <c r="U279" s="13"/>
      <c r="V279" s="13"/>
      <c r="W279" s="13"/>
      <c r="X279" s="13"/>
    </row>
    <row r="280" spans="2:24" x14ac:dyDescent="0.25">
      <c r="B280" s="136" t="s">
        <v>252</v>
      </c>
      <c r="C280" s="316">
        <v>12</v>
      </c>
      <c r="D280" s="316">
        <v>11</v>
      </c>
      <c r="E280" s="316">
        <v>23</v>
      </c>
      <c r="F280" s="316">
        <v>8</v>
      </c>
      <c r="G280" s="316">
        <v>5</v>
      </c>
      <c r="H280" s="316">
        <v>13</v>
      </c>
      <c r="I280" s="316">
        <v>6</v>
      </c>
      <c r="J280" s="316">
        <v>0</v>
      </c>
      <c r="K280" s="316">
        <v>6</v>
      </c>
      <c r="L280" s="316">
        <v>5</v>
      </c>
      <c r="M280" s="316">
        <v>2</v>
      </c>
      <c r="N280" s="316">
        <v>7</v>
      </c>
      <c r="O280" s="316">
        <v>0</v>
      </c>
      <c r="P280" s="316">
        <v>0</v>
      </c>
      <c r="Q280" s="316">
        <v>0</v>
      </c>
      <c r="R280" s="295">
        <v>31</v>
      </c>
      <c r="S280" s="295">
        <v>18</v>
      </c>
      <c r="T280" s="295">
        <v>49</v>
      </c>
      <c r="U280" s="13"/>
      <c r="V280" s="13"/>
      <c r="W280" s="13"/>
      <c r="X280" s="13"/>
    </row>
    <row r="281" spans="2:24" x14ac:dyDescent="0.25">
      <c r="B281" s="136" t="s">
        <v>253</v>
      </c>
      <c r="C281" s="316">
        <v>14</v>
      </c>
      <c r="D281" s="316">
        <v>13</v>
      </c>
      <c r="E281" s="316">
        <v>27</v>
      </c>
      <c r="F281" s="316">
        <v>5</v>
      </c>
      <c r="G281" s="316">
        <v>1</v>
      </c>
      <c r="H281" s="316">
        <v>6</v>
      </c>
      <c r="I281" s="316">
        <v>6</v>
      </c>
      <c r="J281" s="316">
        <v>2</v>
      </c>
      <c r="K281" s="316">
        <v>8</v>
      </c>
      <c r="L281" s="316">
        <v>1</v>
      </c>
      <c r="M281" s="316">
        <v>1</v>
      </c>
      <c r="N281" s="316">
        <v>2</v>
      </c>
      <c r="O281" s="316">
        <v>0</v>
      </c>
      <c r="P281" s="316">
        <v>0</v>
      </c>
      <c r="Q281" s="316">
        <v>0</v>
      </c>
      <c r="R281" s="295">
        <v>26</v>
      </c>
      <c r="S281" s="295">
        <v>17</v>
      </c>
      <c r="T281" s="295">
        <v>43</v>
      </c>
      <c r="U281" s="13"/>
      <c r="V281" s="13"/>
      <c r="W281" s="13"/>
      <c r="X281" s="13"/>
    </row>
    <row r="282" spans="2:24" x14ac:dyDescent="0.25">
      <c r="B282" s="136" t="s">
        <v>254</v>
      </c>
      <c r="C282" s="316">
        <v>10</v>
      </c>
      <c r="D282" s="316">
        <v>10</v>
      </c>
      <c r="E282" s="316">
        <v>20</v>
      </c>
      <c r="F282" s="316">
        <v>6</v>
      </c>
      <c r="G282" s="316">
        <v>3</v>
      </c>
      <c r="H282" s="316">
        <v>9</v>
      </c>
      <c r="I282" s="316">
        <v>4</v>
      </c>
      <c r="J282" s="316">
        <v>2</v>
      </c>
      <c r="K282" s="316">
        <v>6</v>
      </c>
      <c r="L282" s="316">
        <v>3</v>
      </c>
      <c r="M282" s="316">
        <v>3</v>
      </c>
      <c r="N282" s="316">
        <v>6</v>
      </c>
      <c r="O282" s="316">
        <v>0</v>
      </c>
      <c r="P282" s="316">
        <v>0</v>
      </c>
      <c r="Q282" s="316">
        <v>0</v>
      </c>
      <c r="R282" s="295">
        <v>23</v>
      </c>
      <c r="S282" s="295">
        <v>18</v>
      </c>
      <c r="T282" s="295">
        <v>41</v>
      </c>
      <c r="U282" s="13"/>
      <c r="V282" s="13"/>
      <c r="W282" s="13"/>
      <c r="X282" s="13"/>
    </row>
    <row r="283" spans="2:24" x14ac:dyDescent="0.25">
      <c r="B283" s="136" t="s">
        <v>255</v>
      </c>
      <c r="C283" s="316">
        <v>11</v>
      </c>
      <c r="D283" s="316">
        <v>17</v>
      </c>
      <c r="E283" s="316">
        <v>28</v>
      </c>
      <c r="F283" s="316">
        <v>8</v>
      </c>
      <c r="G283" s="316">
        <v>7</v>
      </c>
      <c r="H283" s="316">
        <v>15</v>
      </c>
      <c r="I283" s="316">
        <v>2</v>
      </c>
      <c r="J283" s="316">
        <v>1</v>
      </c>
      <c r="K283" s="316">
        <v>3</v>
      </c>
      <c r="L283" s="316">
        <v>3</v>
      </c>
      <c r="M283" s="316">
        <v>1</v>
      </c>
      <c r="N283" s="316">
        <v>4</v>
      </c>
      <c r="O283" s="316">
        <v>0</v>
      </c>
      <c r="P283" s="316">
        <v>0</v>
      </c>
      <c r="Q283" s="316">
        <v>0</v>
      </c>
      <c r="R283" s="295">
        <v>24</v>
      </c>
      <c r="S283" s="295">
        <v>26</v>
      </c>
      <c r="T283" s="295">
        <v>50</v>
      </c>
      <c r="U283" s="13"/>
      <c r="V283" s="13"/>
      <c r="W283" s="13"/>
      <c r="X283" s="13"/>
    </row>
    <row r="284" spans="2:24" x14ac:dyDescent="0.25">
      <c r="B284" s="136" t="s">
        <v>256</v>
      </c>
      <c r="C284" s="316">
        <v>37</v>
      </c>
      <c r="D284" s="316">
        <v>29</v>
      </c>
      <c r="E284" s="316">
        <v>66</v>
      </c>
      <c r="F284" s="316">
        <v>13</v>
      </c>
      <c r="G284" s="316">
        <v>14</v>
      </c>
      <c r="H284" s="316">
        <v>27</v>
      </c>
      <c r="I284" s="316">
        <v>18</v>
      </c>
      <c r="J284" s="316">
        <v>8</v>
      </c>
      <c r="K284" s="316">
        <v>26</v>
      </c>
      <c r="L284" s="316">
        <v>5</v>
      </c>
      <c r="M284" s="316">
        <v>5</v>
      </c>
      <c r="N284" s="316">
        <v>10</v>
      </c>
      <c r="O284" s="316">
        <v>0</v>
      </c>
      <c r="P284" s="316">
        <v>0</v>
      </c>
      <c r="Q284" s="316">
        <v>0</v>
      </c>
      <c r="R284" s="295">
        <v>73</v>
      </c>
      <c r="S284" s="295">
        <v>56</v>
      </c>
      <c r="T284" s="295">
        <v>129</v>
      </c>
      <c r="U284" s="13"/>
      <c r="V284" s="13"/>
      <c r="W284" s="13"/>
      <c r="X284" s="13"/>
    </row>
    <row r="285" spans="2:24" x14ac:dyDescent="0.25">
      <c r="B285" s="136" t="s">
        <v>257</v>
      </c>
      <c r="C285" s="316">
        <v>23</v>
      </c>
      <c r="D285" s="316">
        <v>23</v>
      </c>
      <c r="E285" s="316">
        <v>46</v>
      </c>
      <c r="F285" s="316">
        <v>5</v>
      </c>
      <c r="G285" s="316">
        <v>12</v>
      </c>
      <c r="H285" s="316">
        <v>17</v>
      </c>
      <c r="I285" s="316">
        <v>9</v>
      </c>
      <c r="J285" s="316">
        <v>1</v>
      </c>
      <c r="K285" s="316">
        <v>10</v>
      </c>
      <c r="L285" s="316">
        <v>0</v>
      </c>
      <c r="M285" s="316">
        <v>2</v>
      </c>
      <c r="N285" s="316">
        <v>2</v>
      </c>
      <c r="O285" s="316">
        <v>0</v>
      </c>
      <c r="P285" s="316">
        <v>0</v>
      </c>
      <c r="Q285" s="316">
        <v>0</v>
      </c>
      <c r="R285" s="295">
        <v>37</v>
      </c>
      <c r="S285" s="295">
        <v>38</v>
      </c>
      <c r="T285" s="295">
        <v>75</v>
      </c>
      <c r="U285" s="13"/>
      <c r="V285" s="13"/>
      <c r="W285" s="13"/>
      <c r="X285" s="13"/>
    </row>
    <row r="286" spans="2:24" x14ac:dyDescent="0.25">
      <c r="B286" s="136" t="s">
        <v>258</v>
      </c>
      <c r="C286" s="316">
        <v>25</v>
      </c>
      <c r="D286" s="316">
        <v>24</v>
      </c>
      <c r="E286" s="316">
        <v>49</v>
      </c>
      <c r="F286" s="316">
        <v>11</v>
      </c>
      <c r="G286" s="316">
        <v>9</v>
      </c>
      <c r="H286" s="316">
        <v>20</v>
      </c>
      <c r="I286" s="316">
        <v>7</v>
      </c>
      <c r="J286" s="316">
        <v>3</v>
      </c>
      <c r="K286" s="316">
        <v>10</v>
      </c>
      <c r="L286" s="316">
        <v>5</v>
      </c>
      <c r="M286" s="316">
        <v>3</v>
      </c>
      <c r="N286" s="316">
        <v>8</v>
      </c>
      <c r="O286" s="316">
        <v>0</v>
      </c>
      <c r="P286" s="316">
        <v>0</v>
      </c>
      <c r="Q286" s="316">
        <v>0</v>
      </c>
      <c r="R286" s="295">
        <v>48</v>
      </c>
      <c r="S286" s="295">
        <v>39</v>
      </c>
      <c r="T286" s="295">
        <v>87</v>
      </c>
      <c r="U286" s="13"/>
      <c r="V286" s="13"/>
      <c r="W286" s="13"/>
      <c r="X286" s="13"/>
    </row>
    <row r="287" spans="2:24" x14ac:dyDescent="0.25">
      <c r="B287" s="136" t="s">
        <v>259</v>
      </c>
      <c r="C287" s="316">
        <v>15</v>
      </c>
      <c r="D287" s="316">
        <v>15</v>
      </c>
      <c r="E287" s="316">
        <v>30</v>
      </c>
      <c r="F287" s="316">
        <v>14</v>
      </c>
      <c r="G287" s="316">
        <v>10</v>
      </c>
      <c r="H287" s="316">
        <v>24</v>
      </c>
      <c r="I287" s="316">
        <v>6</v>
      </c>
      <c r="J287" s="316">
        <v>2</v>
      </c>
      <c r="K287" s="316">
        <v>8</v>
      </c>
      <c r="L287" s="316">
        <v>7</v>
      </c>
      <c r="M287" s="316">
        <v>2</v>
      </c>
      <c r="N287" s="316">
        <v>9</v>
      </c>
      <c r="O287" s="316">
        <v>0</v>
      </c>
      <c r="P287" s="316">
        <v>0</v>
      </c>
      <c r="Q287" s="316">
        <v>0</v>
      </c>
      <c r="R287" s="295">
        <v>42</v>
      </c>
      <c r="S287" s="295">
        <v>29</v>
      </c>
      <c r="T287" s="295">
        <v>71</v>
      </c>
      <c r="U287" s="13"/>
      <c r="V287" s="13"/>
      <c r="W287" s="13"/>
      <c r="X287" s="13"/>
    </row>
    <row r="288" spans="2:24" x14ac:dyDescent="0.25">
      <c r="B288" s="136" t="s">
        <v>260</v>
      </c>
      <c r="C288" s="316">
        <v>50</v>
      </c>
      <c r="D288" s="316">
        <v>49</v>
      </c>
      <c r="E288" s="316">
        <v>99</v>
      </c>
      <c r="F288" s="316">
        <v>29</v>
      </c>
      <c r="G288" s="316">
        <v>22</v>
      </c>
      <c r="H288" s="316">
        <v>51</v>
      </c>
      <c r="I288" s="316">
        <v>27</v>
      </c>
      <c r="J288" s="316">
        <v>5</v>
      </c>
      <c r="K288" s="316">
        <v>32</v>
      </c>
      <c r="L288" s="316">
        <v>9</v>
      </c>
      <c r="M288" s="316">
        <v>10</v>
      </c>
      <c r="N288" s="316">
        <v>19</v>
      </c>
      <c r="O288" s="316">
        <v>0</v>
      </c>
      <c r="P288" s="316">
        <v>0</v>
      </c>
      <c r="Q288" s="316">
        <v>0</v>
      </c>
      <c r="R288" s="295">
        <v>115</v>
      </c>
      <c r="S288" s="295">
        <v>86</v>
      </c>
      <c r="T288" s="295">
        <v>201</v>
      </c>
      <c r="U288" s="13"/>
      <c r="V288" s="13"/>
      <c r="W288" s="13"/>
      <c r="X288" s="13"/>
    </row>
    <row r="289" spans="2:24" x14ac:dyDescent="0.25">
      <c r="B289" s="136" t="s">
        <v>261</v>
      </c>
      <c r="C289" s="316">
        <v>71</v>
      </c>
      <c r="D289" s="316">
        <v>67</v>
      </c>
      <c r="E289" s="316">
        <v>138</v>
      </c>
      <c r="F289" s="316">
        <v>28</v>
      </c>
      <c r="G289" s="316">
        <v>36</v>
      </c>
      <c r="H289" s="316">
        <v>64</v>
      </c>
      <c r="I289" s="316">
        <v>22</v>
      </c>
      <c r="J289" s="316">
        <v>10</v>
      </c>
      <c r="K289" s="316">
        <v>32</v>
      </c>
      <c r="L289" s="316">
        <v>8</v>
      </c>
      <c r="M289" s="316">
        <v>8</v>
      </c>
      <c r="N289" s="316">
        <v>16</v>
      </c>
      <c r="O289" s="316">
        <v>0</v>
      </c>
      <c r="P289" s="316">
        <v>0</v>
      </c>
      <c r="Q289" s="316">
        <v>0</v>
      </c>
      <c r="R289" s="295">
        <v>129</v>
      </c>
      <c r="S289" s="295">
        <v>121</v>
      </c>
      <c r="T289" s="295">
        <v>250</v>
      </c>
      <c r="U289" s="13"/>
      <c r="V289" s="13"/>
      <c r="W289" s="13"/>
      <c r="X289" s="13"/>
    </row>
    <row r="290" spans="2:24" x14ac:dyDescent="0.25">
      <c r="B290" s="136" t="s">
        <v>262</v>
      </c>
      <c r="C290" s="316">
        <v>10</v>
      </c>
      <c r="D290" s="316">
        <v>11</v>
      </c>
      <c r="E290" s="316">
        <v>21</v>
      </c>
      <c r="F290" s="316">
        <v>8</v>
      </c>
      <c r="G290" s="316">
        <v>10</v>
      </c>
      <c r="H290" s="316">
        <v>18</v>
      </c>
      <c r="I290" s="316">
        <v>8</v>
      </c>
      <c r="J290" s="316">
        <v>2</v>
      </c>
      <c r="K290" s="316">
        <v>10</v>
      </c>
      <c r="L290" s="316">
        <v>3</v>
      </c>
      <c r="M290" s="316">
        <v>1</v>
      </c>
      <c r="N290" s="316">
        <v>4</v>
      </c>
      <c r="O290" s="316">
        <v>0</v>
      </c>
      <c r="P290" s="316">
        <v>0</v>
      </c>
      <c r="Q290" s="316">
        <v>0</v>
      </c>
      <c r="R290" s="295">
        <v>29</v>
      </c>
      <c r="S290" s="295">
        <v>24</v>
      </c>
      <c r="T290" s="295">
        <v>53</v>
      </c>
      <c r="U290" s="13"/>
      <c r="V290" s="13"/>
      <c r="W290" s="13"/>
      <c r="X290" s="13"/>
    </row>
    <row r="291" spans="2:24" x14ac:dyDescent="0.25">
      <c r="B291" s="136" t="s">
        <v>263</v>
      </c>
      <c r="C291" s="316">
        <v>230</v>
      </c>
      <c r="D291" s="316">
        <v>229</v>
      </c>
      <c r="E291" s="316">
        <v>459</v>
      </c>
      <c r="F291" s="316">
        <v>216</v>
      </c>
      <c r="G291" s="316">
        <v>131</v>
      </c>
      <c r="H291" s="316">
        <v>347</v>
      </c>
      <c r="I291" s="316">
        <v>95</v>
      </c>
      <c r="J291" s="316">
        <v>38</v>
      </c>
      <c r="K291" s="316">
        <v>133</v>
      </c>
      <c r="L291" s="316">
        <v>67</v>
      </c>
      <c r="M291" s="316">
        <v>48</v>
      </c>
      <c r="N291" s="316">
        <v>115</v>
      </c>
      <c r="O291" s="316">
        <v>0</v>
      </c>
      <c r="P291" s="316">
        <v>0</v>
      </c>
      <c r="Q291" s="316">
        <v>0</v>
      </c>
      <c r="R291" s="295">
        <v>608</v>
      </c>
      <c r="S291" s="295">
        <v>446</v>
      </c>
      <c r="T291" s="295">
        <v>1054</v>
      </c>
      <c r="U291" s="13"/>
      <c r="V291" s="13"/>
      <c r="W291" s="13"/>
      <c r="X291" s="13"/>
    </row>
    <row r="292" spans="2:24" x14ac:dyDescent="0.25">
      <c r="B292" s="136" t="s">
        <v>264</v>
      </c>
      <c r="C292" s="316">
        <v>32</v>
      </c>
      <c r="D292" s="316">
        <v>23</v>
      </c>
      <c r="E292" s="316">
        <v>55</v>
      </c>
      <c r="F292" s="316">
        <v>25</v>
      </c>
      <c r="G292" s="316">
        <v>24</v>
      </c>
      <c r="H292" s="316">
        <v>49</v>
      </c>
      <c r="I292" s="316">
        <v>16</v>
      </c>
      <c r="J292" s="316">
        <v>9</v>
      </c>
      <c r="K292" s="316">
        <v>25</v>
      </c>
      <c r="L292" s="316">
        <v>7</v>
      </c>
      <c r="M292" s="316">
        <v>5</v>
      </c>
      <c r="N292" s="316">
        <v>12</v>
      </c>
      <c r="O292" s="316">
        <v>0</v>
      </c>
      <c r="P292" s="316">
        <v>0</v>
      </c>
      <c r="Q292" s="316">
        <v>0</v>
      </c>
      <c r="R292" s="295">
        <v>80</v>
      </c>
      <c r="S292" s="295">
        <v>61</v>
      </c>
      <c r="T292" s="295">
        <v>141</v>
      </c>
      <c r="U292" s="13"/>
      <c r="V292" s="13"/>
      <c r="W292" s="13"/>
      <c r="X292" s="13"/>
    </row>
    <row r="293" spans="2:24" x14ac:dyDescent="0.25">
      <c r="B293" s="136" t="s">
        <v>265</v>
      </c>
      <c r="C293" s="316">
        <v>2</v>
      </c>
      <c r="D293" s="316">
        <v>9</v>
      </c>
      <c r="E293" s="316">
        <v>11</v>
      </c>
      <c r="F293" s="316">
        <v>3</v>
      </c>
      <c r="G293" s="316">
        <v>1</v>
      </c>
      <c r="H293" s="316">
        <v>4</v>
      </c>
      <c r="I293" s="316">
        <v>3</v>
      </c>
      <c r="J293" s="316">
        <v>1</v>
      </c>
      <c r="K293" s="316">
        <v>4</v>
      </c>
      <c r="L293" s="316">
        <v>1</v>
      </c>
      <c r="M293" s="316">
        <v>3</v>
      </c>
      <c r="N293" s="316">
        <v>4</v>
      </c>
      <c r="O293" s="316">
        <v>0</v>
      </c>
      <c r="P293" s="316">
        <v>0</v>
      </c>
      <c r="Q293" s="316">
        <v>0</v>
      </c>
      <c r="R293" s="295">
        <v>9</v>
      </c>
      <c r="S293" s="295">
        <v>14</v>
      </c>
      <c r="T293" s="295">
        <v>23</v>
      </c>
      <c r="U293" s="13"/>
      <c r="V293" s="13"/>
      <c r="W293" s="13"/>
      <c r="X293" s="13"/>
    </row>
    <row r="294" spans="2:24" x14ac:dyDescent="0.25">
      <c r="B294" s="136" t="s">
        <v>266</v>
      </c>
      <c r="C294" s="316">
        <v>16</v>
      </c>
      <c r="D294" s="316">
        <v>24</v>
      </c>
      <c r="E294" s="316">
        <v>40</v>
      </c>
      <c r="F294" s="316">
        <v>10</v>
      </c>
      <c r="G294" s="316">
        <v>13</v>
      </c>
      <c r="H294" s="316">
        <v>23</v>
      </c>
      <c r="I294" s="316">
        <v>17</v>
      </c>
      <c r="J294" s="316">
        <v>2</v>
      </c>
      <c r="K294" s="316">
        <v>19</v>
      </c>
      <c r="L294" s="316">
        <v>1</v>
      </c>
      <c r="M294" s="316">
        <v>2</v>
      </c>
      <c r="N294" s="316">
        <v>3</v>
      </c>
      <c r="O294" s="316">
        <v>0</v>
      </c>
      <c r="P294" s="316">
        <v>0</v>
      </c>
      <c r="Q294" s="316">
        <v>0</v>
      </c>
      <c r="R294" s="295">
        <v>44</v>
      </c>
      <c r="S294" s="295">
        <v>41</v>
      </c>
      <c r="T294" s="295">
        <v>85</v>
      </c>
      <c r="U294" s="13"/>
      <c r="V294" s="13"/>
      <c r="W294" s="13"/>
      <c r="X294" s="13"/>
    </row>
    <row r="295" spans="2:24" x14ac:dyDescent="0.25">
      <c r="B295" s="155" t="s">
        <v>267</v>
      </c>
      <c r="C295" s="317">
        <v>21</v>
      </c>
      <c r="D295" s="317">
        <v>39</v>
      </c>
      <c r="E295" s="316">
        <v>60</v>
      </c>
      <c r="F295" s="316">
        <v>8</v>
      </c>
      <c r="G295" s="316">
        <v>16</v>
      </c>
      <c r="H295" s="316">
        <v>24</v>
      </c>
      <c r="I295" s="316">
        <v>17</v>
      </c>
      <c r="J295" s="316">
        <v>6</v>
      </c>
      <c r="K295" s="316">
        <v>23</v>
      </c>
      <c r="L295" s="316">
        <v>1</v>
      </c>
      <c r="M295" s="316">
        <v>6</v>
      </c>
      <c r="N295" s="316">
        <v>7</v>
      </c>
      <c r="O295" s="316">
        <v>0</v>
      </c>
      <c r="P295" s="316">
        <v>0</v>
      </c>
      <c r="Q295" s="316">
        <v>0</v>
      </c>
      <c r="R295" s="295">
        <v>47</v>
      </c>
      <c r="S295" s="295">
        <v>67</v>
      </c>
      <c r="T295" s="295">
        <v>114</v>
      </c>
      <c r="U295" s="13"/>
      <c r="V295" s="13"/>
      <c r="W295" s="13"/>
      <c r="X295" s="13"/>
    </row>
    <row r="296" spans="2:24" x14ac:dyDescent="0.25">
      <c r="B296" s="260" t="s">
        <v>25</v>
      </c>
      <c r="C296" s="282">
        <v>1251</v>
      </c>
      <c r="D296" s="282">
        <v>1261</v>
      </c>
      <c r="E296" s="282">
        <v>2512</v>
      </c>
      <c r="F296" s="282">
        <v>877</v>
      </c>
      <c r="G296" s="282">
        <v>683</v>
      </c>
      <c r="H296" s="285">
        <v>1560</v>
      </c>
      <c r="I296" s="282">
        <v>570</v>
      </c>
      <c r="J296" s="285">
        <v>195</v>
      </c>
      <c r="K296" s="282">
        <v>765</v>
      </c>
      <c r="L296" s="285">
        <v>224</v>
      </c>
      <c r="M296" s="282">
        <v>220</v>
      </c>
      <c r="N296" s="285">
        <v>444</v>
      </c>
      <c r="O296" s="285">
        <v>1</v>
      </c>
      <c r="P296" s="282">
        <v>0</v>
      </c>
      <c r="Q296" s="285">
        <v>1</v>
      </c>
      <c r="R296" s="295">
        <v>2923</v>
      </c>
      <c r="S296" s="295">
        <v>2359</v>
      </c>
      <c r="T296" s="295">
        <v>5282</v>
      </c>
      <c r="U296" s="13"/>
      <c r="V296" s="13"/>
      <c r="W296" s="13"/>
      <c r="X296" s="13"/>
    </row>
    <row r="297" spans="2:24" ht="84.75" customHeight="1" x14ac:dyDescent="0.25">
      <c r="B297" s="468" t="s">
        <v>866</v>
      </c>
      <c r="C297" s="468"/>
      <c r="D297" s="468"/>
      <c r="E297" s="468"/>
      <c r="F297" s="468"/>
      <c r="G297" s="468"/>
      <c r="H297" s="468"/>
      <c r="I297" s="468"/>
      <c r="J297" s="468"/>
      <c r="K297" s="468"/>
      <c r="L297" s="468"/>
      <c r="M297" s="468"/>
      <c r="N297" s="468"/>
      <c r="O297" s="468"/>
      <c r="P297" s="468"/>
      <c r="Q297" s="468"/>
      <c r="R297" s="13"/>
      <c r="S297" s="13"/>
      <c r="T297" s="13"/>
      <c r="U297" s="13"/>
      <c r="V297" s="13"/>
      <c r="W297" s="13"/>
    </row>
    <row r="298" spans="2:24" x14ac:dyDescent="0.25">
      <c r="B298" s="157"/>
      <c r="C298" s="157"/>
      <c r="D298" s="157"/>
      <c r="E298"/>
      <c r="F298"/>
      <c r="G298"/>
      <c r="H298" s="13"/>
      <c r="I298" s="13"/>
      <c r="J298" s="13"/>
      <c r="K298" s="13"/>
      <c r="L298" s="13"/>
      <c r="M298" s="13"/>
      <c r="N298" s="13"/>
      <c r="O298" s="13"/>
      <c r="P298" s="13"/>
      <c r="Q298" s="13"/>
      <c r="R298" s="13"/>
      <c r="S298" s="13"/>
      <c r="T298" s="13"/>
      <c r="U298" s="13"/>
      <c r="V298" s="13"/>
      <c r="W298" s="13"/>
    </row>
    <row r="299" spans="2:24" x14ac:dyDescent="0.25">
      <c r="B299" s="157"/>
      <c r="C299" s="157"/>
      <c r="D299" s="157"/>
      <c r="E299"/>
      <c r="F299"/>
      <c r="G299"/>
      <c r="H299" s="13"/>
      <c r="I299" s="13"/>
      <c r="J299" s="13"/>
      <c r="K299" s="13"/>
      <c r="L299" s="13"/>
      <c r="M299" s="13"/>
      <c r="N299" s="13"/>
      <c r="O299" s="13"/>
      <c r="P299" s="13"/>
      <c r="Q299" s="13"/>
      <c r="R299" s="13"/>
      <c r="S299" s="13"/>
      <c r="T299" s="13"/>
      <c r="U299" s="13"/>
      <c r="V299" s="13"/>
      <c r="W299" s="13"/>
    </row>
    <row r="300" spans="2:24" x14ac:dyDescent="0.25">
      <c r="B300" s="186" t="s">
        <v>520</v>
      </c>
      <c r="C300"/>
      <c r="D300"/>
      <c r="E300"/>
      <c r="F300"/>
      <c r="G300"/>
      <c r="H300" s="13"/>
      <c r="I300" s="13"/>
      <c r="J300" s="13"/>
      <c r="K300" s="13"/>
      <c r="L300" s="13"/>
      <c r="M300" s="13"/>
      <c r="N300" s="13"/>
      <c r="O300" s="13"/>
      <c r="P300" s="13"/>
      <c r="Q300" s="13"/>
      <c r="R300" s="13"/>
      <c r="S300" s="13"/>
      <c r="T300" s="13"/>
      <c r="U300" s="13"/>
      <c r="V300" s="13"/>
      <c r="W300" s="13"/>
    </row>
    <row r="301" spans="2:24" x14ac:dyDescent="0.25">
      <c r="B301" s="186"/>
      <c r="C301"/>
      <c r="D301"/>
      <c r="E301"/>
      <c r="F301"/>
      <c r="G301"/>
      <c r="H301" s="13"/>
      <c r="I301" s="13"/>
      <c r="J301" s="13"/>
      <c r="K301" s="13"/>
      <c r="L301" s="13"/>
      <c r="M301" s="13"/>
      <c r="N301" s="13"/>
      <c r="O301" s="13"/>
      <c r="P301" s="13"/>
      <c r="Q301" s="13"/>
      <c r="R301" s="13"/>
      <c r="S301" s="13"/>
      <c r="T301" s="13"/>
      <c r="U301" s="13"/>
      <c r="V301" s="13"/>
      <c r="W301" s="13"/>
    </row>
    <row r="302" spans="2:24" ht="15" customHeight="1" x14ac:dyDescent="0.25">
      <c r="B302" s="432" t="s">
        <v>532</v>
      </c>
      <c r="C302" s="475" t="s">
        <v>477</v>
      </c>
      <c r="D302" s="475"/>
      <c r="E302" s="475"/>
      <c r="F302" s="475"/>
      <c r="G302" s="475"/>
      <c r="H302" s="475"/>
      <c r="I302" s="475"/>
      <c r="J302" s="475"/>
      <c r="K302" s="475"/>
      <c r="L302" s="475"/>
      <c r="M302" s="475"/>
      <c r="N302" s="475"/>
      <c r="O302" s="475"/>
      <c r="P302" s="475"/>
      <c r="Q302" s="475"/>
      <c r="R302" s="469" t="s">
        <v>865</v>
      </c>
      <c r="S302" s="470"/>
      <c r="T302" s="471"/>
      <c r="U302" s="13"/>
      <c r="V302" s="13"/>
      <c r="W302" s="13"/>
    </row>
    <row r="303" spans="2:24" ht="15" customHeight="1" x14ac:dyDescent="0.25">
      <c r="B303" s="432"/>
      <c r="C303" s="463" t="s">
        <v>849</v>
      </c>
      <c r="D303" s="463"/>
      <c r="E303" s="463"/>
      <c r="F303" s="463" t="s">
        <v>850</v>
      </c>
      <c r="G303" s="463"/>
      <c r="H303" s="463"/>
      <c r="I303" s="463" t="s">
        <v>3</v>
      </c>
      <c r="J303" s="463"/>
      <c r="K303" s="463"/>
      <c r="L303" s="463" t="s">
        <v>5</v>
      </c>
      <c r="M303" s="463"/>
      <c r="N303" s="463"/>
      <c r="O303" s="463" t="s">
        <v>859</v>
      </c>
      <c r="P303" s="463"/>
      <c r="Q303" s="463"/>
      <c r="R303" s="472"/>
      <c r="S303" s="473"/>
      <c r="T303" s="474"/>
      <c r="U303" s="13"/>
      <c r="V303" s="13"/>
      <c r="W303" s="13"/>
    </row>
    <row r="304" spans="2:24" x14ac:dyDescent="0.25">
      <c r="B304" s="432"/>
      <c r="C304" s="264" t="s">
        <v>73</v>
      </c>
      <c r="D304" s="264" t="s">
        <v>74</v>
      </c>
      <c r="E304" s="264" t="s">
        <v>25</v>
      </c>
      <c r="F304" s="264" t="s">
        <v>73</v>
      </c>
      <c r="G304" s="264" t="s">
        <v>74</v>
      </c>
      <c r="H304" s="264" t="s">
        <v>25</v>
      </c>
      <c r="I304" s="264" t="s">
        <v>73</v>
      </c>
      <c r="J304" s="264" t="s">
        <v>74</v>
      </c>
      <c r="K304" s="264" t="s">
        <v>25</v>
      </c>
      <c r="L304" s="264" t="s">
        <v>73</v>
      </c>
      <c r="M304" s="264" t="s">
        <v>74</v>
      </c>
      <c r="N304" s="264" t="s">
        <v>25</v>
      </c>
      <c r="O304" s="264" t="s">
        <v>73</v>
      </c>
      <c r="P304" s="264" t="s">
        <v>74</v>
      </c>
      <c r="Q304" s="264" t="s">
        <v>25</v>
      </c>
      <c r="R304" s="274" t="s">
        <v>73</v>
      </c>
      <c r="S304" s="274" t="s">
        <v>74</v>
      </c>
      <c r="T304" s="274" t="s">
        <v>25</v>
      </c>
      <c r="U304" s="13"/>
      <c r="V304" s="13"/>
      <c r="W304" s="13"/>
    </row>
    <row r="305" spans="2:24" x14ac:dyDescent="0.25">
      <c r="B305" s="156" t="s">
        <v>451</v>
      </c>
      <c r="C305" s="314">
        <v>38</v>
      </c>
      <c r="D305" s="314">
        <v>24</v>
      </c>
      <c r="E305" s="314">
        <v>62</v>
      </c>
      <c r="F305" s="314">
        <v>17</v>
      </c>
      <c r="G305" s="314">
        <v>18</v>
      </c>
      <c r="H305" s="314">
        <v>35</v>
      </c>
      <c r="I305" s="314">
        <v>13</v>
      </c>
      <c r="J305" s="314">
        <v>8</v>
      </c>
      <c r="K305" s="314">
        <v>21</v>
      </c>
      <c r="L305" s="314">
        <v>8</v>
      </c>
      <c r="M305" s="314">
        <v>9</v>
      </c>
      <c r="N305" s="314">
        <v>17</v>
      </c>
      <c r="O305" s="314">
        <v>0</v>
      </c>
      <c r="P305" s="314">
        <v>0</v>
      </c>
      <c r="Q305" s="314">
        <v>0</v>
      </c>
      <c r="R305" s="295">
        <v>76</v>
      </c>
      <c r="S305" s="295">
        <v>59</v>
      </c>
      <c r="T305" s="295">
        <v>135</v>
      </c>
      <c r="U305" s="13"/>
      <c r="V305" s="13"/>
      <c r="W305" s="13"/>
      <c r="X305" s="13"/>
    </row>
    <row r="306" spans="2:24" x14ac:dyDescent="0.25">
      <c r="B306" s="136" t="s">
        <v>452</v>
      </c>
      <c r="C306" s="316">
        <v>250</v>
      </c>
      <c r="D306" s="316">
        <v>208</v>
      </c>
      <c r="E306" s="316">
        <v>458</v>
      </c>
      <c r="F306" s="316">
        <v>170</v>
      </c>
      <c r="G306" s="316">
        <v>125</v>
      </c>
      <c r="H306" s="316">
        <v>295</v>
      </c>
      <c r="I306" s="316">
        <v>123</v>
      </c>
      <c r="J306" s="316">
        <v>39</v>
      </c>
      <c r="K306" s="316">
        <v>162</v>
      </c>
      <c r="L306" s="316">
        <v>53</v>
      </c>
      <c r="M306" s="316">
        <v>57</v>
      </c>
      <c r="N306" s="316">
        <v>110</v>
      </c>
      <c r="O306" s="316">
        <v>0</v>
      </c>
      <c r="P306" s="316">
        <v>0</v>
      </c>
      <c r="Q306" s="316">
        <v>0</v>
      </c>
      <c r="R306" s="295">
        <v>596</v>
      </c>
      <c r="S306" s="295">
        <v>429</v>
      </c>
      <c r="T306" s="295">
        <v>1025</v>
      </c>
      <c r="U306" s="13"/>
      <c r="V306" s="13"/>
      <c r="W306" s="13"/>
      <c r="X306" s="13"/>
    </row>
    <row r="307" spans="2:24" x14ac:dyDescent="0.25">
      <c r="B307" s="136" t="s">
        <v>453</v>
      </c>
      <c r="C307" s="316">
        <v>34</v>
      </c>
      <c r="D307" s="316">
        <v>31</v>
      </c>
      <c r="E307" s="316">
        <v>65</v>
      </c>
      <c r="F307" s="316">
        <v>16</v>
      </c>
      <c r="G307" s="316">
        <v>13</v>
      </c>
      <c r="H307" s="316">
        <v>29</v>
      </c>
      <c r="I307" s="316">
        <v>21</v>
      </c>
      <c r="J307" s="316">
        <v>3</v>
      </c>
      <c r="K307" s="316">
        <v>24</v>
      </c>
      <c r="L307" s="316">
        <v>10</v>
      </c>
      <c r="M307" s="316">
        <v>4</v>
      </c>
      <c r="N307" s="316">
        <v>14</v>
      </c>
      <c r="O307" s="316">
        <v>0</v>
      </c>
      <c r="P307" s="316">
        <v>0</v>
      </c>
      <c r="Q307" s="316">
        <v>0</v>
      </c>
      <c r="R307" s="295">
        <v>81</v>
      </c>
      <c r="S307" s="295">
        <v>51</v>
      </c>
      <c r="T307" s="295">
        <v>132</v>
      </c>
      <c r="U307" s="13"/>
      <c r="V307" s="13"/>
      <c r="W307" s="13"/>
      <c r="X307" s="13"/>
    </row>
    <row r="308" spans="2:24" x14ac:dyDescent="0.25">
      <c r="B308" s="136" t="s">
        <v>454</v>
      </c>
      <c r="C308" s="316">
        <v>12</v>
      </c>
      <c r="D308" s="316">
        <v>9</v>
      </c>
      <c r="E308" s="316">
        <v>21</v>
      </c>
      <c r="F308" s="316">
        <v>4</v>
      </c>
      <c r="G308" s="316">
        <v>2</v>
      </c>
      <c r="H308" s="316">
        <v>6</v>
      </c>
      <c r="I308" s="316">
        <v>3</v>
      </c>
      <c r="J308" s="316">
        <v>2</v>
      </c>
      <c r="K308" s="316">
        <v>5</v>
      </c>
      <c r="L308" s="316">
        <v>0</v>
      </c>
      <c r="M308" s="316">
        <v>2</v>
      </c>
      <c r="N308" s="316">
        <v>2</v>
      </c>
      <c r="O308" s="316">
        <v>0</v>
      </c>
      <c r="P308" s="316">
        <v>0</v>
      </c>
      <c r="Q308" s="316">
        <v>0</v>
      </c>
      <c r="R308" s="295">
        <v>19</v>
      </c>
      <c r="S308" s="295">
        <v>15</v>
      </c>
      <c r="T308" s="295">
        <v>34</v>
      </c>
      <c r="U308" s="13"/>
      <c r="V308" s="13"/>
      <c r="W308" s="13"/>
      <c r="X308" s="13"/>
    </row>
    <row r="309" spans="2:24" x14ac:dyDescent="0.25">
      <c r="B309" s="136" t="s">
        <v>455</v>
      </c>
      <c r="C309" s="316">
        <v>30</v>
      </c>
      <c r="D309" s="316">
        <v>27</v>
      </c>
      <c r="E309" s="316">
        <v>57</v>
      </c>
      <c r="F309" s="316">
        <v>10</v>
      </c>
      <c r="G309" s="316">
        <v>10</v>
      </c>
      <c r="H309" s="316">
        <v>20</v>
      </c>
      <c r="I309" s="316">
        <v>8</v>
      </c>
      <c r="J309" s="316">
        <v>0</v>
      </c>
      <c r="K309" s="316">
        <v>8</v>
      </c>
      <c r="L309" s="316">
        <v>1</v>
      </c>
      <c r="M309" s="316">
        <v>2</v>
      </c>
      <c r="N309" s="316">
        <v>3</v>
      </c>
      <c r="O309" s="316">
        <v>0</v>
      </c>
      <c r="P309" s="316">
        <v>0</v>
      </c>
      <c r="Q309" s="316">
        <v>0</v>
      </c>
      <c r="R309" s="295">
        <v>49</v>
      </c>
      <c r="S309" s="295">
        <v>39</v>
      </c>
      <c r="T309" s="295">
        <v>88</v>
      </c>
      <c r="U309" s="13"/>
      <c r="V309" s="13"/>
      <c r="W309" s="13"/>
      <c r="X309" s="13"/>
    </row>
    <row r="310" spans="2:24" x14ac:dyDescent="0.25">
      <c r="B310" s="136" t="s">
        <v>456</v>
      </c>
      <c r="C310" s="316">
        <v>39</v>
      </c>
      <c r="D310" s="316">
        <v>35</v>
      </c>
      <c r="E310" s="316">
        <v>74</v>
      </c>
      <c r="F310" s="316">
        <v>16</v>
      </c>
      <c r="G310" s="316">
        <v>11</v>
      </c>
      <c r="H310" s="316">
        <v>27</v>
      </c>
      <c r="I310" s="316">
        <v>35</v>
      </c>
      <c r="J310" s="316">
        <v>9</v>
      </c>
      <c r="K310" s="316">
        <v>44</v>
      </c>
      <c r="L310" s="316">
        <v>9</v>
      </c>
      <c r="M310" s="316">
        <v>5</v>
      </c>
      <c r="N310" s="316">
        <v>14</v>
      </c>
      <c r="O310" s="316">
        <v>0</v>
      </c>
      <c r="P310" s="316">
        <v>0</v>
      </c>
      <c r="Q310" s="316">
        <v>0</v>
      </c>
      <c r="R310" s="295">
        <v>99</v>
      </c>
      <c r="S310" s="295">
        <v>60</v>
      </c>
      <c r="T310" s="295">
        <v>159</v>
      </c>
      <c r="U310" s="13"/>
      <c r="V310" s="13"/>
      <c r="W310" s="13"/>
      <c r="X310" s="13"/>
    </row>
    <row r="311" spans="2:24" x14ac:dyDescent="0.25">
      <c r="B311" s="136" t="s">
        <v>457</v>
      </c>
      <c r="C311" s="316">
        <v>17</v>
      </c>
      <c r="D311" s="316">
        <v>28</v>
      </c>
      <c r="E311" s="316">
        <v>45</v>
      </c>
      <c r="F311" s="316">
        <v>7</v>
      </c>
      <c r="G311" s="316">
        <v>4</v>
      </c>
      <c r="H311" s="316">
        <v>11</v>
      </c>
      <c r="I311" s="316">
        <v>15</v>
      </c>
      <c r="J311" s="316">
        <v>15</v>
      </c>
      <c r="K311" s="316">
        <v>30</v>
      </c>
      <c r="L311" s="316">
        <v>4</v>
      </c>
      <c r="M311" s="316">
        <v>4</v>
      </c>
      <c r="N311" s="316">
        <v>8</v>
      </c>
      <c r="O311" s="316">
        <v>0</v>
      </c>
      <c r="P311" s="316">
        <v>0</v>
      </c>
      <c r="Q311" s="316">
        <v>0</v>
      </c>
      <c r="R311" s="295">
        <v>43</v>
      </c>
      <c r="S311" s="295">
        <v>51</v>
      </c>
      <c r="T311" s="295">
        <v>94</v>
      </c>
      <c r="U311" s="13"/>
      <c r="V311" s="13"/>
      <c r="W311" s="13"/>
      <c r="X311" s="13"/>
    </row>
    <row r="312" spans="2:24" x14ac:dyDescent="0.25">
      <c r="B312" s="136" t="s">
        <v>458</v>
      </c>
      <c r="C312" s="316">
        <v>6</v>
      </c>
      <c r="D312" s="316">
        <v>4</v>
      </c>
      <c r="E312" s="316">
        <v>10</v>
      </c>
      <c r="F312" s="316">
        <v>4</v>
      </c>
      <c r="G312" s="316">
        <v>4</v>
      </c>
      <c r="H312" s="316">
        <v>8</v>
      </c>
      <c r="I312" s="316">
        <v>5</v>
      </c>
      <c r="J312" s="316">
        <v>4</v>
      </c>
      <c r="K312" s="316">
        <v>9</v>
      </c>
      <c r="L312" s="316">
        <v>4</v>
      </c>
      <c r="M312" s="316">
        <v>2</v>
      </c>
      <c r="N312" s="316">
        <v>6</v>
      </c>
      <c r="O312" s="316">
        <v>0</v>
      </c>
      <c r="P312" s="316">
        <v>0</v>
      </c>
      <c r="Q312" s="316">
        <v>0</v>
      </c>
      <c r="R312" s="295">
        <v>19</v>
      </c>
      <c r="S312" s="295">
        <v>14</v>
      </c>
      <c r="T312" s="295">
        <v>33</v>
      </c>
      <c r="U312" s="13"/>
      <c r="V312" s="13"/>
      <c r="W312" s="13"/>
      <c r="X312" s="13"/>
    </row>
    <row r="313" spans="2:24" x14ac:dyDescent="0.25">
      <c r="B313" s="136" t="s">
        <v>459</v>
      </c>
      <c r="C313" s="316">
        <v>11</v>
      </c>
      <c r="D313" s="316">
        <v>7</v>
      </c>
      <c r="E313" s="316">
        <v>18</v>
      </c>
      <c r="F313" s="316">
        <v>4</v>
      </c>
      <c r="G313" s="316">
        <v>7</v>
      </c>
      <c r="H313" s="316">
        <v>11</v>
      </c>
      <c r="I313" s="316">
        <v>10</v>
      </c>
      <c r="J313" s="316">
        <v>3</v>
      </c>
      <c r="K313" s="316">
        <v>13</v>
      </c>
      <c r="L313" s="316">
        <v>3</v>
      </c>
      <c r="M313" s="316">
        <v>1</v>
      </c>
      <c r="N313" s="316">
        <v>4</v>
      </c>
      <c r="O313" s="316">
        <v>0</v>
      </c>
      <c r="P313" s="316">
        <v>0</v>
      </c>
      <c r="Q313" s="316">
        <v>0</v>
      </c>
      <c r="R313" s="295">
        <v>28</v>
      </c>
      <c r="S313" s="295">
        <v>18</v>
      </c>
      <c r="T313" s="295">
        <v>46</v>
      </c>
      <c r="U313" s="13"/>
      <c r="V313" s="13"/>
      <c r="W313" s="13"/>
      <c r="X313" s="13"/>
    </row>
    <row r="314" spans="2:24" x14ac:dyDescent="0.25">
      <c r="B314" s="136" t="s">
        <v>460</v>
      </c>
      <c r="C314" s="316">
        <v>14</v>
      </c>
      <c r="D314" s="316">
        <v>10</v>
      </c>
      <c r="E314" s="316">
        <v>24</v>
      </c>
      <c r="F314" s="316">
        <v>7</v>
      </c>
      <c r="G314" s="316">
        <v>6</v>
      </c>
      <c r="H314" s="316">
        <v>13</v>
      </c>
      <c r="I314" s="316">
        <v>9</v>
      </c>
      <c r="J314" s="316">
        <v>6</v>
      </c>
      <c r="K314" s="316">
        <v>15</v>
      </c>
      <c r="L314" s="316">
        <v>3</v>
      </c>
      <c r="M314" s="316">
        <v>4</v>
      </c>
      <c r="N314" s="316">
        <v>7</v>
      </c>
      <c r="O314" s="316">
        <v>0</v>
      </c>
      <c r="P314" s="316">
        <v>0</v>
      </c>
      <c r="Q314" s="316">
        <v>0</v>
      </c>
      <c r="R314" s="295">
        <v>33</v>
      </c>
      <c r="S314" s="295">
        <v>26</v>
      </c>
      <c r="T314" s="295">
        <v>59</v>
      </c>
      <c r="U314" s="13"/>
      <c r="V314" s="13"/>
      <c r="W314" s="13"/>
      <c r="X314" s="13"/>
    </row>
    <row r="315" spans="2:24" x14ac:dyDescent="0.25">
      <c r="B315" s="136" t="s">
        <v>461</v>
      </c>
      <c r="C315" s="316">
        <v>7</v>
      </c>
      <c r="D315" s="316">
        <v>4</v>
      </c>
      <c r="E315" s="316">
        <v>11</v>
      </c>
      <c r="F315" s="316">
        <v>6</v>
      </c>
      <c r="G315" s="316">
        <v>4</v>
      </c>
      <c r="H315" s="316">
        <v>10</v>
      </c>
      <c r="I315" s="316">
        <v>4</v>
      </c>
      <c r="J315" s="316">
        <v>0</v>
      </c>
      <c r="K315" s="316">
        <v>4</v>
      </c>
      <c r="L315" s="316">
        <v>0</v>
      </c>
      <c r="M315" s="316">
        <v>1</v>
      </c>
      <c r="N315" s="316">
        <v>1</v>
      </c>
      <c r="O315" s="316">
        <v>0</v>
      </c>
      <c r="P315" s="316">
        <v>0</v>
      </c>
      <c r="Q315" s="316">
        <v>0</v>
      </c>
      <c r="R315" s="295">
        <v>17</v>
      </c>
      <c r="S315" s="295">
        <v>9</v>
      </c>
      <c r="T315" s="295">
        <v>26</v>
      </c>
      <c r="U315" s="13"/>
      <c r="V315" s="13"/>
      <c r="W315" s="13"/>
      <c r="X315" s="13"/>
    </row>
    <row r="316" spans="2:24" x14ac:dyDescent="0.25">
      <c r="B316" s="136" t="s">
        <v>462</v>
      </c>
      <c r="C316" s="316">
        <v>34</v>
      </c>
      <c r="D316" s="316">
        <v>28</v>
      </c>
      <c r="E316" s="316">
        <v>62</v>
      </c>
      <c r="F316" s="316">
        <v>13</v>
      </c>
      <c r="G316" s="316">
        <v>14</v>
      </c>
      <c r="H316" s="316">
        <v>27</v>
      </c>
      <c r="I316" s="316">
        <v>18</v>
      </c>
      <c r="J316" s="316">
        <v>10</v>
      </c>
      <c r="K316" s="316">
        <v>28</v>
      </c>
      <c r="L316" s="316">
        <v>7</v>
      </c>
      <c r="M316" s="316">
        <v>6</v>
      </c>
      <c r="N316" s="316">
        <v>13</v>
      </c>
      <c r="O316" s="316">
        <v>0</v>
      </c>
      <c r="P316" s="316">
        <v>0</v>
      </c>
      <c r="Q316" s="316">
        <v>0</v>
      </c>
      <c r="R316" s="295">
        <v>72</v>
      </c>
      <c r="S316" s="295">
        <v>58</v>
      </c>
      <c r="T316" s="295">
        <v>130</v>
      </c>
      <c r="U316" s="13"/>
      <c r="V316" s="13"/>
      <c r="W316" s="13"/>
      <c r="X316" s="13"/>
    </row>
    <row r="317" spans="2:24" x14ac:dyDescent="0.25">
      <c r="B317" s="136" t="s">
        <v>463</v>
      </c>
      <c r="C317" s="316">
        <v>14</v>
      </c>
      <c r="D317" s="316">
        <v>20</v>
      </c>
      <c r="E317" s="316">
        <v>34</v>
      </c>
      <c r="F317" s="316">
        <v>9</v>
      </c>
      <c r="G317" s="316">
        <v>8</v>
      </c>
      <c r="H317" s="316">
        <v>17</v>
      </c>
      <c r="I317" s="316">
        <v>7</v>
      </c>
      <c r="J317" s="316">
        <v>7</v>
      </c>
      <c r="K317" s="316">
        <v>14</v>
      </c>
      <c r="L317" s="316">
        <v>3</v>
      </c>
      <c r="M317" s="316">
        <v>2</v>
      </c>
      <c r="N317" s="316">
        <v>5</v>
      </c>
      <c r="O317" s="316">
        <v>0</v>
      </c>
      <c r="P317" s="316">
        <v>0</v>
      </c>
      <c r="Q317" s="316">
        <v>0</v>
      </c>
      <c r="R317" s="295">
        <v>33</v>
      </c>
      <c r="S317" s="295">
        <v>37</v>
      </c>
      <c r="T317" s="295">
        <v>70</v>
      </c>
      <c r="U317" s="13"/>
      <c r="V317" s="13"/>
      <c r="W317" s="13"/>
      <c r="X317" s="13"/>
    </row>
    <row r="318" spans="2:24" x14ac:dyDescent="0.25">
      <c r="B318" s="136" t="s">
        <v>464</v>
      </c>
      <c r="C318" s="316">
        <v>9</v>
      </c>
      <c r="D318" s="316">
        <v>5</v>
      </c>
      <c r="E318" s="316">
        <v>14</v>
      </c>
      <c r="F318" s="316">
        <v>4</v>
      </c>
      <c r="G318" s="316">
        <v>1</v>
      </c>
      <c r="H318" s="316">
        <v>5</v>
      </c>
      <c r="I318" s="316">
        <v>8</v>
      </c>
      <c r="J318" s="316">
        <v>2</v>
      </c>
      <c r="K318" s="316">
        <v>10</v>
      </c>
      <c r="L318" s="316">
        <v>2</v>
      </c>
      <c r="M318" s="316">
        <v>3</v>
      </c>
      <c r="N318" s="316">
        <v>5</v>
      </c>
      <c r="O318" s="316">
        <v>0</v>
      </c>
      <c r="P318" s="316">
        <v>0</v>
      </c>
      <c r="Q318" s="316">
        <v>0</v>
      </c>
      <c r="R318" s="295">
        <v>23</v>
      </c>
      <c r="S318" s="295">
        <v>11</v>
      </c>
      <c r="T318" s="295">
        <v>34</v>
      </c>
      <c r="U318" s="13"/>
      <c r="V318" s="13"/>
      <c r="W318" s="13"/>
      <c r="X318" s="13"/>
    </row>
    <row r="319" spans="2:24" x14ac:dyDescent="0.25">
      <c r="B319" s="136" t="s">
        <v>465</v>
      </c>
      <c r="C319" s="316">
        <v>87</v>
      </c>
      <c r="D319" s="316">
        <v>69</v>
      </c>
      <c r="E319" s="316">
        <v>156</v>
      </c>
      <c r="F319" s="316">
        <v>53</v>
      </c>
      <c r="G319" s="316">
        <v>45</v>
      </c>
      <c r="H319" s="316">
        <v>98</v>
      </c>
      <c r="I319" s="316">
        <v>50</v>
      </c>
      <c r="J319" s="316">
        <v>16</v>
      </c>
      <c r="K319" s="316">
        <v>66</v>
      </c>
      <c r="L319" s="316">
        <v>12</v>
      </c>
      <c r="M319" s="316">
        <v>17</v>
      </c>
      <c r="N319" s="316">
        <v>29</v>
      </c>
      <c r="O319" s="316">
        <v>0</v>
      </c>
      <c r="P319" s="316">
        <v>0</v>
      </c>
      <c r="Q319" s="316">
        <v>0</v>
      </c>
      <c r="R319" s="295">
        <v>202</v>
      </c>
      <c r="S319" s="295">
        <v>147</v>
      </c>
      <c r="T319" s="295">
        <v>349</v>
      </c>
      <c r="U319" s="13"/>
      <c r="V319" s="13"/>
      <c r="W319" s="13"/>
      <c r="X319" s="13"/>
    </row>
    <row r="320" spans="2:24" x14ac:dyDescent="0.25">
      <c r="B320" s="136" t="s">
        <v>466</v>
      </c>
      <c r="C320" s="316">
        <v>5</v>
      </c>
      <c r="D320" s="316">
        <v>6</v>
      </c>
      <c r="E320" s="316">
        <v>11</v>
      </c>
      <c r="F320" s="316">
        <v>7</v>
      </c>
      <c r="G320" s="316">
        <v>3</v>
      </c>
      <c r="H320" s="316">
        <v>10</v>
      </c>
      <c r="I320" s="316">
        <v>6</v>
      </c>
      <c r="J320" s="316">
        <v>0</v>
      </c>
      <c r="K320" s="316">
        <v>6</v>
      </c>
      <c r="L320" s="316">
        <v>2</v>
      </c>
      <c r="M320" s="316">
        <v>1</v>
      </c>
      <c r="N320" s="316">
        <v>3</v>
      </c>
      <c r="O320" s="316">
        <v>0</v>
      </c>
      <c r="P320" s="316">
        <v>0</v>
      </c>
      <c r="Q320" s="316">
        <v>0</v>
      </c>
      <c r="R320" s="295">
        <v>20</v>
      </c>
      <c r="S320" s="295">
        <v>10</v>
      </c>
      <c r="T320" s="295">
        <v>30</v>
      </c>
      <c r="U320" s="13"/>
      <c r="V320" s="13"/>
      <c r="W320" s="13"/>
      <c r="X320" s="13"/>
    </row>
    <row r="321" spans="2:27" x14ac:dyDescent="0.25">
      <c r="B321" s="136" t="s">
        <v>467</v>
      </c>
      <c r="C321" s="316">
        <v>26</v>
      </c>
      <c r="D321" s="316">
        <v>17</v>
      </c>
      <c r="E321" s="316">
        <v>43</v>
      </c>
      <c r="F321" s="316">
        <v>16</v>
      </c>
      <c r="G321" s="316">
        <v>17</v>
      </c>
      <c r="H321" s="316">
        <v>33</v>
      </c>
      <c r="I321" s="316">
        <v>21</v>
      </c>
      <c r="J321" s="316">
        <v>16</v>
      </c>
      <c r="K321" s="316">
        <v>37</v>
      </c>
      <c r="L321" s="316">
        <v>6</v>
      </c>
      <c r="M321" s="316">
        <v>7</v>
      </c>
      <c r="N321" s="316">
        <v>13</v>
      </c>
      <c r="O321" s="316">
        <v>0</v>
      </c>
      <c r="P321" s="316">
        <v>0</v>
      </c>
      <c r="Q321" s="316">
        <v>0</v>
      </c>
      <c r="R321" s="295">
        <v>69</v>
      </c>
      <c r="S321" s="295">
        <v>57</v>
      </c>
      <c r="T321" s="295">
        <v>126</v>
      </c>
      <c r="U321" s="13"/>
      <c r="V321" s="13"/>
      <c r="W321" s="13"/>
      <c r="X321" s="13"/>
    </row>
    <row r="322" spans="2:27" x14ac:dyDescent="0.25">
      <c r="B322" s="136" t="s">
        <v>468</v>
      </c>
      <c r="C322" s="316">
        <v>14</v>
      </c>
      <c r="D322" s="316">
        <v>15</v>
      </c>
      <c r="E322" s="316">
        <v>29</v>
      </c>
      <c r="F322" s="316">
        <v>10</v>
      </c>
      <c r="G322" s="316">
        <v>9</v>
      </c>
      <c r="H322" s="316">
        <v>19</v>
      </c>
      <c r="I322" s="316">
        <v>10</v>
      </c>
      <c r="J322" s="316">
        <v>3</v>
      </c>
      <c r="K322" s="316">
        <v>13</v>
      </c>
      <c r="L322" s="316">
        <v>4</v>
      </c>
      <c r="M322" s="316">
        <v>4</v>
      </c>
      <c r="N322" s="316">
        <v>8</v>
      </c>
      <c r="O322" s="316">
        <v>0</v>
      </c>
      <c r="P322" s="316">
        <v>0</v>
      </c>
      <c r="Q322" s="316">
        <v>0</v>
      </c>
      <c r="R322" s="295">
        <v>38</v>
      </c>
      <c r="S322" s="295">
        <v>31</v>
      </c>
      <c r="T322" s="295">
        <v>69</v>
      </c>
      <c r="U322" s="13"/>
      <c r="V322" s="13"/>
      <c r="W322" s="13"/>
      <c r="X322" s="13"/>
    </row>
    <row r="323" spans="2:27" x14ac:dyDescent="0.25">
      <c r="B323" s="136" t="s">
        <v>469</v>
      </c>
      <c r="C323" s="316">
        <v>5</v>
      </c>
      <c r="D323" s="316">
        <v>10</v>
      </c>
      <c r="E323" s="316">
        <v>15</v>
      </c>
      <c r="F323" s="316">
        <v>3</v>
      </c>
      <c r="G323" s="316">
        <v>1</v>
      </c>
      <c r="H323" s="316">
        <v>4</v>
      </c>
      <c r="I323" s="316">
        <v>7</v>
      </c>
      <c r="J323" s="316">
        <v>1</v>
      </c>
      <c r="K323" s="316">
        <v>8</v>
      </c>
      <c r="L323" s="316">
        <v>0</v>
      </c>
      <c r="M323" s="316">
        <v>3</v>
      </c>
      <c r="N323" s="316">
        <v>3</v>
      </c>
      <c r="O323" s="316">
        <v>0</v>
      </c>
      <c r="P323" s="316">
        <v>0</v>
      </c>
      <c r="Q323" s="316">
        <v>0</v>
      </c>
      <c r="R323" s="295">
        <v>15</v>
      </c>
      <c r="S323" s="295">
        <v>15</v>
      </c>
      <c r="T323" s="295">
        <v>30</v>
      </c>
      <c r="U323" s="13"/>
      <c r="V323" s="13"/>
      <c r="W323" s="13"/>
      <c r="X323" s="13"/>
    </row>
    <row r="324" spans="2:27" x14ac:dyDescent="0.25">
      <c r="B324" s="136" t="s">
        <v>470</v>
      </c>
      <c r="C324" s="316">
        <v>30</v>
      </c>
      <c r="D324" s="316">
        <v>14</v>
      </c>
      <c r="E324" s="316">
        <v>44</v>
      </c>
      <c r="F324" s="316">
        <v>21</v>
      </c>
      <c r="G324" s="316">
        <v>7</v>
      </c>
      <c r="H324" s="316">
        <v>28</v>
      </c>
      <c r="I324" s="316">
        <v>19</v>
      </c>
      <c r="J324" s="316">
        <v>6</v>
      </c>
      <c r="K324" s="316">
        <v>25</v>
      </c>
      <c r="L324" s="316">
        <v>7</v>
      </c>
      <c r="M324" s="316">
        <v>6</v>
      </c>
      <c r="N324" s="316">
        <v>13</v>
      </c>
      <c r="O324" s="316">
        <v>0</v>
      </c>
      <c r="P324" s="316">
        <v>0</v>
      </c>
      <c r="Q324" s="316">
        <v>0</v>
      </c>
      <c r="R324" s="295">
        <v>77</v>
      </c>
      <c r="S324" s="295">
        <v>33</v>
      </c>
      <c r="T324" s="295">
        <v>110</v>
      </c>
      <c r="U324" s="13"/>
      <c r="V324" s="13"/>
      <c r="W324" s="13"/>
      <c r="X324" s="13"/>
    </row>
    <row r="325" spans="2:27" x14ac:dyDescent="0.25">
      <c r="B325" s="136" t="s">
        <v>471</v>
      </c>
      <c r="C325" s="316">
        <v>17</v>
      </c>
      <c r="D325" s="316">
        <v>13</v>
      </c>
      <c r="E325" s="316">
        <v>30</v>
      </c>
      <c r="F325" s="316">
        <v>4</v>
      </c>
      <c r="G325" s="316">
        <v>11</v>
      </c>
      <c r="H325" s="316">
        <v>15</v>
      </c>
      <c r="I325" s="316">
        <v>8</v>
      </c>
      <c r="J325" s="316">
        <v>2</v>
      </c>
      <c r="K325" s="316">
        <v>10</v>
      </c>
      <c r="L325" s="316">
        <v>0</v>
      </c>
      <c r="M325" s="316">
        <v>2</v>
      </c>
      <c r="N325" s="316">
        <v>2</v>
      </c>
      <c r="O325" s="316">
        <v>0</v>
      </c>
      <c r="P325" s="316">
        <v>0</v>
      </c>
      <c r="Q325" s="316">
        <v>0</v>
      </c>
      <c r="R325" s="295">
        <v>29</v>
      </c>
      <c r="S325" s="295">
        <v>28</v>
      </c>
      <c r="T325" s="295">
        <v>57</v>
      </c>
      <c r="U325" s="13"/>
      <c r="V325" s="13"/>
      <c r="W325" s="13"/>
      <c r="X325" s="13"/>
    </row>
    <row r="326" spans="2:27" x14ac:dyDescent="0.25">
      <c r="B326" s="260" t="s">
        <v>25</v>
      </c>
      <c r="C326" s="282">
        <v>699</v>
      </c>
      <c r="D326" s="282">
        <v>584</v>
      </c>
      <c r="E326" s="282">
        <v>1283</v>
      </c>
      <c r="F326" s="282">
        <v>401</v>
      </c>
      <c r="G326" s="282">
        <v>320</v>
      </c>
      <c r="H326" s="285">
        <v>721</v>
      </c>
      <c r="I326" s="282">
        <v>400</v>
      </c>
      <c r="J326" s="285">
        <v>152</v>
      </c>
      <c r="K326" s="282">
        <v>552</v>
      </c>
      <c r="L326" s="285">
        <v>138</v>
      </c>
      <c r="M326" s="282">
        <v>142</v>
      </c>
      <c r="N326" s="285">
        <v>280</v>
      </c>
      <c r="O326" s="285">
        <v>0</v>
      </c>
      <c r="P326" s="282">
        <v>0</v>
      </c>
      <c r="Q326" s="285">
        <v>0</v>
      </c>
      <c r="R326" s="295">
        <v>1638</v>
      </c>
      <c r="S326" s="295">
        <v>1198</v>
      </c>
      <c r="T326" s="295">
        <v>2836</v>
      </c>
      <c r="U326" s="13"/>
      <c r="V326" s="13"/>
      <c r="W326" s="13"/>
      <c r="X326" s="13"/>
    </row>
    <row r="327" spans="2:27" ht="82.5" customHeight="1" x14ac:dyDescent="0.25">
      <c r="B327" s="468" t="s">
        <v>866</v>
      </c>
      <c r="C327" s="468"/>
      <c r="D327" s="468"/>
      <c r="E327" s="468"/>
      <c r="F327" s="468"/>
      <c r="G327" s="468"/>
      <c r="H327" s="468"/>
      <c r="I327" s="468"/>
      <c r="J327" s="468"/>
      <c r="K327" s="468"/>
      <c r="L327" s="468"/>
      <c r="M327" s="468"/>
      <c r="N327" s="468"/>
      <c r="O327" s="468"/>
      <c r="P327" s="468"/>
      <c r="Q327" s="468"/>
      <c r="R327" s="13"/>
      <c r="S327" s="13"/>
      <c r="T327" s="13"/>
      <c r="U327" s="13"/>
      <c r="V327" s="13"/>
      <c r="W327" s="13"/>
    </row>
    <row r="328" spans="2:27" x14ac:dyDescent="0.25">
      <c r="B328" s="157"/>
      <c r="C328" s="157"/>
      <c r="D328" s="157"/>
      <c r="E328"/>
      <c r="F328"/>
      <c r="G328"/>
      <c r="H328" s="13"/>
      <c r="I328" s="13"/>
      <c r="J328" s="13"/>
      <c r="K328" s="13"/>
      <c r="L328" s="13"/>
      <c r="M328" s="13"/>
      <c r="N328" s="13"/>
      <c r="O328" s="13"/>
      <c r="P328" s="13"/>
      <c r="Q328" s="13"/>
      <c r="R328" s="13"/>
      <c r="S328" s="13"/>
      <c r="T328" s="13"/>
      <c r="U328" s="13"/>
      <c r="V328" s="13"/>
      <c r="W328" s="13"/>
    </row>
    <row r="329" spans="2:27" x14ac:dyDescent="0.25">
      <c r="B329" s="157"/>
      <c r="C329" s="157"/>
      <c r="D329" s="157"/>
      <c r="E329"/>
      <c r="F329"/>
      <c r="G329"/>
      <c r="H329" s="13"/>
      <c r="I329" s="13"/>
      <c r="J329" s="13"/>
      <c r="K329" s="13"/>
      <c r="L329" s="13"/>
      <c r="M329" s="13"/>
      <c r="N329" s="13"/>
      <c r="O329" s="13"/>
      <c r="P329" s="13"/>
      <c r="Q329" s="13"/>
      <c r="R329" s="13"/>
      <c r="S329" s="13"/>
      <c r="T329" s="13"/>
      <c r="U329" s="13"/>
      <c r="V329" s="13"/>
      <c r="W329" s="13"/>
    </row>
    <row r="330" spans="2:27" x14ac:dyDescent="0.25">
      <c r="B330" s="186" t="s">
        <v>908</v>
      </c>
      <c r="C330"/>
      <c r="D330"/>
      <c r="E330"/>
      <c r="F330"/>
      <c r="G330"/>
      <c r="H330" s="13"/>
      <c r="I330" s="13"/>
      <c r="J330" s="13"/>
      <c r="K330" s="13"/>
      <c r="L330" s="13"/>
      <c r="M330" s="13"/>
      <c r="N330" s="13"/>
      <c r="O330" s="13"/>
      <c r="P330" s="13"/>
      <c r="Q330" s="13"/>
      <c r="R330" s="13"/>
      <c r="S330" s="13"/>
      <c r="T330" s="13"/>
      <c r="U330" s="13"/>
      <c r="V330" s="13"/>
      <c r="W330" s="13"/>
    </row>
    <row r="331" spans="2:27" x14ac:dyDescent="0.25">
      <c r="B331" s="186"/>
      <c r="C331"/>
      <c r="D331"/>
      <c r="E331"/>
      <c r="F331"/>
      <c r="G331"/>
      <c r="H331" s="13"/>
      <c r="I331" s="13"/>
      <c r="J331" s="13"/>
      <c r="K331" s="13"/>
      <c r="L331" s="13"/>
      <c r="M331" s="13"/>
      <c r="N331" s="13"/>
      <c r="O331" s="13"/>
      <c r="P331" s="13"/>
      <c r="Q331" s="13"/>
      <c r="R331" s="13"/>
      <c r="S331" s="13"/>
      <c r="T331" s="13"/>
      <c r="U331" s="13"/>
      <c r="V331" s="13"/>
      <c r="W331" s="13"/>
    </row>
    <row r="332" spans="2:27" ht="15" customHeight="1" x14ac:dyDescent="0.25">
      <c r="B332" s="432" t="s">
        <v>532</v>
      </c>
      <c r="C332" s="476" t="s">
        <v>477</v>
      </c>
      <c r="D332" s="477"/>
      <c r="E332" s="477"/>
      <c r="F332" s="477"/>
      <c r="G332" s="477"/>
      <c r="H332" s="477"/>
      <c r="I332" s="477"/>
      <c r="J332" s="477"/>
      <c r="K332" s="477"/>
      <c r="L332" s="477"/>
      <c r="M332" s="477"/>
      <c r="N332" s="477"/>
      <c r="O332" s="477"/>
      <c r="P332" s="477"/>
      <c r="Q332" s="478"/>
      <c r="R332" s="469" t="s">
        <v>865</v>
      </c>
      <c r="S332" s="470"/>
      <c r="T332" s="471"/>
      <c r="U332" s="13"/>
      <c r="V332" s="13"/>
      <c r="W332" s="13"/>
      <c r="X332" s="13"/>
      <c r="Y332" s="13"/>
      <c r="Z332" s="13"/>
    </row>
    <row r="333" spans="2:27" ht="15" customHeight="1" x14ac:dyDescent="0.25">
      <c r="B333" s="432"/>
      <c r="C333" s="463" t="s">
        <v>849</v>
      </c>
      <c r="D333" s="463"/>
      <c r="E333" s="463"/>
      <c r="F333" s="463" t="s">
        <v>850</v>
      </c>
      <c r="G333" s="463"/>
      <c r="H333" s="463"/>
      <c r="I333" s="463" t="s">
        <v>3</v>
      </c>
      <c r="J333" s="463"/>
      <c r="K333" s="463"/>
      <c r="L333" s="463" t="s">
        <v>5</v>
      </c>
      <c r="M333" s="463"/>
      <c r="N333" s="463"/>
      <c r="O333" s="463" t="s">
        <v>859</v>
      </c>
      <c r="P333" s="463"/>
      <c r="Q333" s="463"/>
      <c r="R333" s="472"/>
      <c r="S333" s="473"/>
      <c r="T333" s="474"/>
      <c r="U333" s="13"/>
      <c r="V333" s="13"/>
      <c r="W333" s="13"/>
      <c r="X333" s="13"/>
      <c r="Y333" s="13"/>
      <c r="Z333" s="13"/>
    </row>
    <row r="334" spans="2:27" x14ac:dyDescent="0.25">
      <c r="B334" s="432"/>
      <c r="C334" s="264" t="s">
        <v>73</v>
      </c>
      <c r="D334" s="264" t="s">
        <v>74</v>
      </c>
      <c r="E334" s="264" t="s">
        <v>25</v>
      </c>
      <c r="F334" s="264" t="s">
        <v>73</v>
      </c>
      <c r="G334" s="264" t="s">
        <v>74</v>
      </c>
      <c r="H334" s="264" t="s">
        <v>25</v>
      </c>
      <c r="I334" s="264" t="s">
        <v>73</v>
      </c>
      <c r="J334" s="264" t="s">
        <v>74</v>
      </c>
      <c r="K334" s="264" t="s">
        <v>25</v>
      </c>
      <c r="L334" s="264" t="s">
        <v>73</v>
      </c>
      <c r="M334" s="264" t="s">
        <v>74</v>
      </c>
      <c r="N334" s="319" t="s">
        <v>25</v>
      </c>
      <c r="O334" s="264" t="s">
        <v>73</v>
      </c>
      <c r="P334" s="264" t="s">
        <v>74</v>
      </c>
      <c r="Q334" s="264" t="s">
        <v>25</v>
      </c>
      <c r="R334" s="274" t="s">
        <v>73</v>
      </c>
      <c r="S334" s="274" t="s">
        <v>74</v>
      </c>
      <c r="T334" s="274" t="s">
        <v>25</v>
      </c>
      <c r="U334" s="13"/>
      <c r="V334" s="13"/>
      <c r="W334" s="13"/>
      <c r="X334" s="13"/>
      <c r="Y334" s="13"/>
      <c r="Z334" s="13"/>
    </row>
    <row r="335" spans="2:27" x14ac:dyDescent="0.25">
      <c r="B335" s="156" t="s">
        <v>269</v>
      </c>
      <c r="C335" s="316">
        <v>5</v>
      </c>
      <c r="D335" s="316">
        <v>3</v>
      </c>
      <c r="E335" s="316">
        <v>8</v>
      </c>
      <c r="F335" s="316">
        <v>1</v>
      </c>
      <c r="G335" s="316">
        <v>3</v>
      </c>
      <c r="H335" s="316">
        <v>4</v>
      </c>
      <c r="I335" s="316">
        <v>6</v>
      </c>
      <c r="J335" s="316">
        <v>4</v>
      </c>
      <c r="K335" s="316">
        <v>10</v>
      </c>
      <c r="L335" s="316">
        <v>5</v>
      </c>
      <c r="M335" s="316">
        <v>1</v>
      </c>
      <c r="N335" s="320">
        <v>6</v>
      </c>
      <c r="O335" s="307">
        <v>0</v>
      </c>
      <c r="P335" s="307">
        <v>0</v>
      </c>
      <c r="Q335" s="307">
        <v>0</v>
      </c>
      <c r="R335" s="295">
        <v>17</v>
      </c>
      <c r="S335" s="295">
        <v>11</v>
      </c>
      <c r="T335" s="295">
        <v>28</v>
      </c>
      <c r="U335" s="13"/>
      <c r="V335" s="13"/>
      <c r="W335" s="13"/>
      <c r="X335" s="13"/>
      <c r="Y335" s="13"/>
      <c r="Z335" s="13"/>
      <c r="AA335" s="13"/>
    </row>
    <row r="336" spans="2:27" x14ac:dyDescent="0.25">
      <c r="B336" s="136" t="s">
        <v>270</v>
      </c>
      <c r="C336" s="316">
        <v>5</v>
      </c>
      <c r="D336" s="316">
        <v>2</v>
      </c>
      <c r="E336" s="316">
        <v>7</v>
      </c>
      <c r="F336" s="316">
        <v>1</v>
      </c>
      <c r="G336" s="316">
        <v>3</v>
      </c>
      <c r="H336" s="316">
        <v>4</v>
      </c>
      <c r="I336" s="316">
        <v>1</v>
      </c>
      <c r="J336" s="316">
        <v>0</v>
      </c>
      <c r="K336" s="316">
        <v>1</v>
      </c>
      <c r="L336" s="316">
        <v>2</v>
      </c>
      <c r="M336" s="316">
        <v>0</v>
      </c>
      <c r="N336" s="320">
        <v>2</v>
      </c>
      <c r="O336" s="307">
        <v>0</v>
      </c>
      <c r="P336" s="307">
        <v>0</v>
      </c>
      <c r="Q336" s="307">
        <v>0</v>
      </c>
      <c r="R336" s="295">
        <v>9</v>
      </c>
      <c r="S336" s="295">
        <v>5</v>
      </c>
      <c r="T336" s="295">
        <v>14</v>
      </c>
      <c r="U336" s="13"/>
      <c r="V336" s="13"/>
      <c r="W336" s="13"/>
      <c r="X336" s="13"/>
      <c r="Y336" s="13"/>
      <c r="Z336" s="13"/>
      <c r="AA336" s="13"/>
    </row>
    <row r="337" spans="2:27" x14ac:dyDescent="0.25">
      <c r="B337" s="136" t="s">
        <v>271</v>
      </c>
      <c r="C337" s="316">
        <v>54</v>
      </c>
      <c r="D337" s="316">
        <v>52</v>
      </c>
      <c r="E337" s="316">
        <v>106</v>
      </c>
      <c r="F337" s="316">
        <v>22</v>
      </c>
      <c r="G337" s="316">
        <v>22</v>
      </c>
      <c r="H337" s="316">
        <v>44</v>
      </c>
      <c r="I337" s="316">
        <v>20</v>
      </c>
      <c r="J337" s="316">
        <v>11</v>
      </c>
      <c r="K337" s="316">
        <v>31</v>
      </c>
      <c r="L337" s="316">
        <v>5</v>
      </c>
      <c r="M337" s="316">
        <v>12</v>
      </c>
      <c r="N337" s="320">
        <v>17</v>
      </c>
      <c r="O337" s="307">
        <v>0</v>
      </c>
      <c r="P337" s="307">
        <v>0</v>
      </c>
      <c r="Q337" s="307">
        <v>0</v>
      </c>
      <c r="R337" s="295">
        <v>101</v>
      </c>
      <c r="S337" s="295">
        <v>97</v>
      </c>
      <c r="T337" s="295">
        <v>198</v>
      </c>
      <c r="U337" s="13"/>
      <c r="V337" s="13"/>
      <c r="W337" s="13"/>
      <c r="X337" s="13"/>
      <c r="Y337" s="13"/>
      <c r="Z337" s="13"/>
      <c r="AA337" s="13"/>
    </row>
    <row r="338" spans="2:27" x14ac:dyDescent="0.25">
      <c r="B338" s="136" t="s">
        <v>272</v>
      </c>
      <c r="C338" s="316">
        <v>32</v>
      </c>
      <c r="D338" s="316">
        <v>32</v>
      </c>
      <c r="E338" s="316">
        <v>64</v>
      </c>
      <c r="F338" s="316">
        <v>12</v>
      </c>
      <c r="G338" s="316">
        <v>19</v>
      </c>
      <c r="H338" s="316">
        <v>31</v>
      </c>
      <c r="I338" s="316">
        <v>33</v>
      </c>
      <c r="J338" s="316">
        <v>8</v>
      </c>
      <c r="K338" s="316">
        <v>41</v>
      </c>
      <c r="L338" s="316">
        <v>6</v>
      </c>
      <c r="M338" s="316">
        <v>7</v>
      </c>
      <c r="N338" s="320">
        <v>13</v>
      </c>
      <c r="O338" s="307">
        <v>0</v>
      </c>
      <c r="P338" s="307">
        <v>0</v>
      </c>
      <c r="Q338" s="307">
        <v>0</v>
      </c>
      <c r="R338" s="295">
        <v>83</v>
      </c>
      <c r="S338" s="295">
        <v>66</v>
      </c>
      <c r="T338" s="295">
        <v>149</v>
      </c>
      <c r="U338" s="13"/>
      <c r="V338" s="13"/>
      <c r="W338" s="13"/>
      <c r="X338" s="13"/>
      <c r="Y338" s="13"/>
      <c r="Z338" s="13"/>
      <c r="AA338" s="13"/>
    </row>
    <row r="339" spans="2:27" x14ac:dyDescent="0.25">
      <c r="B339" s="136" t="s">
        <v>495</v>
      </c>
      <c r="C339" s="316">
        <v>48</v>
      </c>
      <c r="D339" s="316">
        <v>44</v>
      </c>
      <c r="E339" s="316">
        <v>92</v>
      </c>
      <c r="F339" s="316">
        <v>18</v>
      </c>
      <c r="G339" s="316">
        <v>16</v>
      </c>
      <c r="H339" s="316">
        <v>34</v>
      </c>
      <c r="I339" s="316">
        <v>21</v>
      </c>
      <c r="J339" s="316">
        <v>6</v>
      </c>
      <c r="K339" s="316">
        <v>27</v>
      </c>
      <c r="L339" s="316">
        <v>1</v>
      </c>
      <c r="M339" s="316">
        <v>10</v>
      </c>
      <c r="N339" s="320">
        <v>11</v>
      </c>
      <c r="O339" s="307">
        <v>0</v>
      </c>
      <c r="P339" s="307">
        <v>0</v>
      </c>
      <c r="Q339" s="307">
        <v>0</v>
      </c>
      <c r="R339" s="295">
        <v>88</v>
      </c>
      <c r="S339" s="295">
        <v>76</v>
      </c>
      <c r="T339" s="295">
        <v>164</v>
      </c>
      <c r="U339" s="13"/>
      <c r="V339" s="13"/>
      <c r="W339" s="13"/>
      <c r="X339" s="13"/>
      <c r="Y339" s="13"/>
      <c r="Z339" s="13"/>
      <c r="AA339" s="13"/>
    </row>
    <row r="340" spans="2:27" x14ac:dyDescent="0.25">
      <c r="B340" s="136" t="s">
        <v>273</v>
      </c>
      <c r="C340" s="316">
        <v>76</v>
      </c>
      <c r="D340" s="316">
        <v>58</v>
      </c>
      <c r="E340" s="316">
        <v>134</v>
      </c>
      <c r="F340" s="316">
        <v>68</v>
      </c>
      <c r="G340" s="316">
        <v>62</v>
      </c>
      <c r="H340" s="316">
        <v>130</v>
      </c>
      <c r="I340" s="316">
        <v>31</v>
      </c>
      <c r="J340" s="316">
        <v>3</v>
      </c>
      <c r="K340" s="316">
        <v>34</v>
      </c>
      <c r="L340" s="316">
        <v>14</v>
      </c>
      <c r="M340" s="316">
        <v>16</v>
      </c>
      <c r="N340" s="320">
        <v>30</v>
      </c>
      <c r="O340" s="307">
        <v>0</v>
      </c>
      <c r="P340" s="307">
        <v>1</v>
      </c>
      <c r="Q340" s="307">
        <v>1</v>
      </c>
      <c r="R340" s="295">
        <v>189</v>
      </c>
      <c r="S340" s="295">
        <v>140</v>
      </c>
      <c r="T340" s="295">
        <v>329</v>
      </c>
      <c r="U340" s="13"/>
      <c r="V340" s="13"/>
      <c r="W340" s="13"/>
      <c r="X340" s="13"/>
      <c r="Y340" s="13"/>
      <c r="Z340" s="13"/>
      <c r="AA340" s="13"/>
    </row>
    <row r="341" spans="2:27" x14ac:dyDescent="0.25">
      <c r="B341" s="136" t="s">
        <v>274</v>
      </c>
      <c r="C341" s="316">
        <v>242</v>
      </c>
      <c r="D341" s="316">
        <v>227</v>
      </c>
      <c r="E341" s="316">
        <v>469</v>
      </c>
      <c r="F341" s="316">
        <v>236</v>
      </c>
      <c r="G341" s="316">
        <v>139</v>
      </c>
      <c r="H341" s="316">
        <v>375</v>
      </c>
      <c r="I341" s="316">
        <v>57</v>
      </c>
      <c r="J341" s="316">
        <v>27</v>
      </c>
      <c r="K341" s="316">
        <v>84</v>
      </c>
      <c r="L341" s="316">
        <v>45</v>
      </c>
      <c r="M341" s="316">
        <v>36</v>
      </c>
      <c r="N341" s="320">
        <v>81</v>
      </c>
      <c r="O341" s="307">
        <v>0</v>
      </c>
      <c r="P341" s="307">
        <v>0</v>
      </c>
      <c r="Q341" s="307">
        <v>0</v>
      </c>
      <c r="R341" s="295">
        <v>580</v>
      </c>
      <c r="S341" s="295">
        <v>429</v>
      </c>
      <c r="T341" s="295">
        <v>1009</v>
      </c>
      <c r="U341" s="13"/>
      <c r="V341" s="13"/>
      <c r="W341" s="13"/>
      <c r="X341" s="13"/>
      <c r="Y341" s="13"/>
      <c r="Z341" s="13"/>
      <c r="AA341" s="13"/>
    </row>
    <row r="342" spans="2:27" x14ac:dyDescent="0.25">
      <c r="B342" s="136" t="s">
        <v>275</v>
      </c>
      <c r="C342" s="316">
        <v>5</v>
      </c>
      <c r="D342" s="316">
        <v>16</v>
      </c>
      <c r="E342" s="316">
        <v>21</v>
      </c>
      <c r="F342" s="316">
        <v>4</v>
      </c>
      <c r="G342" s="316">
        <v>3</v>
      </c>
      <c r="H342" s="316">
        <v>7</v>
      </c>
      <c r="I342" s="316">
        <v>2</v>
      </c>
      <c r="J342" s="316">
        <v>4</v>
      </c>
      <c r="K342" s="316">
        <v>6</v>
      </c>
      <c r="L342" s="316">
        <v>1</v>
      </c>
      <c r="M342" s="316">
        <v>1</v>
      </c>
      <c r="N342" s="320">
        <v>2</v>
      </c>
      <c r="O342" s="307">
        <v>0</v>
      </c>
      <c r="P342" s="307">
        <v>0</v>
      </c>
      <c r="Q342" s="307">
        <v>0</v>
      </c>
      <c r="R342" s="295">
        <v>12</v>
      </c>
      <c r="S342" s="295">
        <v>24</v>
      </c>
      <c r="T342" s="295">
        <v>36</v>
      </c>
      <c r="U342" s="13"/>
      <c r="V342" s="13"/>
      <c r="W342" s="13"/>
      <c r="X342" s="13"/>
      <c r="Y342" s="13"/>
      <c r="Z342" s="13"/>
      <c r="AA342" s="13"/>
    </row>
    <row r="343" spans="2:27" x14ac:dyDescent="0.25">
      <c r="B343" s="136" t="s">
        <v>276</v>
      </c>
      <c r="C343" s="316">
        <v>140</v>
      </c>
      <c r="D343" s="316">
        <v>136</v>
      </c>
      <c r="E343" s="316">
        <v>276</v>
      </c>
      <c r="F343" s="316">
        <v>77</v>
      </c>
      <c r="G343" s="316">
        <v>70</v>
      </c>
      <c r="H343" s="316">
        <v>147</v>
      </c>
      <c r="I343" s="316">
        <v>60</v>
      </c>
      <c r="J343" s="316">
        <v>15</v>
      </c>
      <c r="K343" s="316">
        <v>75</v>
      </c>
      <c r="L343" s="316">
        <v>13</v>
      </c>
      <c r="M343" s="316">
        <v>18</v>
      </c>
      <c r="N343" s="320">
        <v>31</v>
      </c>
      <c r="O343" s="307">
        <v>0</v>
      </c>
      <c r="P343" s="307">
        <v>0</v>
      </c>
      <c r="Q343" s="307">
        <v>0</v>
      </c>
      <c r="R343" s="295">
        <v>290</v>
      </c>
      <c r="S343" s="295">
        <v>239</v>
      </c>
      <c r="T343" s="295">
        <v>529</v>
      </c>
      <c r="U343" s="13"/>
      <c r="V343" s="13"/>
      <c r="W343" s="13"/>
      <c r="X343" s="13"/>
      <c r="Y343" s="13"/>
      <c r="Z343" s="13"/>
      <c r="AA343" s="13"/>
    </row>
    <row r="344" spans="2:27" x14ac:dyDescent="0.25">
      <c r="B344" s="136" t="s">
        <v>277</v>
      </c>
      <c r="C344" s="316">
        <v>37</v>
      </c>
      <c r="D344" s="316">
        <v>30</v>
      </c>
      <c r="E344" s="316">
        <v>67</v>
      </c>
      <c r="F344" s="316">
        <v>28</v>
      </c>
      <c r="G344" s="316">
        <v>24</v>
      </c>
      <c r="H344" s="316">
        <v>52</v>
      </c>
      <c r="I344" s="316">
        <v>13</v>
      </c>
      <c r="J344" s="316">
        <v>6</v>
      </c>
      <c r="K344" s="316">
        <v>19</v>
      </c>
      <c r="L344" s="316">
        <v>3</v>
      </c>
      <c r="M344" s="316">
        <v>1</v>
      </c>
      <c r="N344" s="320">
        <v>4</v>
      </c>
      <c r="O344" s="307">
        <v>0</v>
      </c>
      <c r="P344" s="307">
        <v>0</v>
      </c>
      <c r="Q344" s="307">
        <v>0</v>
      </c>
      <c r="R344" s="295">
        <v>81</v>
      </c>
      <c r="S344" s="295">
        <v>61</v>
      </c>
      <c r="T344" s="295">
        <v>142</v>
      </c>
      <c r="U344" s="13"/>
      <c r="V344" s="13"/>
      <c r="W344" s="13"/>
      <c r="X344" s="13"/>
      <c r="Y344" s="13"/>
      <c r="Z344" s="13"/>
      <c r="AA344" s="13"/>
    </row>
    <row r="345" spans="2:27" x14ac:dyDescent="0.25">
      <c r="B345" s="136" t="s">
        <v>278</v>
      </c>
      <c r="C345" s="316">
        <v>19</v>
      </c>
      <c r="D345" s="316">
        <v>12</v>
      </c>
      <c r="E345" s="316">
        <v>31</v>
      </c>
      <c r="F345" s="316">
        <v>7</v>
      </c>
      <c r="G345" s="316">
        <v>8</v>
      </c>
      <c r="H345" s="316">
        <v>15</v>
      </c>
      <c r="I345" s="316">
        <v>9</v>
      </c>
      <c r="J345" s="316">
        <v>1</v>
      </c>
      <c r="K345" s="316">
        <v>10</v>
      </c>
      <c r="L345" s="316">
        <v>0</v>
      </c>
      <c r="M345" s="316">
        <v>4</v>
      </c>
      <c r="N345" s="320">
        <v>4</v>
      </c>
      <c r="O345" s="307">
        <v>0</v>
      </c>
      <c r="P345" s="307">
        <v>0</v>
      </c>
      <c r="Q345" s="307">
        <v>0</v>
      </c>
      <c r="R345" s="295">
        <v>35</v>
      </c>
      <c r="S345" s="295">
        <v>25</v>
      </c>
      <c r="T345" s="295">
        <v>60</v>
      </c>
      <c r="U345" s="13"/>
      <c r="V345" s="13"/>
      <c r="W345" s="13"/>
      <c r="X345" s="13"/>
      <c r="Y345" s="13"/>
      <c r="Z345" s="13"/>
      <c r="AA345" s="13"/>
    </row>
    <row r="346" spans="2:27" x14ac:dyDescent="0.25">
      <c r="B346" s="136" t="s">
        <v>279</v>
      </c>
      <c r="C346" s="316">
        <v>105</v>
      </c>
      <c r="D346" s="316">
        <v>89</v>
      </c>
      <c r="E346" s="316">
        <v>194</v>
      </c>
      <c r="F346" s="316">
        <v>71</v>
      </c>
      <c r="G346" s="316">
        <v>45</v>
      </c>
      <c r="H346" s="316">
        <v>116</v>
      </c>
      <c r="I346" s="316">
        <v>42</v>
      </c>
      <c r="J346" s="316">
        <v>8</v>
      </c>
      <c r="K346" s="316">
        <v>50</v>
      </c>
      <c r="L346" s="316">
        <v>16</v>
      </c>
      <c r="M346" s="316">
        <v>21</v>
      </c>
      <c r="N346" s="320">
        <v>37</v>
      </c>
      <c r="O346" s="307">
        <v>0</v>
      </c>
      <c r="P346" s="307">
        <v>0</v>
      </c>
      <c r="Q346" s="307">
        <v>0</v>
      </c>
      <c r="R346" s="295">
        <v>234</v>
      </c>
      <c r="S346" s="295">
        <v>163</v>
      </c>
      <c r="T346" s="295">
        <v>397</v>
      </c>
      <c r="U346" s="13"/>
      <c r="V346" s="13"/>
      <c r="W346" s="13"/>
      <c r="X346" s="13"/>
      <c r="Y346" s="13"/>
      <c r="Z346" s="13"/>
      <c r="AA346" s="13"/>
    </row>
    <row r="347" spans="2:27" x14ac:dyDescent="0.25">
      <c r="B347" s="136" t="s">
        <v>280</v>
      </c>
      <c r="C347" s="316">
        <v>41</v>
      </c>
      <c r="D347" s="316">
        <v>31</v>
      </c>
      <c r="E347" s="316">
        <v>72</v>
      </c>
      <c r="F347" s="316">
        <v>13</v>
      </c>
      <c r="G347" s="316">
        <v>17</v>
      </c>
      <c r="H347" s="316">
        <v>30</v>
      </c>
      <c r="I347" s="316">
        <v>12</v>
      </c>
      <c r="J347" s="316">
        <v>7</v>
      </c>
      <c r="K347" s="316">
        <v>19</v>
      </c>
      <c r="L347" s="316">
        <v>4</v>
      </c>
      <c r="M347" s="316">
        <v>6</v>
      </c>
      <c r="N347" s="320">
        <v>10</v>
      </c>
      <c r="O347" s="307">
        <v>0</v>
      </c>
      <c r="P347" s="307">
        <v>0</v>
      </c>
      <c r="Q347" s="307">
        <v>0</v>
      </c>
      <c r="R347" s="295">
        <v>70</v>
      </c>
      <c r="S347" s="295">
        <v>61</v>
      </c>
      <c r="T347" s="295">
        <v>131</v>
      </c>
      <c r="U347" s="13"/>
      <c r="V347" s="13"/>
      <c r="W347" s="13"/>
      <c r="X347" s="13"/>
      <c r="Y347" s="13"/>
      <c r="Z347" s="13"/>
      <c r="AA347" s="13"/>
    </row>
    <row r="348" spans="2:27" x14ac:dyDescent="0.25">
      <c r="B348" s="136" t="s">
        <v>281</v>
      </c>
      <c r="C348" s="316">
        <v>37</v>
      </c>
      <c r="D348" s="316">
        <v>33</v>
      </c>
      <c r="E348" s="316">
        <v>70</v>
      </c>
      <c r="F348" s="316">
        <v>13</v>
      </c>
      <c r="G348" s="316">
        <v>18</v>
      </c>
      <c r="H348" s="316">
        <v>31</v>
      </c>
      <c r="I348" s="316">
        <v>30</v>
      </c>
      <c r="J348" s="316">
        <v>6</v>
      </c>
      <c r="K348" s="316">
        <v>36</v>
      </c>
      <c r="L348" s="316">
        <v>5</v>
      </c>
      <c r="M348" s="316">
        <v>1</v>
      </c>
      <c r="N348" s="320">
        <v>6</v>
      </c>
      <c r="O348" s="307">
        <v>0</v>
      </c>
      <c r="P348" s="307">
        <v>0</v>
      </c>
      <c r="Q348" s="307">
        <v>0</v>
      </c>
      <c r="R348" s="295">
        <v>85</v>
      </c>
      <c r="S348" s="295">
        <v>58</v>
      </c>
      <c r="T348" s="295">
        <v>143</v>
      </c>
      <c r="U348" s="13"/>
      <c r="V348" s="13"/>
      <c r="W348" s="13"/>
      <c r="X348" s="13"/>
      <c r="Y348" s="13"/>
      <c r="Z348" s="13"/>
      <c r="AA348" s="13"/>
    </row>
    <row r="349" spans="2:27" x14ac:dyDescent="0.25">
      <c r="B349" s="136" t="s">
        <v>282</v>
      </c>
      <c r="C349" s="316">
        <v>32</v>
      </c>
      <c r="D349" s="316">
        <v>22</v>
      </c>
      <c r="E349" s="316">
        <v>54</v>
      </c>
      <c r="F349" s="316">
        <v>18</v>
      </c>
      <c r="G349" s="316">
        <v>14</v>
      </c>
      <c r="H349" s="316">
        <v>32</v>
      </c>
      <c r="I349" s="316">
        <v>21</v>
      </c>
      <c r="J349" s="316">
        <v>10</v>
      </c>
      <c r="K349" s="316">
        <v>31</v>
      </c>
      <c r="L349" s="316">
        <v>2</v>
      </c>
      <c r="M349" s="316">
        <v>2</v>
      </c>
      <c r="N349" s="320">
        <v>4</v>
      </c>
      <c r="O349" s="307">
        <v>0</v>
      </c>
      <c r="P349" s="307">
        <v>0</v>
      </c>
      <c r="Q349" s="307">
        <v>0</v>
      </c>
      <c r="R349" s="295">
        <v>73</v>
      </c>
      <c r="S349" s="295">
        <v>48</v>
      </c>
      <c r="T349" s="295">
        <v>121</v>
      </c>
      <c r="U349" s="13"/>
      <c r="V349" s="13"/>
      <c r="W349" s="13"/>
      <c r="X349" s="13"/>
      <c r="Y349" s="13"/>
      <c r="Z349" s="13"/>
      <c r="AA349" s="13"/>
    </row>
    <row r="350" spans="2:27" x14ac:dyDescent="0.25">
      <c r="B350" s="136" t="s">
        <v>283</v>
      </c>
      <c r="C350" s="316">
        <v>23</v>
      </c>
      <c r="D350" s="316">
        <v>21</v>
      </c>
      <c r="E350" s="316">
        <v>44</v>
      </c>
      <c r="F350" s="316">
        <v>10</v>
      </c>
      <c r="G350" s="316">
        <v>9</v>
      </c>
      <c r="H350" s="316">
        <v>19</v>
      </c>
      <c r="I350" s="316">
        <v>14</v>
      </c>
      <c r="J350" s="316">
        <v>5</v>
      </c>
      <c r="K350" s="316">
        <v>19</v>
      </c>
      <c r="L350" s="316">
        <v>5</v>
      </c>
      <c r="M350" s="316">
        <v>4</v>
      </c>
      <c r="N350" s="320">
        <v>9</v>
      </c>
      <c r="O350" s="307">
        <v>0</v>
      </c>
      <c r="P350" s="307">
        <v>0</v>
      </c>
      <c r="Q350" s="307">
        <v>0</v>
      </c>
      <c r="R350" s="295">
        <v>52</v>
      </c>
      <c r="S350" s="295">
        <v>39</v>
      </c>
      <c r="T350" s="295">
        <v>91</v>
      </c>
      <c r="U350" s="13"/>
      <c r="V350" s="13"/>
      <c r="W350" s="13"/>
      <c r="X350" s="13"/>
      <c r="Y350" s="13"/>
      <c r="Z350" s="13"/>
      <c r="AA350" s="13"/>
    </row>
    <row r="351" spans="2:27" x14ac:dyDescent="0.25">
      <c r="B351" s="136" t="s">
        <v>284</v>
      </c>
      <c r="C351" s="316">
        <v>258</v>
      </c>
      <c r="D351" s="316">
        <v>220</v>
      </c>
      <c r="E351" s="316">
        <v>478</v>
      </c>
      <c r="F351" s="316">
        <v>170</v>
      </c>
      <c r="G351" s="316">
        <v>123</v>
      </c>
      <c r="H351" s="316">
        <v>293</v>
      </c>
      <c r="I351" s="316">
        <v>103</v>
      </c>
      <c r="J351" s="316">
        <v>41</v>
      </c>
      <c r="K351" s="316">
        <v>144</v>
      </c>
      <c r="L351" s="316">
        <v>74</v>
      </c>
      <c r="M351" s="316">
        <v>67</v>
      </c>
      <c r="N351" s="320">
        <v>141</v>
      </c>
      <c r="O351" s="307">
        <v>0</v>
      </c>
      <c r="P351" s="307">
        <v>0</v>
      </c>
      <c r="Q351" s="307">
        <v>0</v>
      </c>
      <c r="R351" s="295">
        <v>605</v>
      </c>
      <c r="S351" s="295">
        <v>451</v>
      </c>
      <c r="T351" s="295">
        <v>1056</v>
      </c>
      <c r="U351" s="13"/>
      <c r="V351" s="13"/>
      <c r="W351" s="13"/>
      <c r="X351" s="13"/>
      <c r="Y351" s="13"/>
      <c r="Z351" s="13"/>
      <c r="AA351" s="13"/>
    </row>
    <row r="352" spans="2:27" x14ac:dyDescent="0.25">
      <c r="B352" s="136" t="s">
        <v>285</v>
      </c>
      <c r="C352" s="316">
        <v>56</v>
      </c>
      <c r="D352" s="316">
        <v>43</v>
      </c>
      <c r="E352" s="316">
        <v>99</v>
      </c>
      <c r="F352" s="316">
        <v>25</v>
      </c>
      <c r="G352" s="316">
        <v>31</v>
      </c>
      <c r="H352" s="316">
        <v>56</v>
      </c>
      <c r="I352" s="316">
        <v>20</v>
      </c>
      <c r="J352" s="316">
        <v>6</v>
      </c>
      <c r="K352" s="316">
        <v>26</v>
      </c>
      <c r="L352" s="316">
        <v>4</v>
      </c>
      <c r="M352" s="316">
        <v>8</v>
      </c>
      <c r="N352" s="320">
        <v>12</v>
      </c>
      <c r="O352" s="307">
        <v>0</v>
      </c>
      <c r="P352" s="307">
        <v>0</v>
      </c>
      <c r="Q352" s="307">
        <v>0</v>
      </c>
      <c r="R352" s="295">
        <v>105</v>
      </c>
      <c r="S352" s="295">
        <v>88</v>
      </c>
      <c r="T352" s="295">
        <v>193</v>
      </c>
      <c r="U352" s="13"/>
      <c r="V352" s="13"/>
      <c r="W352" s="13"/>
      <c r="X352" s="13"/>
      <c r="Y352" s="13"/>
      <c r="Z352" s="13"/>
      <c r="AA352" s="13"/>
    </row>
    <row r="353" spans="2:27" x14ac:dyDescent="0.25">
      <c r="B353" s="136" t="s">
        <v>286</v>
      </c>
      <c r="C353" s="316">
        <v>33</v>
      </c>
      <c r="D353" s="316">
        <v>33</v>
      </c>
      <c r="E353" s="316">
        <v>66</v>
      </c>
      <c r="F353" s="316">
        <v>26</v>
      </c>
      <c r="G353" s="316">
        <v>19</v>
      </c>
      <c r="H353" s="316">
        <v>45</v>
      </c>
      <c r="I353" s="316">
        <v>30</v>
      </c>
      <c r="J353" s="316">
        <v>11</v>
      </c>
      <c r="K353" s="316">
        <v>41</v>
      </c>
      <c r="L353" s="316">
        <v>15</v>
      </c>
      <c r="M353" s="316">
        <v>8</v>
      </c>
      <c r="N353" s="320">
        <v>23</v>
      </c>
      <c r="O353" s="307">
        <v>0</v>
      </c>
      <c r="P353" s="307">
        <v>0</v>
      </c>
      <c r="Q353" s="307">
        <v>0</v>
      </c>
      <c r="R353" s="295">
        <v>104</v>
      </c>
      <c r="S353" s="295">
        <v>71</v>
      </c>
      <c r="T353" s="295">
        <v>175</v>
      </c>
      <c r="U353" s="13"/>
      <c r="V353" s="13"/>
      <c r="W353" s="13"/>
      <c r="X353" s="13"/>
      <c r="Y353" s="13"/>
      <c r="Z353" s="13"/>
      <c r="AA353" s="13"/>
    </row>
    <row r="354" spans="2:27" x14ac:dyDescent="0.25">
      <c r="B354" s="136" t="s">
        <v>287</v>
      </c>
      <c r="C354" s="316">
        <v>36</v>
      </c>
      <c r="D354" s="316">
        <v>40</v>
      </c>
      <c r="E354" s="316">
        <v>76</v>
      </c>
      <c r="F354" s="316">
        <v>11</v>
      </c>
      <c r="G354" s="316">
        <v>18</v>
      </c>
      <c r="H354" s="316">
        <v>29</v>
      </c>
      <c r="I354" s="316">
        <v>16</v>
      </c>
      <c r="J354" s="316">
        <v>5</v>
      </c>
      <c r="K354" s="316">
        <v>21</v>
      </c>
      <c r="L354" s="316">
        <v>5</v>
      </c>
      <c r="M354" s="316">
        <v>11</v>
      </c>
      <c r="N354" s="320">
        <v>16</v>
      </c>
      <c r="O354" s="307">
        <v>0</v>
      </c>
      <c r="P354" s="307">
        <v>0</v>
      </c>
      <c r="Q354" s="307">
        <v>0</v>
      </c>
      <c r="R354" s="295">
        <v>68</v>
      </c>
      <c r="S354" s="295">
        <v>74</v>
      </c>
      <c r="T354" s="295">
        <v>142</v>
      </c>
      <c r="U354" s="13"/>
      <c r="V354" s="13"/>
      <c r="W354" s="13"/>
      <c r="X354" s="13"/>
      <c r="Y354" s="13"/>
      <c r="Z354" s="13"/>
      <c r="AA354" s="13"/>
    </row>
    <row r="355" spans="2:27" x14ac:dyDescent="0.25">
      <c r="B355" s="136" t="s">
        <v>288</v>
      </c>
      <c r="C355" s="316">
        <v>14</v>
      </c>
      <c r="D355" s="316">
        <v>14</v>
      </c>
      <c r="E355" s="316">
        <v>28</v>
      </c>
      <c r="F355" s="316">
        <v>4</v>
      </c>
      <c r="G355" s="316">
        <v>11</v>
      </c>
      <c r="H355" s="316">
        <v>15</v>
      </c>
      <c r="I355" s="316">
        <v>11</v>
      </c>
      <c r="J355" s="316">
        <v>4</v>
      </c>
      <c r="K355" s="316">
        <v>15</v>
      </c>
      <c r="L355" s="316">
        <v>5</v>
      </c>
      <c r="M355" s="316">
        <v>3</v>
      </c>
      <c r="N355" s="320">
        <v>8</v>
      </c>
      <c r="O355" s="307">
        <v>0</v>
      </c>
      <c r="P355" s="307">
        <v>0</v>
      </c>
      <c r="Q355" s="307">
        <v>0</v>
      </c>
      <c r="R355" s="295">
        <v>34</v>
      </c>
      <c r="S355" s="295">
        <v>32</v>
      </c>
      <c r="T355" s="295">
        <v>66</v>
      </c>
      <c r="U355" s="13"/>
      <c r="V355" s="13"/>
      <c r="W355" s="13"/>
      <c r="X355" s="13"/>
      <c r="Y355" s="13"/>
      <c r="Z355" s="13"/>
      <c r="AA355" s="13"/>
    </row>
    <row r="356" spans="2:27" x14ac:dyDescent="0.25">
      <c r="B356" s="136" t="s">
        <v>289</v>
      </c>
      <c r="C356" s="316">
        <v>68</v>
      </c>
      <c r="D356" s="316">
        <v>44</v>
      </c>
      <c r="E356" s="316">
        <v>112</v>
      </c>
      <c r="F356" s="316">
        <v>19</v>
      </c>
      <c r="G356" s="316">
        <v>18</v>
      </c>
      <c r="H356" s="316">
        <v>37</v>
      </c>
      <c r="I356" s="316">
        <v>28</v>
      </c>
      <c r="J356" s="316">
        <v>6</v>
      </c>
      <c r="K356" s="316">
        <v>34</v>
      </c>
      <c r="L356" s="316">
        <v>7</v>
      </c>
      <c r="M356" s="316">
        <v>7</v>
      </c>
      <c r="N356" s="320">
        <v>14</v>
      </c>
      <c r="O356" s="307">
        <v>0</v>
      </c>
      <c r="P356" s="307">
        <v>0</v>
      </c>
      <c r="Q356" s="307">
        <v>0</v>
      </c>
      <c r="R356" s="295">
        <v>122</v>
      </c>
      <c r="S356" s="295">
        <v>75</v>
      </c>
      <c r="T356" s="295">
        <v>197</v>
      </c>
      <c r="U356" s="13"/>
      <c r="V356" s="13"/>
      <c r="W356" s="13"/>
      <c r="X356" s="13"/>
      <c r="Y356" s="13"/>
      <c r="Z356" s="13"/>
      <c r="AA356" s="13"/>
    </row>
    <row r="357" spans="2:27" x14ac:dyDescent="0.25">
      <c r="B357" s="136" t="s">
        <v>290</v>
      </c>
      <c r="C357" s="316">
        <v>6</v>
      </c>
      <c r="D357" s="316">
        <v>7</v>
      </c>
      <c r="E357" s="316">
        <v>13</v>
      </c>
      <c r="F357" s="316">
        <v>4</v>
      </c>
      <c r="G357" s="316">
        <v>2</v>
      </c>
      <c r="H357" s="316">
        <v>6</v>
      </c>
      <c r="I357" s="316">
        <v>4</v>
      </c>
      <c r="J357" s="316">
        <v>0</v>
      </c>
      <c r="K357" s="316">
        <v>4</v>
      </c>
      <c r="L357" s="316">
        <v>2</v>
      </c>
      <c r="M357" s="316">
        <v>0</v>
      </c>
      <c r="N357" s="320">
        <v>2</v>
      </c>
      <c r="O357" s="307">
        <v>0</v>
      </c>
      <c r="P357" s="307">
        <v>0</v>
      </c>
      <c r="Q357" s="307">
        <v>0</v>
      </c>
      <c r="R357" s="295">
        <v>16</v>
      </c>
      <c r="S357" s="295">
        <v>9</v>
      </c>
      <c r="T357" s="295">
        <v>25</v>
      </c>
      <c r="U357" s="13"/>
      <c r="V357" s="13"/>
      <c r="W357" s="13"/>
      <c r="X357" s="13"/>
      <c r="Y357" s="13"/>
      <c r="Z357" s="13"/>
      <c r="AA357" s="13"/>
    </row>
    <row r="358" spans="2:27" x14ac:dyDescent="0.25">
      <c r="B358" s="136" t="s">
        <v>291</v>
      </c>
      <c r="C358" s="316">
        <v>9</v>
      </c>
      <c r="D358" s="316">
        <v>9</v>
      </c>
      <c r="E358" s="316">
        <v>18</v>
      </c>
      <c r="F358" s="316">
        <v>6</v>
      </c>
      <c r="G358" s="316">
        <v>5</v>
      </c>
      <c r="H358" s="316">
        <v>11</v>
      </c>
      <c r="I358" s="316">
        <v>4</v>
      </c>
      <c r="J358" s="316">
        <v>3</v>
      </c>
      <c r="K358" s="316">
        <v>7</v>
      </c>
      <c r="L358" s="316">
        <v>3</v>
      </c>
      <c r="M358" s="316">
        <v>2</v>
      </c>
      <c r="N358" s="320">
        <v>5</v>
      </c>
      <c r="O358" s="307">
        <v>0</v>
      </c>
      <c r="P358" s="307">
        <v>0</v>
      </c>
      <c r="Q358" s="307">
        <v>0</v>
      </c>
      <c r="R358" s="295">
        <v>22</v>
      </c>
      <c r="S358" s="295">
        <v>19</v>
      </c>
      <c r="T358" s="295">
        <v>41</v>
      </c>
      <c r="U358" s="13"/>
      <c r="V358" s="13"/>
      <c r="W358" s="13"/>
      <c r="X358" s="13"/>
      <c r="Y358" s="13"/>
      <c r="Z358" s="13"/>
      <c r="AA358" s="13"/>
    </row>
    <row r="359" spans="2:27" x14ac:dyDescent="0.25">
      <c r="B359" s="136" t="s">
        <v>292</v>
      </c>
      <c r="C359" s="316">
        <v>100</v>
      </c>
      <c r="D359" s="316">
        <v>90</v>
      </c>
      <c r="E359" s="316">
        <v>190</v>
      </c>
      <c r="F359" s="316">
        <v>102</v>
      </c>
      <c r="G359" s="316">
        <v>71</v>
      </c>
      <c r="H359" s="316">
        <v>173</v>
      </c>
      <c r="I359" s="316">
        <v>59</v>
      </c>
      <c r="J359" s="316">
        <v>12</v>
      </c>
      <c r="K359" s="316">
        <v>71</v>
      </c>
      <c r="L359" s="316">
        <v>15</v>
      </c>
      <c r="M359" s="316">
        <v>15</v>
      </c>
      <c r="N359" s="320">
        <v>30</v>
      </c>
      <c r="O359" s="307">
        <v>0</v>
      </c>
      <c r="P359" s="307">
        <v>0</v>
      </c>
      <c r="Q359" s="307">
        <v>0</v>
      </c>
      <c r="R359" s="295">
        <v>276</v>
      </c>
      <c r="S359" s="295">
        <v>188</v>
      </c>
      <c r="T359" s="295">
        <v>464</v>
      </c>
      <c r="U359" s="13"/>
      <c r="V359" s="13"/>
      <c r="W359" s="13"/>
      <c r="X359" s="13"/>
      <c r="Y359" s="13"/>
      <c r="Z359" s="13"/>
      <c r="AA359" s="13"/>
    </row>
    <row r="360" spans="2:27" x14ac:dyDescent="0.25">
      <c r="B360" s="136" t="s">
        <v>293</v>
      </c>
      <c r="C360" s="316">
        <v>10</v>
      </c>
      <c r="D360" s="316">
        <v>4</v>
      </c>
      <c r="E360" s="316">
        <v>14</v>
      </c>
      <c r="F360" s="316">
        <v>3</v>
      </c>
      <c r="G360" s="316">
        <v>3</v>
      </c>
      <c r="H360" s="316">
        <v>6</v>
      </c>
      <c r="I360" s="316">
        <v>2</v>
      </c>
      <c r="J360" s="316">
        <v>0</v>
      </c>
      <c r="K360" s="316">
        <v>2</v>
      </c>
      <c r="L360" s="316">
        <v>0</v>
      </c>
      <c r="M360" s="316">
        <v>1</v>
      </c>
      <c r="N360" s="320">
        <v>1</v>
      </c>
      <c r="O360" s="307">
        <v>0</v>
      </c>
      <c r="P360" s="307">
        <v>0</v>
      </c>
      <c r="Q360" s="307">
        <v>0</v>
      </c>
      <c r="R360" s="295">
        <v>15</v>
      </c>
      <c r="S360" s="295">
        <v>8</v>
      </c>
      <c r="T360" s="295">
        <v>23</v>
      </c>
      <c r="U360" s="13"/>
      <c r="V360" s="13"/>
      <c r="W360" s="13"/>
      <c r="X360" s="13"/>
      <c r="Y360" s="13"/>
      <c r="Z360" s="13"/>
      <c r="AA360" s="13"/>
    </row>
    <row r="361" spans="2:27" x14ac:dyDescent="0.25">
      <c r="B361" s="136" t="s">
        <v>294</v>
      </c>
      <c r="C361" s="316">
        <v>25</v>
      </c>
      <c r="D361" s="316">
        <v>14</v>
      </c>
      <c r="E361" s="316">
        <v>39</v>
      </c>
      <c r="F361" s="316">
        <v>12</v>
      </c>
      <c r="G361" s="316">
        <v>8</v>
      </c>
      <c r="H361" s="316">
        <v>20</v>
      </c>
      <c r="I361" s="316">
        <v>16</v>
      </c>
      <c r="J361" s="316">
        <v>6</v>
      </c>
      <c r="K361" s="316">
        <v>22</v>
      </c>
      <c r="L361" s="316">
        <v>2</v>
      </c>
      <c r="M361" s="316">
        <v>0</v>
      </c>
      <c r="N361" s="320">
        <v>2</v>
      </c>
      <c r="O361" s="307">
        <v>0</v>
      </c>
      <c r="P361" s="307">
        <v>0</v>
      </c>
      <c r="Q361" s="307">
        <v>0</v>
      </c>
      <c r="R361" s="295">
        <v>55</v>
      </c>
      <c r="S361" s="295">
        <v>28</v>
      </c>
      <c r="T361" s="295">
        <v>83</v>
      </c>
      <c r="U361" s="13"/>
      <c r="V361" s="13"/>
      <c r="W361" s="13"/>
      <c r="X361" s="13"/>
      <c r="Y361" s="13"/>
      <c r="Z361" s="13"/>
      <c r="AA361" s="13"/>
    </row>
    <row r="362" spans="2:27" x14ac:dyDescent="0.25">
      <c r="B362" s="136" t="s">
        <v>295</v>
      </c>
      <c r="C362" s="316">
        <v>23</v>
      </c>
      <c r="D362" s="316">
        <v>18</v>
      </c>
      <c r="E362" s="316">
        <v>41</v>
      </c>
      <c r="F362" s="316">
        <v>21</v>
      </c>
      <c r="G362" s="316">
        <v>12</v>
      </c>
      <c r="H362" s="316">
        <v>33</v>
      </c>
      <c r="I362" s="316">
        <v>12</v>
      </c>
      <c r="J362" s="316">
        <v>3</v>
      </c>
      <c r="K362" s="316">
        <v>15</v>
      </c>
      <c r="L362" s="316">
        <v>2</v>
      </c>
      <c r="M362" s="316">
        <v>6</v>
      </c>
      <c r="N362" s="320">
        <v>8</v>
      </c>
      <c r="O362" s="307">
        <v>0</v>
      </c>
      <c r="P362" s="307">
        <v>0</v>
      </c>
      <c r="Q362" s="307">
        <v>0</v>
      </c>
      <c r="R362" s="295">
        <v>58</v>
      </c>
      <c r="S362" s="295">
        <v>39</v>
      </c>
      <c r="T362" s="295">
        <v>97</v>
      </c>
      <c r="U362" s="13"/>
      <c r="V362" s="13"/>
      <c r="W362" s="13"/>
      <c r="X362" s="13"/>
      <c r="Y362" s="13"/>
      <c r="Z362" s="13"/>
      <c r="AA362" s="13"/>
    </row>
    <row r="363" spans="2:27" x14ac:dyDescent="0.25">
      <c r="B363" s="136" t="s">
        <v>296</v>
      </c>
      <c r="C363" s="316">
        <v>187</v>
      </c>
      <c r="D363" s="316">
        <v>139</v>
      </c>
      <c r="E363" s="316">
        <v>326</v>
      </c>
      <c r="F363" s="316">
        <v>144</v>
      </c>
      <c r="G363" s="316">
        <v>121</v>
      </c>
      <c r="H363" s="316">
        <v>265</v>
      </c>
      <c r="I363" s="316">
        <v>59</v>
      </c>
      <c r="J363" s="316">
        <v>21</v>
      </c>
      <c r="K363" s="316">
        <v>80</v>
      </c>
      <c r="L363" s="316">
        <v>28</v>
      </c>
      <c r="M363" s="316">
        <v>20</v>
      </c>
      <c r="N363" s="320">
        <v>48</v>
      </c>
      <c r="O363" s="307">
        <v>0</v>
      </c>
      <c r="P363" s="307">
        <v>0</v>
      </c>
      <c r="Q363" s="307">
        <v>0</v>
      </c>
      <c r="R363" s="295">
        <v>418</v>
      </c>
      <c r="S363" s="295">
        <v>301</v>
      </c>
      <c r="T363" s="295">
        <v>719</v>
      </c>
      <c r="U363" s="13"/>
      <c r="V363" s="13"/>
      <c r="W363" s="13"/>
      <c r="X363" s="13"/>
      <c r="Y363" s="13"/>
      <c r="Z363" s="13"/>
      <c r="AA363" s="13"/>
    </row>
    <row r="364" spans="2:27" x14ac:dyDescent="0.25">
      <c r="B364" s="136" t="s">
        <v>297</v>
      </c>
      <c r="C364" s="316">
        <v>14</v>
      </c>
      <c r="D364" s="316">
        <v>14</v>
      </c>
      <c r="E364" s="316">
        <v>28</v>
      </c>
      <c r="F364" s="316">
        <v>1</v>
      </c>
      <c r="G364" s="316">
        <v>2</v>
      </c>
      <c r="H364" s="316">
        <v>3</v>
      </c>
      <c r="I364" s="316">
        <v>8</v>
      </c>
      <c r="J364" s="316">
        <v>6</v>
      </c>
      <c r="K364" s="316">
        <v>14</v>
      </c>
      <c r="L364" s="316">
        <v>3</v>
      </c>
      <c r="M364" s="316">
        <v>3</v>
      </c>
      <c r="N364" s="320">
        <v>6</v>
      </c>
      <c r="O364" s="307">
        <v>0</v>
      </c>
      <c r="P364" s="307">
        <v>0</v>
      </c>
      <c r="Q364" s="307">
        <v>0</v>
      </c>
      <c r="R364" s="295">
        <v>26</v>
      </c>
      <c r="S364" s="295">
        <v>25</v>
      </c>
      <c r="T364" s="295">
        <v>51</v>
      </c>
      <c r="U364" s="13"/>
      <c r="V364" s="13"/>
      <c r="W364" s="13"/>
      <c r="X364" s="13"/>
      <c r="Y364" s="13"/>
      <c r="Z364" s="13"/>
      <c r="AA364" s="13"/>
    </row>
    <row r="365" spans="2:27" x14ac:dyDescent="0.25">
      <c r="B365" s="136" t="s">
        <v>298</v>
      </c>
      <c r="C365" s="316">
        <v>79</v>
      </c>
      <c r="D365" s="316">
        <v>93</v>
      </c>
      <c r="E365" s="316">
        <v>172</v>
      </c>
      <c r="F365" s="316">
        <v>52</v>
      </c>
      <c r="G365" s="316">
        <v>37</v>
      </c>
      <c r="H365" s="316">
        <v>89</v>
      </c>
      <c r="I365" s="316">
        <v>21</v>
      </c>
      <c r="J365" s="316">
        <v>5</v>
      </c>
      <c r="K365" s="316">
        <v>26</v>
      </c>
      <c r="L365" s="316">
        <v>3</v>
      </c>
      <c r="M365" s="316">
        <v>11</v>
      </c>
      <c r="N365" s="320">
        <v>14</v>
      </c>
      <c r="O365" s="307">
        <v>1</v>
      </c>
      <c r="P365" s="307">
        <v>0</v>
      </c>
      <c r="Q365" s="307">
        <v>1</v>
      </c>
      <c r="R365" s="295">
        <v>156</v>
      </c>
      <c r="S365" s="295">
        <v>146</v>
      </c>
      <c r="T365" s="295">
        <v>302</v>
      </c>
      <c r="U365" s="13"/>
      <c r="V365" s="13"/>
      <c r="W365" s="13"/>
      <c r="X365" s="13"/>
      <c r="Y365" s="13"/>
      <c r="Z365" s="13"/>
      <c r="AA365" s="13"/>
    </row>
    <row r="366" spans="2:27" x14ac:dyDescent="0.25">
      <c r="B366" s="155" t="s">
        <v>299</v>
      </c>
      <c r="C366" s="317">
        <v>21</v>
      </c>
      <c r="D366" s="317">
        <v>19</v>
      </c>
      <c r="E366" s="317">
        <v>40</v>
      </c>
      <c r="F366" s="317">
        <v>12</v>
      </c>
      <c r="G366" s="317">
        <v>11</v>
      </c>
      <c r="H366" s="317">
        <v>23</v>
      </c>
      <c r="I366" s="317">
        <v>11</v>
      </c>
      <c r="J366" s="317">
        <v>2</v>
      </c>
      <c r="K366" s="317">
        <v>13</v>
      </c>
      <c r="L366" s="317">
        <v>8</v>
      </c>
      <c r="M366" s="317">
        <v>5</v>
      </c>
      <c r="N366" s="321">
        <v>13</v>
      </c>
      <c r="O366" s="307">
        <v>0</v>
      </c>
      <c r="P366" s="307">
        <v>0</v>
      </c>
      <c r="Q366" s="307">
        <v>0</v>
      </c>
      <c r="R366" s="295">
        <v>52</v>
      </c>
      <c r="S366" s="295">
        <v>37</v>
      </c>
      <c r="T366" s="295">
        <v>89</v>
      </c>
      <c r="U366" s="13"/>
      <c r="V366" s="13"/>
      <c r="W366" s="13"/>
      <c r="X366" s="13"/>
      <c r="Y366" s="13"/>
      <c r="Z366" s="13"/>
      <c r="AA366" s="13"/>
    </row>
    <row r="367" spans="2:27" x14ac:dyDescent="0.25">
      <c r="B367" s="158" t="s">
        <v>300</v>
      </c>
      <c r="C367" s="307">
        <v>39</v>
      </c>
      <c r="D367" s="307">
        <v>35</v>
      </c>
      <c r="E367" s="307">
        <v>74</v>
      </c>
      <c r="F367" s="307">
        <v>13</v>
      </c>
      <c r="G367" s="307">
        <v>10</v>
      </c>
      <c r="H367" s="307">
        <v>23</v>
      </c>
      <c r="I367" s="307">
        <v>28</v>
      </c>
      <c r="J367" s="307">
        <v>4</v>
      </c>
      <c r="K367" s="307">
        <v>32</v>
      </c>
      <c r="L367" s="307">
        <v>5</v>
      </c>
      <c r="M367" s="307">
        <v>3</v>
      </c>
      <c r="N367" s="323">
        <v>8</v>
      </c>
      <c r="O367" s="307">
        <v>0</v>
      </c>
      <c r="P367" s="307">
        <v>0</v>
      </c>
      <c r="Q367" s="307">
        <v>0</v>
      </c>
      <c r="R367" s="295">
        <v>85</v>
      </c>
      <c r="S367" s="295">
        <v>52</v>
      </c>
      <c r="T367" s="295">
        <v>137</v>
      </c>
      <c r="U367" s="13"/>
      <c r="V367" s="13"/>
      <c r="W367" s="13"/>
      <c r="X367" s="13"/>
      <c r="Y367" s="13"/>
      <c r="Z367" s="13"/>
      <c r="AA367" s="13"/>
    </row>
    <row r="368" spans="2:27" x14ac:dyDescent="0.25">
      <c r="B368" s="260" t="s">
        <v>25</v>
      </c>
      <c r="C368" s="282">
        <v>1879</v>
      </c>
      <c r="D368" s="282">
        <v>1644</v>
      </c>
      <c r="E368" s="282">
        <v>3523</v>
      </c>
      <c r="F368" s="282">
        <v>1224</v>
      </c>
      <c r="G368" s="282">
        <v>974</v>
      </c>
      <c r="H368" s="285">
        <v>2198</v>
      </c>
      <c r="I368" s="282">
        <v>804</v>
      </c>
      <c r="J368" s="285">
        <v>256</v>
      </c>
      <c r="K368" s="282">
        <v>1060</v>
      </c>
      <c r="L368" s="285">
        <v>308</v>
      </c>
      <c r="M368" s="282">
        <v>310</v>
      </c>
      <c r="N368" s="322">
        <v>618</v>
      </c>
      <c r="O368" s="285">
        <v>1</v>
      </c>
      <c r="P368" s="285">
        <v>1</v>
      </c>
      <c r="Q368" s="285">
        <v>2</v>
      </c>
      <c r="R368" s="295">
        <v>4216</v>
      </c>
      <c r="S368" s="295">
        <v>3185</v>
      </c>
      <c r="T368" s="295">
        <v>7401</v>
      </c>
      <c r="U368" s="13"/>
      <c r="V368" s="13"/>
      <c r="W368" s="13"/>
      <c r="X368" s="13"/>
      <c r="Y368" s="13"/>
      <c r="Z368" s="13"/>
      <c r="AA368" s="13"/>
    </row>
    <row r="369" spans="2:27" ht="85.5" customHeight="1" x14ac:dyDescent="0.25">
      <c r="B369" s="468" t="s">
        <v>866</v>
      </c>
      <c r="C369" s="468"/>
      <c r="D369" s="468"/>
      <c r="E369" s="468"/>
      <c r="F369" s="468"/>
      <c r="G369" s="468"/>
      <c r="H369" s="468"/>
      <c r="I369" s="468"/>
      <c r="J369" s="468"/>
      <c r="K369" s="468"/>
      <c r="L369" s="468"/>
      <c r="M369" s="468"/>
      <c r="N369" s="468"/>
      <c r="O369" s="468"/>
      <c r="P369" s="468"/>
      <c r="Q369" s="468"/>
      <c r="R369" s="13"/>
      <c r="S369" s="13"/>
      <c r="T369" s="13"/>
      <c r="U369" s="13"/>
      <c r="V369" s="13"/>
      <c r="W369" s="13"/>
    </row>
    <row r="370" spans="2:27" x14ac:dyDescent="0.25">
      <c r="B370" s="157"/>
      <c r="C370" s="157"/>
      <c r="D370" s="157"/>
      <c r="E370"/>
      <c r="F370"/>
      <c r="G370"/>
      <c r="H370" s="13"/>
      <c r="I370" s="13"/>
      <c r="J370" s="13"/>
      <c r="K370" s="13"/>
      <c r="L370" s="13"/>
      <c r="M370" s="13"/>
      <c r="N370" s="13"/>
      <c r="O370" s="13"/>
      <c r="P370" s="13"/>
      <c r="Q370" s="13"/>
      <c r="R370" s="13"/>
      <c r="S370" s="13"/>
      <c r="T370" s="13"/>
      <c r="U370" s="13"/>
      <c r="V370" s="13"/>
      <c r="W370" s="13"/>
    </row>
    <row r="371" spans="2:27" x14ac:dyDescent="0.25">
      <c r="B371" s="186" t="s">
        <v>513</v>
      </c>
      <c r="C371"/>
      <c r="D371"/>
      <c r="E371"/>
      <c r="F371"/>
      <c r="G371"/>
      <c r="H371" s="13"/>
      <c r="I371" s="13"/>
      <c r="J371" s="13"/>
      <c r="K371" s="13"/>
      <c r="L371" s="13"/>
      <c r="M371" s="13"/>
      <c r="N371" s="13"/>
      <c r="O371" s="13"/>
      <c r="P371" s="13"/>
      <c r="Q371" s="13"/>
      <c r="R371" s="13"/>
      <c r="S371" s="13"/>
      <c r="T371" s="13"/>
      <c r="U371" s="13"/>
      <c r="V371" s="13"/>
      <c r="W371" s="13"/>
    </row>
    <row r="372" spans="2:27" x14ac:dyDescent="0.25">
      <c r="B372" s="186"/>
      <c r="C372"/>
      <c r="D372"/>
      <c r="E372"/>
      <c r="F372"/>
      <c r="G372"/>
      <c r="H372" s="13"/>
      <c r="I372" s="13"/>
      <c r="J372" s="13"/>
      <c r="K372" s="13"/>
      <c r="L372" s="13"/>
      <c r="M372" s="13"/>
      <c r="N372" s="13"/>
      <c r="O372" s="13"/>
      <c r="P372" s="13"/>
      <c r="Q372" s="13"/>
      <c r="R372" s="13"/>
      <c r="S372" s="13"/>
      <c r="T372" s="13"/>
      <c r="U372" s="13"/>
      <c r="V372" s="13"/>
      <c r="W372" s="13"/>
    </row>
    <row r="373" spans="2:27" ht="15" customHeight="1" x14ac:dyDescent="0.25">
      <c r="B373" s="432" t="s">
        <v>532</v>
      </c>
      <c r="C373" s="476" t="s">
        <v>477</v>
      </c>
      <c r="D373" s="477"/>
      <c r="E373" s="477"/>
      <c r="F373" s="477"/>
      <c r="G373" s="477"/>
      <c r="H373" s="477"/>
      <c r="I373" s="477"/>
      <c r="J373" s="477"/>
      <c r="K373" s="477"/>
      <c r="L373" s="477"/>
      <c r="M373" s="477"/>
      <c r="N373" s="477"/>
      <c r="O373" s="477"/>
      <c r="P373" s="477"/>
      <c r="Q373" s="478"/>
      <c r="R373" s="469" t="s">
        <v>865</v>
      </c>
      <c r="S373" s="470"/>
      <c r="T373" s="471"/>
      <c r="U373" s="13"/>
      <c r="V373" s="13"/>
      <c r="W373" s="13"/>
      <c r="X373" s="13"/>
      <c r="Y373" s="13"/>
      <c r="Z373" s="13"/>
    </row>
    <row r="374" spans="2:27" ht="15" customHeight="1" x14ac:dyDescent="0.25">
      <c r="B374" s="432"/>
      <c r="C374" s="463" t="s">
        <v>849</v>
      </c>
      <c r="D374" s="463"/>
      <c r="E374" s="463"/>
      <c r="F374" s="463" t="s">
        <v>850</v>
      </c>
      <c r="G374" s="463"/>
      <c r="H374" s="463"/>
      <c r="I374" s="463" t="s">
        <v>3</v>
      </c>
      <c r="J374" s="463"/>
      <c r="K374" s="463"/>
      <c r="L374" s="463" t="s">
        <v>5</v>
      </c>
      <c r="M374" s="463"/>
      <c r="N374" s="463"/>
      <c r="O374" s="463" t="s">
        <v>859</v>
      </c>
      <c r="P374" s="463"/>
      <c r="Q374" s="463"/>
      <c r="R374" s="472"/>
      <c r="S374" s="473"/>
      <c r="T374" s="474"/>
      <c r="U374" s="13"/>
      <c r="V374" s="13"/>
      <c r="W374" s="13"/>
      <c r="X374" s="13"/>
      <c r="Y374" s="13"/>
      <c r="Z374" s="13"/>
    </row>
    <row r="375" spans="2:27" x14ac:dyDescent="0.25">
      <c r="B375" s="432"/>
      <c r="C375" s="264" t="s">
        <v>73</v>
      </c>
      <c r="D375" s="264" t="s">
        <v>74</v>
      </c>
      <c r="E375" s="264" t="s">
        <v>25</v>
      </c>
      <c r="F375" s="264" t="s">
        <v>73</v>
      </c>
      <c r="G375" s="264" t="s">
        <v>74</v>
      </c>
      <c r="H375" s="264" t="s">
        <v>25</v>
      </c>
      <c r="I375" s="264" t="s">
        <v>73</v>
      </c>
      <c r="J375" s="264" t="s">
        <v>74</v>
      </c>
      <c r="K375" s="264" t="s">
        <v>25</v>
      </c>
      <c r="L375" s="264" t="s">
        <v>73</v>
      </c>
      <c r="M375" s="264" t="s">
        <v>74</v>
      </c>
      <c r="N375" s="319" t="s">
        <v>25</v>
      </c>
      <c r="O375" s="264" t="s">
        <v>73</v>
      </c>
      <c r="P375" s="264" t="s">
        <v>74</v>
      </c>
      <c r="Q375" s="264" t="s">
        <v>25</v>
      </c>
      <c r="R375" s="274" t="s">
        <v>73</v>
      </c>
      <c r="S375" s="274" t="s">
        <v>74</v>
      </c>
      <c r="T375" s="274" t="s">
        <v>25</v>
      </c>
      <c r="U375" s="13"/>
      <c r="V375" s="13"/>
      <c r="W375" s="13"/>
      <c r="X375" s="13"/>
      <c r="Y375" s="13"/>
      <c r="Z375" s="13"/>
    </row>
    <row r="376" spans="2:27" x14ac:dyDescent="0.25">
      <c r="B376" s="156" t="s">
        <v>301</v>
      </c>
      <c r="C376" s="314">
        <v>60</v>
      </c>
      <c r="D376" s="314">
        <v>56</v>
      </c>
      <c r="E376" s="314">
        <v>116</v>
      </c>
      <c r="F376" s="314">
        <v>46</v>
      </c>
      <c r="G376" s="314">
        <v>45</v>
      </c>
      <c r="H376" s="314">
        <v>91</v>
      </c>
      <c r="I376" s="314">
        <v>35</v>
      </c>
      <c r="J376" s="314">
        <v>8</v>
      </c>
      <c r="K376" s="314">
        <v>43</v>
      </c>
      <c r="L376" s="314">
        <v>7</v>
      </c>
      <c r="M376" s="314">
        <v>17</v>
      </c>
      <c r="N376" s="324">
        <v>24</v>
      </c>
      <c r="O376" s="314">
        <v>0</v>
      </c>
      <c r="P376" s="314">
        <v>0</v>
      </c>
      <c r="Q376" s="324">
        <v>0</v>
      </c>
      <c r="R376" s="295">
        <v>148</v>
      </c>
      <c r="S376" s="295">
        <v>126</v>
      </c>
      <c r="T376" s="295">
        <v>274</v>
      </c>
      <c r="U376" s="13"/>
      <c r="V376" s="13"/>
      <c r="W376" s="13"/>
      <c r="X376" s="13"/>
      <c r="Y376" s="13"/>
      <c r="Z376" s="13"/>
      <c r="AA376" s="13"/>
    </row>
    <row r="377" spans="2:27" x14ac:dyDescent="0.25">
      <c r="B377" s="136" t="s">
        <v>302</v>
      </c>
      <c r="C377" s="316">
        <v>39</v>
      </c>
      <c r="D377" s="316">
        <v>44</v>
      </c>
      <c r="E377" s="316">
        <v>83</v>
      </c>
      <c r="F377" s="316">
        <v>8</v>
      </c>
      <c r="G377" s="316">
        <v>7</v>
      </c>
      <c r="H377" s="316">
        <v>15</v>
      </c>
      <c r="I377" s="316">
        <v>23</v>
      </c>
      <c r="J377" s="316">
        <v>10</v>
      </c>
      <c r="K377" s="316">
        <v>33</v>
      </c>
      <c r="L377" s="316">
        <v>5</v>
      </c>
      <c r="M377" s="316">
        <v>8</v>
      </c>
      <c r="N377" s="320">
        <v>13</v>
      </c>
      <c r="O377" s="316">
        <v>0</v>
      </c>
      <c r="P377" s="316">
        <v>0</v>
      </c>
      <c r="Q377" s="320">
        <v>0</v>
      </c>
      <c r="R377" s="295">
        <v>75</v>
      </c>
      <c r="S377" s="295">
        <v>69</v>
      </c>
      <c r="T377" s="295">
        <v>144</v>
      </c>
      <c r="U377" s="13"/>
      <c r="V377" s="13"/>
      <c r="W377" s="13"/>
      <c r="X377" s="13"/>
      <c r="Y377" s="13"/>
      <c r="Z377" s="13"/>
      <c r="AA377" s="13"/>
    </row>
    <row r="378" spans="2:27" x14ac:dyDescent="0.25">
      <c r="B378" s="136" t="s">
        <v>303</v>
      </c>
      <c r="C378" s="316">
        <v>22</v>
      </c>
      <c r="D378" s="316">
        <v>12</v>
      </c>
      <c r="E378" s="316">
        <v>34</v>
      </c>
      <c r="F378" s="316">
        <v>9</v>
      </c>
      <c r="G378" s="316">
        <v>2</v>
      </c>
      <c r="H378" s="316">
        <v>11</v>
      </c>
      <c r="I378" s="316">
        <v>6</v>
      </c>
      <c r="J378" s="316">
        <v>2</v>
      </c>
      <c r="K378" s="316">
        <v>8</v>
      </c>
      <c r="L378" s="316">
        <v>5</v>
      </c>
      <c r="M378" s="316">
        <v>7</v>
      </c>
      <c r="N378" s="320">
        <v>12</v>
      </c>
      <c r="O378" s="316">
        <v>0</v>
      </c>
      <c r="P378" s="316">
        <v>0</v>
      </c>
      <c r="Q378" s="320">
        <v>0</v>
      </c>
      <c r="R378" s="295">
        <v>42</v>
      </c>
      <c r="S378" s="295">
        <v>23</v>
      </c>
      <c r="T378" s="295">
        <v>65</v>
      </c>
      <c r="U378" s="13"/>
      <c r="V378" s="13"/>
      <c r="W378" s="13"/>
      <c r="X378" s="13"/>
      <c r="Y378" s="13"/>
      <c r="Z378" s="13"/>
      <c r="AA378" s="13"/>
    </row>
    <row r="379" spans="2:27" x14ac:dyDescent="0.25">
      <c r="B379" s="136" t="s">
        <v>304</v>
      </c>
      <c r="C379" s="316">
        <v>36</v>
      </c>
      <c r="D379" s="316">
        <v>28</v>
      </c>
      <c r="E379" s="316">
        <v>64</v>
      </c>
      <c r="F379" s="316">
        <v>21</v>
      </c>
      <c r="G379" s="316">
        <v>12</v>
      </c>
      <c r="H379" s="316">
        <v>33</v>
      </c>
      <c r="I379" s="316">
        <v>9</v>
      </c>
      <c r="J379" s="316">
        <v>2</v>
      </c>
      <c r="K379" s="316">
        <v>11</v>
      </c>
      <c r="L379" s="316">
        <v>1</v>
      </c>
      <c r="M379" s="316">
        <v>6</v>
      </c>
      <c r="N379" s="320">
        <v>7</v>
      </c>
      <c r="O379" s="316">
        <v>0</v>
      </c>
      <c r="P379" s="316">
        <v>0</v>
      </c>
      <c r="Q379" s="320">
        <v>0</v>
      </c>
      <c r="R379" s="295">
        <v>67</v>
      </c>
      <c r="S379" s="295">
        <v>48</v>
      </c>
      <c r="T379" s="295">
        <v>115</v>
      </c>
      <c r="U379" s="13"/>
      <c r="V379" s="13"/>
      <c r="W379" s="13"/>
      <c r="X379" s="13"/>
      <c r="Y379" s="13"/>
      <c r="Z379" s="13"/>
      <c r="AA379" s="13"/>
    </row>
    <row r="380" spans="2:27" x14ac:dyDescent="0.25">
      <c r="B380" s="136" t="s">
        <v>305</v>
      </c>
      <c r="C380" s="316">
        <v>30</v>
      </c>
      <c r="D380" s="316">
        <v>28</v>
      </c>
      <c r="E380" s="316">
        <v>58</v>
      </c>
      <c r="F380" s="316">
        <v>10</v>
      </c>
      <c r="G380" s="316">
        <v>9</v>
      </c>
      <c r="H380" s="316">
        <v>19</v>
      </c>
      <c r="I380" s="316">
        <v>14</v>
      </c>
      <c r="J380" s="316">
        <v>8</v>
      </c>
      <c r="K380" s="316">
        <v>22</v>
      </c>
      <c r="L380" s="316">
        <v>3</v>
      </c>
      <c r="M380" s="316">
        <v>8</v>
      </c>
      <c r="N380" s="320">
        <v>11</v>
      </c>
      <c r="O380" s="316">
        <v>0</v>
      </c>
      <c r="P380" s="316">
        <v>0</v>
      </c>
      <c r="Q380" s="320">
        <v>0</v>
      </c>
      <c r="R380" s="295">
        <v>57</v>
      </c>
      <c r="S380" s="295">
        <v>53</v>
      </c>
      <c r="T380" s="295">
        <v>110</v>
      </c>
      <c r="U380" s="13"/>
      <c r="V380" s="13"/>
      <c r="W380" s="13"/>
      <c r="X380" s="13"/>
      <c r="Y380" s="13"/>
      <c r="Z380" s="13"/>
      <c r="AA380" s="13"/>
    </row>
    <row r="381" spans="2:27" x14ac:dyDescent="0.25">
      <c r="B381" s="136" t="s">
        <v>306</v>
      </c>
      <c r="C381" s="316">
        <v>27</v>
      </c>
      <c r="D381" s="316">
        <v>28</v>
      </c>
      <c r="E381" s="316">
        <v>55</v>
      </c>
      <c r="F381" s="316">
        <v>22</v>
      </c>
      <c r="G381" s="316">
        <v>9</v>
      </c>
      <c r="H381" s="316">
        <v>31</v>
      </c>
      <c r="I381" s="316">
        <v>13</v>
      </c>
      <c r="J381" s="316">
        <v>5</v>
      </c>
      <c r="K381" s="316">
        <v>18</v>
      </c>
      <c r="L381" s="316">
        <v>5</v>
      </c>
      <c r="M381" s="316">
        <v>4</v>
      </c>
      <c r="N381" s="320">
        <v>9</v>
      </c>
      <c r="O381" s="316">
        <v>0</v>
      </c>
      <c r="P381" s="316">
        <v>0</v>
      </c>
      <c r="Q381" s="320">
        <v>0</v>
      </c>
      <c r="R381" s="295">
        <v>67</v>
      </c>
      <c r="S381" s="295">
        <v>46</v>
      </c>
      <c r="T381" s="295">
        <v>113</v>
      </c>
      <c r="U381" s="13"/>
      <c r="V381" s="13"/>
      <c r="W381" s="13"/>
      <c r="X381" s="13"/>
      <c r="Y381" s="13"/>
      <c r="Z381" s="13"/>
      <c r="AA381" s="13"/>
    </row>
    <row r="382" spans="2:27" x14ac:dyDescent="0.25">
      <c r="B382" s="136" t="s">
        <v>307</v>
      </c>
      <c r="C382" s="316">
        <v>14</v>
      </c>
      <c r="D382" s="316">
        <v>12</v>
      </c>
      <c r="E382" s="316">
        <v>26</v>
      </c>
      <c r="F382" s="316">
        <v>2</v>
      </c>
      <c r="G382" s="316">
        <v>2</v>
      </c>
      <c r="H382" s="316">
        <v>4</v>
      </c>
      <c r="I382" s="316">
        <v>8</v>
      </c>
      <c r="J382" s="316">
        <v>2</v>
      </c>
      <c r="K382" s="316">
        <v>10</v>
      </c>
      <c r="L382" s="316">
        <v>0</v>
      </c>
      <c r="M382" s="316">
        <v>2</v>
      </c>
      <c r="N382" s="320">
        <v>2</v>
      </c>
      <c r="O382" s="316">
        <v>0</v>
      </c>
      <c r="P382" s="316">
        <v>0</v>
      </c>
      <c r="Q382" s="320">
        <v>0</v>
      </c>
      <c r="R382" s="295">
        <v>24</v>
      </c>
      <c r="S382" s="295">
        <v>18</v>
      </c>
      <c r="T382" s="295">
        <v>42</v>
      </c>
      <c r="U382" s="13"/>
      <c r="V382" s="13"/>
      <c r="W382" s="13"/>
      <c r="X382" s="13"/>
      <c r="Y382" s="13"/>
      <c r="Z382" s="13"/>
      <c r="AA382" s="13"/>
    </row>
    <row r="383" spans="2:27" x14ac:dyDescent="0.25">
      <c r="B383" s="136" t="s">
        <v>308</v>
      </c>
      <c r="C383" s="316">
        <v>12</v>
      </c>
      <c r="D383" s="316">
        <v>10</v>
      </c>
      <c r="E383" s="316">
        <v>22</v>
      </c>
      <c r="F383" s="316">
        <v>5</v>
      </c>
      <c r="G383" s="316">
        <v>5</v>
      </c>
      <c r="H383" s="316">
        <v>10</v>
      </c>
      <c r="I383" s="316">
        <v>3</v>
      </c>
      <c r="J383" s="316">
        <v>1</v>
      </c>
      <c r="K383" s="316">
        <v>4</v>
      </c>
      <c r="L383" s="316">
        <v>2</v>
      </c>
      <c r="M383" s="316">
        <v>1</v>
      </c>
      <c r="N383" s="320">
        <v>3</v>
      </c>
      <c r="O383" s="316">
        <v>0</v>
      </c>
      <c r="P383" s="316">
        <v>0</v>
      </c>
      <c r="Q383" s="320">
        <v>0</v>
      </c>
      <c r="R383" s="295">
        <v>22</v>
      </c>
      <c r="S383" s="295">
        <v>17</v>
      </c>
      <c r="T383" s="295">
        <v>39</v>
      </c>
      <c r="U383" s="13"/>
      <c r="V383" s="13"/>
      <c r="W383" s="13"/>
      <c r="X383" s="13"/>
      <c r="Y383" s="13"/>
      <c r="Z383" s="13"/>
      <c r="AA383" s="13"/>
    </row>
    <row r="384" spans="2:27" x14ac:dyDescent="0.25">
      <c r="B384" s="136" t="s">
        <v>309</v>
      </c>
      <c r="C384" s="316">
        <v>33</v>
      </c>
      <c r="D384" s="316">
        <v>35</v>
      </c>
      <c r="E384" s="316">
        <v>68</v>
      </c>
      <c r="F384" s="316">
        <v>8</v>
      </c>
      <c r="G384" s="316">
        <v>14</v>
      </c>
      <c r="H384" s="316">
        <v>22</v>
      </c>
      <c r="I384" s="316">
        <v>12</v>
      </c>
      <c r="J384" s="316">
        <v>4</v>
      </c>
      <c r="K384" s="316">
        <v>16</v>
      </c>
      <c r="L384" s="316">
        <v>4</v>
      </c>
      <c r="M384" s="316">
        <v>7</v>
      </c>
      <c r="N384" s="320">
        <v>11</v>
      </c>
      <c r="O384" s="316">
        <v>0</v>
      </c>
      <c r="P384" s="316">
        <v>0</v>
      </c>
      <c r="Q384" s="320">
        <v>0</v>
      </c>
      <c r="R384" s="295">
        <v>57</v>
      </c>
      <c r="S384" s="295">
        <v>60</v>
      </c>
      <c r="T384" s="295">
        <v>117</v>
      </c>
      <c r="U384" s="13"/>
      <c r="V384" s="13"/>
      <c r="W384" s="13"/>
      <c r="X384" s="13"/>
      <c r="Y384" s="13"/>
      <c r="Z384" s="13"/>
      <c r="AA384" s="13"/>
    </row>
    <row r="385" spans="2:27" x14ac:dyDescent="0.25">
      <c r="B385" s="136" t="s">
        <v>310</v>
      </c>
      <c r="C385" s="316">
        <v>16</v>
      </c>
      <c r="D385" s="316">
        <v>19</v>
      </c>
      <c r="E385" s="316">
        <v>35</v>
      </c>
      <c r="F385" s="316">
        <v>3</v>
      </c>
      <c r="G385" s="316">
        <v>7</v>
      </c>
      <c r="H385" s="316">
        <v>10</v>
      </c>
      <c r="I385" s="316">
        <v>10</v>
      </c>
      <c r="J385" s="316">
        <v>6</v>
      </c>
      <c r="K385" s="316">
        <v>16</v>
      </c>
      <c r="L385" s="316">
        <v>3</v>
      </c>
      <c r="M385" s="316">
        <v>2</v>
      </c>
      <c r="N385" s="320">
        <v>5</v>
      </c>
      <c r="O385" s="316">
        <v>0</v>
      </c>
      <c r="P385" s="316">
        <v>0</v>
      </c>
      <c r="Q385" s="320">
        <v>0</v>
      </c>
      <c r="R385" s="295">
        <v>32</v>
      </c>
      <c r="S385" s="295">
        <v>34</v>
      </c>
      <c r="T385" s="295">
        <v>66</v>
      </c>
      <c r="U385" s="13"/>
      <c r="V385" s="13"/>
      <c r="W385" s="13"/>
      <c r="X385" s="13"/>
      <c r="Y385" s="13"/>
      <c r="Z385" s="13"/>
      <c r="AA385" s="13"/>
    </row>
    <row r="386" spans="2:27" x14ac:dyDescent="0.25">
      <c r="B386" s="136" t="s">
        <v>311</v>
      </c>
      <c r="C386" s="316">
        <v>30</v>
      </c>
      <c r="D386" s="316">
        <v>20</v>
      </c>
      <c r="E386" s="316">
        <v>50</v>
      </c>
      <c r="F386" s="316">
        <v>15</v>
      </c>
      <c r="G386" s="316">
        <v>11</v>
      </c>
      <c r="H386" s="316">
        <v>26</v>
      </c>
      <c r="I386" s="316">
        <v>22</v>
      </c>
      <c r="J386" s="316">
        <v>5</v>
      </c>
      <c r="K386" s="316">
        <v>27</v>
      </c>
      <c r="L386" s="316">
        <v>3</v>
      </c>
      <c r="M386" s="316">
        <v>6</v>
      </c>
      <c r="N386" s="320">
        <v>9</v>
      </c>
      <c r="O386" s="316">
        <v>0</v>
      </c>
      <c r="P386" s="316">
        <v>0</v>
      </c>
      <c r="Q386" s="320">
        <v>0</v>
      </c>
      <c r="R386" s="295">
        <v>70</v>
      </c>
      <c r="S386" s="295">
        <v>42</v>
      </c>
      <c r="T386" s="295">
        <v>112</v>
      </c>
      <c r="U386" s="13"/>
      <c r="V386" s="13"/>
      <c r="W386" s="13"/>
      <c r="X386" s="13"/>
      <c r="Y386" s="13"/>
      <c r="Z386" s="13"/>
      <c r="AA386" s="13"/>
    </row>
    <row r="387" spans="2:27" x14ac:dyDescent="0.25">
      <c r="B387" s="136" t="s">
        <v>312</v>
      </c>
      <c r="C387" s="316">
        <v>46</v>
      </c>
      <c r="D387" s="316">
        <v>39</v>
      </c>
      <c r="E387" s="316">
        <v>85</v>
      </c>
      <c r="F387" s="316">
        <v>18</v>
      </c>
      <c r="G387" s="316">
        <v>20</v>
      </c>
      <c r="H387" s="316">
        <v>38</v>
      </c>
      <c r="I387" s="316">
        <v>17</v>
      </c>
      <c r="J387" s="316">
        <v>7</v>
      </c>
      <c r="K387" s="316">
        <v>24</v>
      </c>
      <c r="L387" s="316">
        <v>9</v>
      </c>
      <c r="M387" s="316">
        <v>12</v>
      </c>
      <c r="N387" s="320">
        <v>21</v>
      </c>
      <c r="O387" s="316">
        <v>0</v>
      </c>
      <c r="P387" s="316">
        <v>0</v>
      </c>
      <c r="Q387" s="320">
        <v>0</v>
      </c>
      <c r="R387" s="295">
        <v>90</v>
      </c>
      <c r="S387" s="295">
        <v>78</v>
      </c>
      <c r="T387" s="295">
        <v>168</v>
      </c>
      <c r="U387" s="13"/>
      <c r="V387" s="13"/>
      <c r="W387" s="13"/>
      <c r="X387" s="13"/>
      <c r="Y387" s="13"/>
      <c r="Z387" s="13"/>
      <c r="AA387" s="13"/>
    </row>
    <row r="388" spans="2:27" x14ac:dyDescent="0.25">
      <c r="B388" s="136" t="s">
        <v>313</v>
      </c>
      <c r="C388" s="316">
        <v>31</v>
      </c>
      <c r="D388" s="316">
        <v>30</v>
      </c>
      <c r="E388" s="316">
        <v>61</v>
      </c>
      <c r="F388" s="316">
        <v>18</v>
      </c>
      <c r="G388" s="316">
        <v>18</v>
      </c>
      <c r="H388" s="316">
        <v>36</v>
      </c>
      <c r="I388" s="316">
        <v>15</v>
      </c>
      <c r="J388" s="316">
        <v>5</v>
      </c>
      <c r="K388" s="316">
        <v>20</v>
      </c>
      <c r="L388" s="316">
        <v>8</v>
      </c>
      <c r="M388" s="316">
        <v>9</v>
      </c>
      <c r="N388" s="320">
        <v>17</v>
      </c>
      <c r="O388" s="316">
        <v>0</v>
      </c>
      <c r="P388" s="316">
        <v>0</v>
      </c>
      <c r="Q388" s="320">
        <v>0</v>
      </c>
      <c r="R388" s="295">
        <v>72</v>
      </c>
      <c r="S388" s="295">
        <v>62</v>
      </c>
      <c r="T388" s="295">
        <v>134</v>
      </c>
      <c r="U388" s="13"/>
      <c r="V388" s="13"/>
      <c r="W388" s="13"/>
      <c r="X388" s="13"/>
      <c r="Y388" s="13"/>
      <c r="Z388" s="13"/>
      <c r="AA388" s="13"/>
    </row>
    <row r="389" spans="2:27" x14ac:dyDescent="0.25">
      <c r="B389" s="136" t="s">
        <v>314</v>
      </c>
      <c r="C389" s="316">
        <v>14</v>
      </c>
      <c r="D389" s="316">
        <v>13</v>
      </c>
      <c r="E389" s="316">
        <v>27</v>
      </c>
      <c r="F389" s="316">
        <v>2</v>
      </c>
      <c r="G389" s="316">
        <v>3</v>
      </c>
      <c r="H389" s="316">
        <v>5</v>
      </c>
      <c r="I389" s="316">
        <v>11</v>
      </c>
      <c r="J389" s="316">
        <v>5</v>
      </c>
      <c r="K389" s="316">
        <v>16</v>
      </c>
      <c r="L389" s="316">
        <v>1</v>
      </c>
      <c r="M389" s="316">
        <v>0</v>
      </c>
      <c r="N389" s="320">
        <v>1</v>
      </c>
      <c r="O389" s="316">
        <v>0</v>
      </c>
      <c r="P389" s="316">
        <v>0</v>
      </c>
      <c r="Q389" s="320">
        <v>0</v>
      </c>
      <c r="R389" s="295">
        <v>28</v>
      </c>
      <c r="S389" s="295">
        <v>21</v>
      </c>
      <c r="T389" s="295">
        <v>49</v>
      </c>
      <c r="U389" s="13"/>
      <c r="V389" s="13"/>
      <c r="W389" s="13"/>
      <c r="X389" s="13"/>
      <c r="Y389" s="13"/>
      <c r="Z389" s="13"/>
      <c r="AA389" s="13"/>
    </row>
    <row r="390" spans="2:27" x14ac:dyDescent="0.25">
      <c r="B390" s="136" t="s">
        <v>315</v>
      </c>
      <c r="C390" s="316">
        <v>17</v>
      </c>
      <c r="D390" s="316">
        <v>13</v>
      </c>
      <c r="E390" s="316">
        <v>30</v>
      </c>
      <c r="F390" s="316">
        <v>2</v>
      </c>
      <c r="G390" s="316">
        <v>4</v>
      </c>
      <c r="H390" s="316">
        <v>6</v>
      </c>
      <c r="I390" s="316">
        <v>4</v>
      </c>
      <c r="J390" s="316">
        <v>2</v>
      </c>
      <c r="K390" s="316">
        <v>6</v>
      </c>
      <c r="L390" s="316">
        <v>2</v>
      </c>
      <c r="M390" s="316">
        <v>0</v>
      </c>
      <c r="N390" s="320">
        <v>2</v>
      </c>
      <c r="O390" s="316">
        <v>0</v>
      </c>
      <c r="P390" s="316">
        <v>0</v>
      </c>
      <c r="Q390" s="320">
        <v>0</v>
      </c>
      <c r="R390" s="295">
        <v>25</v>
      </c>
      <c r="S390" s="295">
        <v>19</v>
      </c>
      <c r="T390" s="295">
        <v>44</v>
      </c>
      <c r="U390" s="13"/>
      <c r="V390" s="13"/>
      <c r="W390" s="13"/>
      <c r="X390" s="13"/>
      <c r="Y390" s="13"/>
      <c r="Z390" s="13"/>
      <c r="AA390" s="13"/>
    </row>
    <row r="391" spans="2:27" x14ac:dyDescent="0.25">
      <c r="B391" s="136" t="s">
        <v>316</v>
      </c>
      <c r="C391" s="316">
        <v>11</v>
      </c>
      <c r="D391" s="316">
        <v>10</v>
      </c>
      <c r="E391" s="316">
        <v>21</v>
      </c>
      <c r="F391" s="316">
        <v>1</v>
      </c>
      <c r="G391" s="316">
        <v>3</v>
      </c>
      <c r="H391" s="316">
        <v>4</v>
      </c>
      <c r="I391" s="316">
        <v>14</v>
      </c>
      <c r="J391" s="316">
        <v>2</v>
      </c>
      <c r="K391" s="316">
        <v>16</v>
      </c>
      <c r="L391" s="316">
        <v>1</v>
      </c>
      <c r="M391" s="316">
        <v>1</v>
      </c>
      <c r="N391" s="320">
        <v>2</v>
      </c>
      <c r="O391" s="316">
        <v>0</v>
      </c>
      <c r="P391" s="316">
        <v>0</v>
      </c>
      <c r="Q391" s="320">
        <v>0</v>
      </c>
      <c r="R391" s="295">
        <v>27</v>
      </c>
      <c r="S391" s="295">
        <v>16</v>
      </c>
      <c r="T391" s="295">
        <v>43</v>
      </c>
      <c r="U391" s="13"/>
      <c r="V391" s="13"/>
      <c r="W391" s="13"/>
      <c r="X391" s="13"/>
      <c r="Y391" s="13"/>
      <c r="Z391" s="13"/>
      <c r="AA391" s="13"/>
    </row>
    <row r="392" spans="2:27" x14ac:dyDescent="0.25">
      <c r="B392" s="136" t="s">
        <v>317</v>
      </c>
      <c r="C392" s="316">
        <v>12</v>
      </c>
      <c r="D392" s="316">
        <v>12</v>
      </c>
      <c r="E392" s="316">
        <v>24</v>
      </c>
      <c r="F392" s="316">
        <v>2</v>
      </c>
      <c r="G392" s="316">
        <v>6</v>
      </c>
      <c r="H392" s="316">
        <v>8</v>
      </c>
      <c r="I392" s="316">
        <v>4</v>
      </c>
      <c r="J392" s="316">
        <v>0</v>
      </c>
      <c r="K392" s="316">
        <v>4</v>
      </c>
      <c r="L392" s="316">
        <v>0</v>
      </c>
      <c r="M392" s="316">
        <v>4</v>
      </c>
      <c r="N392" s="320">
        <v>4</v>
      </c>
      <c r="O392" s="316">
        <v>0</v>
      </c>
      <c r="P392" s="316">
        <v>0</v>
      </c>
      <c r="Q392" s="320">
        <v>0</v>
      </c>
      <c r="R392" s="295">
        <v>18</v>
      </c>
      <c r="S392" s="295">
        <v>22</v>
      </c>
      <c r="T392" s="295">
        <v>40</v>
      </c>
      <c r="U392" s="13"/>
      <c r="V392" s="13"/>
      <c r="W392" s="13"/>
      <c r="X392" s="13"/>
      <c r="Y392" s="13"/>
      <c r="Z392" s="13"/>
      <c r="AA392" s="13"/>
    </row>
    <row r="393" spans="2:27" x14ac:dyDescent="0.25">
      <c r="B393" s="136" t="s">
        <v>318</v>
      </c>
      <c r="C393" s="316">
        <v>57</v>
      </c>
      <c r="D393" s="316">
        <v>50</v>
      </c>
      <c r="E393" s="316">
        <v>107</v>
      </c>
      <c r="F393" s="316">
        <v>19</v>
      </c>
      <c r="G393" s="316">
        <v>15</v>
      </c>
      <c r="H393" s="316">
        <v>34</v>
      </c>
      <c r="I393" s="316">
        <v>21</v>
      </c>
      <c r="J393" s="316">
        <v>7</v>
      </c>
      <c r="K393" s="316">
        <v>28</v>
      </c>
      <c r="L393" s="316">
        <v>4</v>
      </c>
      <c r="M393" s="316">
        <v>11</v>
      </c>
      <c r="N393" s="320">
        <v>15</v>
      </c>
      <c r="O393" s="316">
        <v>0</v>
      </c>
      <c r="P393" s="316">
        <v>0</v>
      </c>
      <c r="Q393" s="320">
        <v>0</v>
      </c>
      <c r="R393" s="295">
        <v>101</v>
      </c>
      <c r="S393" s="295">
        <v>83</v>
      </c>
      <c r="T393" s="295">
        <v>184</v>
      </c>
      <c r="U393" s="13"/>
      <c r="V393" s="13"/>
      <c r="W393" s="13"/>
      <c r="X393" s="13"/>
      <c r="Y393" s="13"/>
      <c r="Z393" s="13"/>
      <c r="AA393" s="13"/>
    </row>
    <row r="394" spans="2:27" x14ac:dyDescent="0.25">
      <c r="B394" s="136" t="s">
        <v>319</v>
      </c>
      <c r="C394" s="316">
        <v>83</v>
      </c>
      <c r="D394" s="316">
        <v>80</v>
      </c>
      <c r="E394" s="316">
        <v>163</v>
      </c>
      <c r="F394" s="316">
        <v>48</v>
      </c>
      <c r="G394" s="316">
        <v>34</v>
      </c>
      <c r="H394" s="316">
        <v>82</v>
      </c>
      <c r="I394" s="316">
        <v>50</v>
      </c>
      <c r="J394" s="316">
        <v>17</v>
      </c>
      <c r="K394" s="316">
        <v>67</v>
      </c>
      <c r="L394" s="316">
        <v>27</v>
      </c>
      <c r="M394" s="316">
        <v>16</v>
      </c>
      <c r="N394" s="320">
        <v>43</v>
      </c>
      <c r="O394" s="316">
        <v>0</v>
      </c>
      <c r="P394" s="316">
        <v>0</v>
      </c>
      <c r="Q394" s="320">
        <v>0</v>
      </c>
      <c r="R394" s="295">
        <v>208</v>
      </c>
      <c r="S394" s="295">
        <v>147</v>
      </c>
      <c r="T394" s="295">
        <v>355</v>
      </c>
      <c r="U394" s="13"/>
      <c r="V394" s="13"/>
      <c r="W394" s="13"/>
      <c r="X394" s="13"/>
      <c r="Y394" s="13"/>
      <c r="Z394" s="13"/>
      <c r="AA394" s="13"/>
    </row>
    <row r="395" spans="2:27" x14ac:dyDescent="0.25">
      <c r="B395" s="136" t="s">
        <v>320</v>
      </c>
      <c r="C395" s="316">
        <v>9</v>
      </c>
      <c r="D395" s="316">
        <v>3</v>
      </c>
      <c r="E395" s="316">
        <v>12</v>
      </c>
      <c r="F395" s="316">
        <v>7</v>
      </c>
      <c r="G395" s="316">
        <v>5</v>
      </c>
      <c r="H395" s="316">
        <v>12</v>
      </c>
      <c r="I395" s="316">
        <v>6</v>
      </c>
      <c r="J395" s="316">
        <v>2</v>
      </c>
      <c r="K395" s="316">
        <v>8</v>
      </c>
      <c r="L395" s="316">
        <v>1</v>
      </c>
      <c r="M395" s="316">
        <v>3</v>
      </c>
      <c r="N395" s="320">
        <v>4</v>
      </c>
      <c r="O395" s="316">
        <v>0</v>
      </c>
      <c r="P395" s="316">
        <v>0</v>
      </c>
      <c r="Q395" s="320">
        <v>0</v>
      </c>
      <c r="R395" s="295">
        <v>23</v>
      </c>
      <c r="S395" s="295">
        <v>13</v>
      </c>
      <c r="T395" s="295">
        <v>36</v>
      </c>
      <c r="U395" s="13"/>
      <c r="V395" s="13"/>
      <c r="W395" s="13"/>
      <c r="X395" s="13"/>
      <c r="Y395" s="13"/>
      <c r="Z395" s="13"/>
      <c r="AA395" s="13"/>
    </row>
    <row r="396" spans="2:27" x14ac:dyDescent="0.25">
      <c r="B396" s="136" t="s">
        <v>321</v>
      </c>
      <c r="C396" s="316">
        <v>38</v>
      </c>
      <c r="D396" s="316">
        <v>46</v>
      </c>
      <c r="E396" s="316">
        <v>84</v>
      </c>
      <c r="F396" s="316">
        <v>26</v>
      </c>
      <c r="G396" s="316">
        <v>16</v>
      </c>
      <c r="H396" s="316">
        <v>42</v>
      </c>
      <c r="I396" s="316">
        <v>19</v>
      </c>
      <c r="J396" s="316">
        <v>5</v>
      </c>
      <c r="K396" s="316">
        <v>24</v>
      </c>
      <c r="L396" s="316">
        <v>7</v>
      </c>
      <c r="M396" s="316">
        <v>6</v>
      </c>
      <c r="N396" s="320">
        <v>13</v>
      </c>
      <c r="O396" s="316">
        <v>0</v>
      </c>
      <c r="P396" s="316">
        <v>0</v>
      </c>
      <c r="Q396" s="320">
        <v>0</v>
      </c>
      <c r="R396" s="295">
        <v>90</v>
      </c>
      <c r="S396" s="295">
        <v>73</v>
      </c>
      <c r="T396" s="295">
        <v>163</v>
      </c>
      <c r="U396" s="13"/>
      <c r="V396" s="13"/>
      <c r="W396" s="13"/>
      <c r="X396" s="13"/>
      <c r="Y396" s="13"/>
      <c r="Z396" s="13"/>
      <c r="AA396" s="13"/>
    </row>
    <row r="397" spans="2:27" x14ac:dyDescent="0.25">
      <c r="B397" s="136" t="s">
        <v>322</v>
      </c>
      <c r="C397" s="316">
        <v>41</v>
      </c>
      <c r="D397" s="316">
        <v>42</v>
      </c>
      <c r="E397" s="316">
        <v>83</v>
      </c>
      <c r="F397" s="316">
        <v>31</v>
      </c>
      <c r="G397" s="316">
        <v>20</v>
      </c>
      <c r="H397" s="316">
        <v>51</v>
      </c>
      <c r="I397" s="316">
        <v>9</v>
      </c>
      <c r="J397" s="316">
        <v>7</v>
      </c>
      <c r="K397" s="316">
        <v>16</v>
      </c>
      <c r="L397" s="316">
        <v>3</v>
      </c>
      <c r="M397" s="316">
        <v>3</v>
      </c>
      <c r="N397" s="320">
        <v>6</v>
      </c>
      <c r="O397" s="316">
        <v>0</v>
      </c>
      <c r="P397" s="316">
        <v>0</v>
      </c>
      <c r="Q397" s="320">
        <v>0</v>
      </c>
      <c r="R397" s="295">
        <v>84</v>
      </c>
      <c r="S397" s="295">
        <v>72</v>
      </c>
      <c r="T397" s="295">
        <v>156</v>
      </c>
      <c r="U397" s="13"/>
      <c r="V397" s="13"/>
      <c r="W397" s="13"/>
      <c r="X397" s="13"/>
      <c r="Y397" s="13"/>
      <c r="Z397" s="13"/>
      <c r="AA397" s="13"/>
    </row>
    <row r="398" spans="2:27" x14ac:dyDescent="0.25">
      <c r="B398" s="136" t="s">
        <v>323</v>
      </c>
      <c r="C398" s="316">
        <v>34</v>
      </c>
      <c r="D398" s="316">
        <v>15</v>
      </c>
      <c r="E398" s="316">
        <v>49</v>
      </c>
      <c r="F398" s="316">
        <v>5</v>
      </c>
      <c r="G398" s="316">
        <v>8</v>
      </c>
      <c r="H398" s="316">
        <v>13</v>
      </c>
      <c r="I398" s="316">
        <v>15</v>
      </c>
      <c r="J398" s="316">
        <v>3</v>
      </c>
      <c r="K398" s="316">
        <v>18</v>
      </c>
      <c r="L398" s="316">
        <v>3</v>
      </c>
      <c r="M398" s="316">
        <v>3</v>
      </c>
      <c r="N398" s="320">
        <v>6</v>
      </c>
      <c r="O398" s="316">
        <v>0</v>
      </c>
      <c r="P398" s="316">
        <v>0</v>
      </c>
      <c r="Q398" s="320">
        <v>0</v>
      </c>
      <c r="R398" s="295">
        <v>57</v>
      </c>
      <c r="S398" s="295">
        <v>29</v>
      </c>
      <c r="T398" s="295">
        <v>86</v>
      </c>
      <c r="U398" s="13"/>
      <c r="V398" s="13"/>
      <c r="W398" s="13"/>
      <c r="X398" s="13"/>
      <c r="Y398" s="13"/>
      <c r="Z398" s="13"/>
      <c r="AA398" s="13"/>
    </row>
    <row r="399" spans="2:27" x14ac:dyDescent="0.25">
      <c r="B399" s="136" t="s">
        <v>324</v>
      </c>
      <c r="C399" s="316">
        <v>19</v>
      </c>
      <c r="D399" s="316">
        <v>17</v>
      </c>
      <c r="E399" s="316">
        <v>36</v>
      </c>
      <c r="F399" s="316">
        <v>13</v>
      </c>
      <c r="G399" s="316">
        <v>12</v>
      </c>
      <c r="H399" s="316">
        <v>25</v>
      </c>
      <c r="I399" s="316">
        <v>8</v>
      </c>
      <c r="J399" s="316">
        <v>2</v>
      </c>
      <c r="K399" s="316">
        <v>10</v>
      </c>
      <c r="L399" s="316">
        <v>2</v>
      </c>
      <c r="M399" s="316">
        <v>3</v>
      </c>
      <c r="N399" s="320">
        <v>5</v>
      </c>
      <c r="O399" s="316">
        <v>0</v>
      </c>
      <c r="P399" s="316">
        <v>0</v>
      </c>
      <c r="Q399" s="320">
        <v>0</v>
      </c>
      <c r="R399" s="295">
        <v>42</v>
      </c>
      <c r="S399" s="295">
        <v>34</v>
      </c>
      <c r="T399" s="295">
        <v>76</v>
      </c>
      <c r="U399" s="13"/>
      <c r="V399" s="13"/>
      <c r="W399" s="13"/>
      <c r="X399" s="13"/>
      <c r="Y399" s="13"/>
      <c r="Z399" s="13"/>
      <c r="AA399" s="13"/>
    </row>
    <row r="400" spans="2:27" x14ac:dyDescent="0.25">
      <c r="B400" s="136" t="s">
        <v>325</v>
      </c>
      <c r="C400" s="316">
        <v>21</v>
      </c>
      <c r="D400" s="316">
        <v>17</v>
      </c>
      <c r="E400" s="316">
        <v>38</v>
      </c>
      <c r="F400" s="316">
        <v>6</v>
      </c>
      <c r="G400" s="316">
        <v>8</v>
      </c>
      <c r="H400" s="316">
        <v>14</v>
      </c>
      <c r="I400" s="316">
        <v>4</v>
      </c>
      <c r="J400" s="316">
        <v>8</v>
      </c>
      <c r="K400" s="316">
        <v>12</v>
      </c>
      <c r="L400" s="316">
        <v>5</v>
      </c>
      <c r="M400" s="316">
        <v>6</v>
      </c>
      <c r="N400" s="320">
        <v>11</v>
      </c>
      <c r="O400" s="316">
        <v>0</v>
      </c>
      <c r="P400" s="316">
        <v>0</v>
      </c>
      <c r="Q400" s="320">
        <v>0</v>
      </c>
      <c r="R400" s="295">
        <v>36</v>
      </c>
      <c r="S400" s="295">
        <v>39</v>
      </c>
      <c r="T400" s="295">
        <v>75</v>
      </c>
      <c r="U400" s="13"/>
      <c r="V400" s="13"/>
      <c r="W400" s="13"/>
      <c r="X400" s="13"/>
      <c r="Y400" s="13"/>
      <c r="Z400" s="13"/>
      <c r="AA400" s="13"/>
    </row>
    <row r="401" spans="2:27" x14ac:dyDescent="0.25">
      <c r="B401" s="136" t="s">
        <v>326</v>
      </c>
      <c r="C401" s="316">
        <v>271</v>
      </c>
      <c r="D401" s="316">
        <v>287</v>
      </c>
      <c r="E401" s="316">
        <v>558</v>
      </c>
      <c r="F401" s="316">
        <v>241</v>
      </c>
      <c r="G401" s="316">
        <v>187</v>
      </c>
      <c r="H401" s="316">
        <v>428</v>
      </c>
      <c r="I401" s="316">
        <v>133</v>
      </c>
      <c r="J401" s="316">
        <v>41</v>
      </c>
      <c r="K401" s="316">
        <v>174</v>
      </c>
      <c r="L401" s="316">
        <v>58</v>
      </c>
      <c r="M401" s="316">
        <v>70</v>
      </c>
      <c r="N401" s="320">
        <v>128</v>
      </c>
      <c r="O401" s="316">
        <v>0</v>
      </c>
      <c r="P401" s="316">
        <v>0</v>
      </c>
      <c r="Q401" s="320">
        <v>0</v>
      </c>
      <c r="R401" s="295">
        <v>703</v>
      </c>
      <c r="S401" s="295">
        <v>585</v>
      </c>
      <c r="T401" s="295">
        <v>1288</v>
      </c>
      <c r="U401" s="13"/>
      <c r="V401" s="13"/>
      <c r="W401" s="13"/>
      <c r="X401" s="13"/>
      <c r="Y401" s="13"/>
      <c r="Z401" s="13"/>
      <c r="AA401" s="13"/>
    </row>
    <row r="402" spans="2:27" x14ac:dyDescent="0.25">
      <c r="B402" s="136" t="s">
        <v>327</v>
      </c>
      <c r="C402" s="316">
        <v>23</v>
      </c>
      <c r="D402" s="316">
        <v>16</v>
      </c>
      <c r="E402" s="316">
        <v>39</v>
      </c>
      <c r="F402" s="316">
        <v>11</v>
      </c>
      <c r="G402" s="316">
        <v>11</v>
      </c>
      <c r="H402" s="316">
        <v>22</v>
      </c>
      <c r="I402" s="316">
        <v>12</v>
      </c>
      <c r="J402" s="316">
        <v>4</v>
      </c>
      <c r="K402" s="316">
        <v>16</v>
      </c>
      <c r="L402" s="316">
        <v>4</v>
      </c>
      <c r="M402" s="316">
        <v>5</v>
      </c>
      <c r="N402" s="320">
        <v>9</v>
      </c>
      <c r="O402" s="316">
        <v>0</v>
      </c>
      <c r="P402" s="316">
        <v>0</v>
      </c>
      <c r="Q402" s="320">
        <v>0</v>
      </c>
      <c r="R402" s="295">
        <v>50</v>
      </c>
      <c r="S402" s="295">
        <v>36</v>
      </c>
      <c r="T402" s="295">
        <v>86</v>
      </c>
      <c r="U402" s="13"/>
      <c r="V402" s="13"/>
      <c r="W402" s="13"/>
      <c r="X402" s="13"/>
      <c r="Y402" s="13"/>
      <c r="Z402" s="13"/>
      <c r="AA402" s="13"/>
    </row>
    <row r="403" spans="2:27" x14ac:dyDescent="0.25">
      <c r="B403" s="136" t="s">
        <v>328</v>
      </c>
      <c r="C403" s="316">
        <v>13</v>
      </c>
      <c r="D403" s="316">
        <v>18</v>
      </c>
      <c r="E403" s="316">
        <v>31</v>
      </c>
      <c r="F403" s="316">
        <v>2</v>
      </c>
      <c r="G403" s="316">
        <v>6</v>
      </c>
      <c r="H403" s="316">
        <v>8</v>
      </c>
      <c r="I403" s="316">
        <v>9</v>
      </c>
      <c r="J403" s="316">
        <v>4</v>
      </c>
      <c r="K403" s="316">
        <v>13</v>
      </c>
      <c r="L403" s="316">
        <v>2</v>
      </c>
      <c r="M403" s="316">
        <v>2</v>
      </c>
      <c r="N403" s="320">
        <v>4</v>
      </c>
      <c r="O403" s="316">
        <v>0</v>
      </c>
      <c r="P403" s="316">
        <v>0</v>
      </c>
      <c r="Q403" s="320">
        <v>0</v>
      </c>
      <c r="R403" s="295">
        <v>26</v>
      </c>
      <c r="S403" s="295">
        <v>30</v>
      </c>
      <c r="T403" s="295">
        <v>56</v>
      </c>
      <c r="U403" s="13"/>
      <c r="V403" s="13"/>
      <c r="W403" s="13"/>
      <c r="X403" s="13"/>
      <c r="Y403" s="13"/>
      <c r="Z403" s="13"/>
      <c r="AA403" s="13"/>
    </row>
    <row r="404" spans="2:27" x14ac:dyDescent="0.25">
      <c r="B404" s="136" t="s">
        <v>329</v>
      </c>
      <c r="C404" s="316">
        <v>30</v>
      </c>
      <c r="D404" s="316">
        <v>24</v>
      </c>
      <c r="E404" s="316">
        <v>54</v>
      </c>
      <c r="F404" s="316">
        <v>11</v>
      </c>
      <c r="G404" s="316">
        <v>8</v>
      </c>
      <c r="H404" s="316">
        <v>19</v>
      </c>
      <c r="I404" s="316">
        <v>16</v>
      </c>
      <c r="J404" s="316">
        <v>6</v>
      </c>
      <c r="K404" s="316">
        <v>22</v>
      </c>
      <c r="L404" s="316">
        <v>4</v>
      </c>
      <c r="M404" s="316">
        <v>8</v>
      </c>
      <c r="N404" s="320">
        <v>12</v>
      </c>
      <c r="O404" s="316">
        <v>0</v>
      </c>
      <c r="P404" s="316">
        <v>0</v>
      </c>
      <c r="Q404" s="320">
        <v>0</v>
      </c>
      <c r="R404" s="295">
        <v>61</v>
      </c>
      <c r="S404" s="295">
        <v>46</v>
      </c>
      <c r="T404" s="295">
        <v>107</v>
      </c>
      <c r="U404" s="13"/>
      <c r="V404" s="13"/>
      <c r="W404" s="13"/>
      <c r="X404" s="13"/>
      <c r="Y404" s="13"/>
      <c r="Z404" s="13"/>
      <c r="AA404" s="13"/>
    </row>
    <row r="405" spans="2:27" x14ac:dyDescent="0.25">
      <c r="B405" s="136" t="s">
        <v>330</v>
      </c>
      <c r="C405" s="316">
        <v>49</v>
      </c>
      <c r="D405" s="316">
        <v>39</v>
      </c>
      <c r="E405" s="316">
        <v>88</v>
      </c>
      <c r="F405" s="316">
        <v>28</v>
      </c>
      <c r="G405" s="316">
        <v>17</v>
      </c>
      <c r="H405" s="316">
        <v>45</v>
      </c>
      <c r="I405" s="316">
        <v>24</v>
      </c>
      <c r="J405" s="316">
        <v>7</v>
      </c>
      <c r="K405" s="316">
        <v>31</v>
      </c>
      <c r="L405" s="316">
        <v>9</v>
      </c>
      <c r="M405" s="316">
        <v>6</v>
      </c>
      <c r="N405" s="320">
        <v>15</v>
      </c>
      <c r="O405" s="316">
        <v>0</v>
      </c>
      <c r="P405" s="316">
        <v>0</v>
      </c>
      <c r="Q405" s="320">
        <v>0</v>
      </c>
      <c r="R405" s="295">
        <v>110</v>
      </c>
      <c r="S405" s="295">
        <v>69</v>
      </c>
      <c r="T405" s="295">
        <v>179</v>
      </c>
      <c r="U405" s="13"/>
      <c r="V405" s="13"/>
      <c r="W405" s="13"/>
      <c r="X405" s="13"/>
      <c r="Y405" s="13"/>
      <c r="Z405" s="13"/>
      <c r="AA405" s="13"/>
    </row>
    <row r="406" spans="2:27" x14ac:dyDescent="0.25">
      <c r="B406" s="136" t="s">
        <v>331</v>
      </c>
      <c r="C406" s="316">
        <v>34</v>
      </c>
      <c r="D406" s="316">
        <v>31</v>
      </c>
      <c r="E406" s="316">
        <v>65</v>
      </c>
      <c r="F406" s="316">
        <v>10</v>
      </c>
      <c r="G406" s="316">
        <v>12</v>
      </c>
      <c r="H406" s="316">
        <v>22</v>
      </c>
      <c r="I406" s="316">
        <v>16</v>
      </c>
      <c r="J406" s="316">
        <v>2</v>
      </c>
      <c r="K406" s="316">
        <v>18</v>
      </c>
      <c r="L406" s="316">
        <v>2</v>
      </c>
      <c r="M406" s="316">
        <v>9</v>
      </c>
      <c r="N406" s="320">
        <v>11</v>
      </c>
      <c r="O406" s="316">
        <v>0</v>
      </c>
      <c r="P406" s="316">
        <v>0</v>
      </c>
      <c r="Q406" s="320">
        <v>0</v>
      </c>
      <c r="R406" s="295">
        <v>62</v>
      </c>
      <c r="S406" s="295">
        <v>54</v>
      </c>
      <c r="T406" s="295">
        <v>116</v>
      </c>
      <c r="U406" s="13"/>
      <c r="V406" s="13"/>
      <c r="W406" s="13"/>
      <c r="X406" s="13"/>
      <c r="Y406" s="13"/>
      <c r="Z406" s="13"/>
      <c r="AA406" s="13"/>
    </row>
    <row r="407" spans="2:27" x14ac:dyDescent="0.25">
      <c r="B407" s="136" t="s">
        <v>332</v>
      </c>
      <c r="C407" s="316">
        <v>72</v>
      </c>
      <c r="D407" s="316">
        <v>87</v>
      </c>
      <c r="E407" s="316">
        <v>159</v>
      </c>
      <c r="F407" s="316">
        <v>66</v>
      </c>
      <c r="G407" s="316">
        <v>39</v>
      </c>
      <c r="H407" s="316">
        <v>105</v>
      </c>
      <c r="I407" s="316">
        <v>39</v>
      </c>
      <c r="J407" s="316">
        <v>12</v>
      </c>
      <c r="K407" s="316">
        <v>51</v>
      </c>
      <c r="L407" s="316">
        <v>14</v>
      </c>
      <c r="M407" s="316">
        <v>15</v>
      </c>
      <c r="N407" s="320">
        <v>29</v>
      </c>
      <c r="O407" s="316">
        <v>0</v>
      </c>
      <c r="P407" s="316">
        <v>0</v>
      </c>
      <c r="Q407" s="320">
        <v>0</v>
      </c>
      <c r="R407" s="295">
        <v>191</v>
      </c>
      <c r="S407" s="295">
        <v>153</v>
      </c>
      <c r="T407" s="295">
        <v>344</v>
      </c>
      <c r="U407" s="13"/>
      <c r="V407" s="13"/>
      <c r="W407" s="13"/>
      <c r="X407" s="13"/>
      <c r="Y407" s="13"/>
      <c r="Z407" s="13"/>
      <c r="AA407" s="13"/>
    </row>
    <row r="408" spans="2:27" x14ac:dyDescent="0.25">
      <c r="B408" s="260" t="s">
        <v>25</v>
      </c>
      <c r="C408" s="282">
        <v>1244</v>
      </c>
      <c r="D408" s="282">
        <v>1181</v>
      </c>
      <c r="E408" s="282">
        <v>2425</v>
      </c>
      <c r="F408" s="282">
        <v>716</v>
      </c>
      <c r="G408" s="282">
        <v>575</v>
      </c>
      <c r="H408" s="285">
        <v>1291</v>
      </c>
      <c r="I408" s="282">
        <v>601</v>
      </c>
      <c r="J408" s="285">
        <v>201</v>
      </c>
      <c r="K408" s="282">
        <v>802</v>
      </c>
      <c r="L408" s="285">
        <v>204</v>
      </c>
      <c r="M408" s="282">
        <v>260</v>
      </c>
      <c r="N408" s="322">
        <v>464</v>
      </c>
      <c r="O408" s="285">
        <v>0</v>
      </c>
      <c r="P408" s="282">
        <v>0</v>
      </c>
      <c r="Q408" s="322">
        <v>0</v>
      </c>
      <c r="R408" s="295">
        <v>2765</v>
      </c>
      <c r="S408" s="295">
        <v>2217</v>
      </c>
      <c r="T408" s="295">
        <v>4982</v>
      </c>
      <c r="U408" s="13"/>
      <c r="V408" s="13"/>
      <c r="W408" s="13"/>
      <c r="X408" s="13"/>
      <c r="Y408" s="13"/>
      <c r="Z408" s="13"/>
      <c r="AA408" s="13"/>
    </row>
    <row r="409" spans="2:27" ht="84.75" customHeight="1" x14ac:dyDescent="0.25">
      <c r="B409" s="468" t="s">
        <v>866</v>
      </c>
      <c r="C409" s="468"/>
      <c r="D409" s="468"/>
      <c r="E409" s="468"/>
      <c r="F409" s="468"/>
      <c r="G409" s="468"/>
      <c r="H409" s="468"/>
      <c r="I409" s="468"/>
      <c r="J409" s="468"/>
      <c r="K409" s="468"/>
      <c r="L409" s="468"/>
      <c r="M409" s="468"/>
      <c r="N409" s="468"/>
      <c r="O409" s="468"/>
      <c r="P409" s="468"/>
      <c r="Q409" s="468"/>
      <c r="R409" s="13"/>
      <c r="S409" s="13"/>
      <c r="T409" s="13"/>
      <c r="U409" s="13"/>
      <c r="V409" s="13"/>
      <c r="W409" s="13"/>
    </row>
    <row r="410" spans="2:27" x14ac:dyDescent="0.25">
      <c r="B410" s="251"/>
      <c r="C410" s="251"/>
      <c r="D410" s="251"/>
      <c r="E410" s="251"/>
      <c r="F410" s="251"/>
      <c r="G410" s="251"/>
      <c r="H410" s="251"/>
      <c r="I410" s="251"/>
      <c r="J410" s="251"/>
      <c r="K410" s="251"/>
      <c r="L410" s="251"/>
      <c r="M410" s="251"/>
      <c r="N410" s="251"/>
      <c r="O410" s="251"/>
      <c r="P410" s="251"/>
      <c r="Q410" s="251"/>
      <c r="R410" s="13"/>
      <c r="S410" s="13"/>
      <c r="T410" s="13"/>
      <c r="U410" s="13"/>
      <c r="V410" s="13"/>
      <c r="W410" s="13"/>
    </row>
    <row r="411" spans="2:27" x14ac:dyDescent="0.25">
      <c r="B411" s="251"/>
      <c r="C411" s="251"/>
      <c r="D411" s="251"/>
      <c r="E411" s="251"/>
      <c r="F411" s="251"/>
      <c r="G411" s="251"/>
      <c r="H411" s="251"/>
      <c r="I411" s="251"/>
      <c r="J411" s="251"/>
      <c r="K411" s="251"/>
      <c r="L411" s="251"/>
      <c r="M411" s="251"/>
      <c r="N411" s="251"/>
      <c r="O411" s="251"/>
      <c r="P411" s="251"/>
      <c r="Q411" s="251"/>
      <c r="R411" s="13"/>
      <c r="S411" s="13"/>
      <c r="T411" s="13"/>
      <c r="U411" s="13"/>
      <c r="V411" s="13"/>
      <c r="W411" s="13"/>
    </row>
    <row r="412" spans="2:27" x14ac:dyDescent="0.25">
      <c r="B412" s="186" t="s">
        <v>518</v>
      </c>
      <c r="C412"/>
      <c r="D412"/>
      <c r="E412"/>
      <c r="F412"/>
      <c r="G412"/>
      <c r="H412" s="13"/>
      <c r="I412" s="13"/>
      <c r="J412" s="13"/>
      <c r="K412" s="13"/>
      <c r="L412" s="13"/>
      <c r="M412" s="13"/>
      <c r="N412" s="13"/>
      <c r="O412" s="13"/>
      <c r="P412" s="13"/>
      <c r="Q412" s="13"/>
      <c r="R412" s="13"/>
      <c r="S412" s="13"/>
      <c r="T412" s="13"/>
      <c r="U412" s="13"/>
      <c r="V412" s="13"/>
      <c r="W412" s="13"/>
    </row>
    <row r="413" spans="2:27" x14ac:dyDescent="0.25">
      <c r="B413" s="186"/>
      <c r="C413"/>
      <c r="D413"/>
      <c r="E413"/>
      <c r="F413"/>
      <c r="G413"/>
      <c r="H413" s="13"/>
      <c r="I413" s="13"/>
      <c r="J413" s="13"/>
      <c r="K413" s="13"/>
      <c r="L413" s="13"/>
      <c r="M413" s="13"/>
      <c r="N413" s="13"/>
      <c r="O413" s="13"/>
      <c r="P413" s="13"/>
      <c r="Q413" s="13"/>
      <c r="R413" s="13"/>
      <c r="S413" s="13"/>
      <c r="T413" s="13"/>
      <c r="U413" s="13"/>
      <c r="V413" s="13"/>
      <c r="W413" s="13"/>
    </row>
    <row r="414" spans="2:27" ht="15" customHeight="1" x14ac:dyDescent="0.25">
      <c r="B414" s="481" t="s">
        <v>532</v>
      </c>
      <c r="C414" s="476" t="s">
        <v>477</v>
      </c>
      <c r="D414" s="477"/>
      <c r="E414" s="477"/>
      <c r="F414" s="477"/>
      <c r="G414" s="477"/>
      <c r="H414" s="477"/>
      <c r="I414" s="477"/>
      <c r="J414" s="477"/>
      <c r="K414" s="477"/>
      <c r="L414" s="477"/>
      <c r="M414" s="477"/>
      <c r="N414" s="477"/>
      <c r="O414" s="477"/>
      <c r="P414" s="477"/>
      <c r="Q414" s="478"/>
      <c r="R414" s="469" t="s">
        <v>865</v>
      </c>
      <c r="S414" s="470"/>
      <c r="T414" s="471"/>
      <c r="U414" s="13"/>
      <c r="V414" s="13"/>
      <c r="W414" s="13"/>
    </row>
    <row r="415" spans="2:27" ht="15" customHeight="1" x14ac:dyDescent="0.25">
      <c r="B415" s="482"/>
      <c r="C415" s="463" t="s">
        <v>849</v>
      </c>
      <c r="D415" s="463"/>
      <c r="E415" s="463"/>
      <c r="F415" s="463" t="s">
        <v>850</v>
      </c>
      <c r="G415" s="463"/>
      <c r="H415" s="463"/>
      <c r="I415" s="463" t="s">
        <v>3</v>
      </c>
      <c r="J415" s="463"/>
      <c r="K415" s="463"/>
      <c r="L415" s="463" t="s">
        <v>5</v>
      </c>
      <c r="M415" s="463"/>
      <c r="N415" s="463"/>
      <c r="O415" s="463" t="s">
        <v>859</v>
      </c>
      <c r="P415" s="463"/>
      <c r="Q415" s="463"/>
      <c r="R415" s="472"/>
      <c r="S415" s="473"/>
      <c r="T415" s="474"/>
      <c r="U415" s="13"/>
      <c r="V415" s="13"/>
      <c r="W415" s="13"/>
    </row>
    <row r="416" spans="2:27" x14ac:dyDescent="0.25">
      <c r="B416" s="483"/>
      <c r="C416" s="264" t="s">
        <v>73</v>
      </c>
      <c r="D416" s="264" t="s">
        <v>74</v>
      </c>
      <c r="E416" s="264" t="s">
        <v>25</v>
      </c>
      <c r="F416" s="264" t="s">
        <v>73</v>
      </c>
      <c r="G416" s="264" t="s">
        <v>74</v>
      </c>
      <c r="H416" s="264" t="s">
        <v>25</v>
      </c>
      <c r="I416" s="264" t="s">
        <v>73</v>
      </c>
      <c r="J416" s="264" t="s">
        <v>74</v>
      </c>
      <c r="K416" s="264" t="s">
        <v>25</v>
      </c>
      <c r="L416" s="264" t="s">
        <v>73</v>
      </c>
      <c r="M416" s="264" t="s">
        <v>74</v>
      </c>
      <c r="N416" s="319" t="s">
        <v>25</v>
      </c>
      <c r="O416" s="264" t="s">
        <v>73</v>
      </c>
      <c r="P416" s="264" t="s">
        <v>74</v>
      </c>
      <c r="Q416" s="264" t="s">
        <v>25</v>
      </c>
      <c r="R416" s="274" t="s">
        <v>73</v>
      </c>
      <c r="S416" s="274" t="s">
        <v>74</v>
      </c>
      <c r="T416" s="274" t="s">
        <v>25</v>
      </c>
      <c r="U416" s="13"/>
      <c r="V416" s="13"/>
      <c r="W416" s="13"/>
    </row>
    <row r="417" spans="2:24" x14ac:dyDescent="0.25">
      <c r="B417" s="156" t="s">
        <v>435</v>
      </c>
      <c r="C417" s="314">
        <v>8</v>
      </c>
      <c r="D417" s="314">
        <v>8</v>
      </c>
      <c r="E417" s="314">
        <v>16</v>
      </c>
      <c r="F417" s="314">
        <v>2</v>
      </c>
      <c r="G417" s="314">
        <v>7</v>
      </c>
      <c r="H417" s="314">
        <v>9</v>
      </c>
      <c r="I417" s="314">
        <v>6</v>
      </c>
      <c r="J417" s="314">
        <v>0</v>
      </c>
      <c r="K417" s="314">
        <v>6</v>
      </c>
      <c r="L417" s="314">
        <v>0</v>
      </c>
      <c r="M417" s="314">
        <v>3</v>
      </c>
      <c r="N417" s="314">
        <v>3</v>
      </c>
      <c r="O417" s="314">
        <v>0</v>
      </c>
      <c r="P417" s="314">
        <v>0</v>
      </c>
      <c r="Q417" s="314">
        <v>0</v>
      </c>
      <c r="R417" s="295">
        <v>16</v>
      </c>
      <c r="S417" s="295">
        <v>18</v>
      </c>
      <c r="T417" s="295">
        <v>34</v>
      </c>
      <c r="U417" s="13"/>
      <c r="V417" s="13"/>
      <c r="W417" s="13"/>
      <c r="X417" s="13"/>
    </row>
    <row r="418" spans="2:24" x14ac:dyDescent="0.25">
      <c r="B418" s="136" t="s">
        <v>436</v>
      </c>
      <c r="C418" s="314">
        <v>23</v>
      </c>
      <c r="D418" s="314">
        <v>17</v>
      </c>
      <c r="E418" s="314">
        <v>40</v>
      </c>
      <c r="F418" s="314">
        <v>6</v>
      </c>
      <c r="G418" s="314">
        <v>12</v>
      </c>
      <c r="H418" s="314">
        <v>18</v>
      </c>
      <c r="I418" s="314">
        <v>9</v>
      </c>
      <c r="J418" s="314">
        <v>1</v>
      </c>
      <c r="K418" s="314">
        <v>10</v>
      </c>
      <c r="L418" s="314">
        <v>5</v>
      </c>
      <c r="M418" s="314">
        <v>8</v>
      </c>
      <c r="N418" s="314">
        <v>13</v>
      </c>
      <c r="O418" s="314">
        <v>0</v>
      </c>
      <c r="P418" s="314">
        <v>0</v>
      </c>
      <c r="Q418" s="314">
        <v>0</v>
      </c>
      <c r="R418" s="295">
        <v>43</v>
      </c>
      <c r="S418" s="295">
        <v>38</v>
      </c>
      <c r="T418" s="295">
        <v>81</v>
      </c>
      <c r="U418" s="13"/>
      <c r="V418" s="13"/>
      <c r="W418" s="13"/>
      <c r="X418" s="13"/>
    </row>
    <row r="419" spans="2:24" x14ac:dyDescent="0.25">
      <c r="B419" s="136" t="s">
        <v>437</v>
      </c>
      <c r="C419" s="314">
        <v>35</v>
      </c>
      <c r="D419" s="314">
        <v>68</v>
      </c>
      <c r="E419" s="314">
        <v>103</v>
      </c>
      <c r="F419" s="314">
        <v>31</v>
      </c>
      <c r="G419" s="314">
        <v>26</v>
      </c>
      <c r="H419" s="314">
        <v>57</v>
      </c>
      <c r="I419" s="314">
        <v>18</v>
      </c>
      <c r="J419" s="314">
        <v>3</v>
      </c>
      <c r="K419" s="314">
        <v>21</v>
      </c>
      <c r="L419" s="314">
        <v>5</v>
      </c>
      <c r="M419" s="314">
        <v>10</v>
      </c>
      <c r="N419" s="314">
        <v>15</v>
      </c>
      <c r="O419" s="314">
        <v>0</v>
      </c>
      <c r="P419" s="314">
        <v>0</v>
      </c>
      <c r="Q419" s="314">
        <v>0</v>
      </c>
      <c r="R419" s="295">
        <v>89</v>
      </c>
      <c r="S419" s="295">
        <v>107</v>
      </c>
      <c r="T419" s="295">
        <v>196</v>
      </c>
      <c r="U419" s="13"/>
      <c r="V419" s="13"/>
      <c r="W419" s="13"/>
      <c r="X419" s="13"/>
    </row>
    <row r="420" spans="2:24" x14ac:dyDescent="0.25">
      <c r="B420" s="136" t="s">
        <v>438</v>
      </c>
      <c r="C420" s="314">
        <v>9</v>
      </c>
      <c r="D420" s="314">
        <v>20</v>
      </c>
      <c r="E420" s="314">
        <v>29</v>
      </c>
      <c r="F420" s="314">
        <v>7</v>
      </c>
      <c r="G420" s="314">
        <v>8</v>
      </c>
      <c r="H420" s="314">
        <v>15</v>
      </c>
      <c r="I420" s="314">
        <v>9</v>
      </c>
      <c r="J420" s="314">
        <v>2</v>
      </c>
      <c r="K420" s="314">
        <v>11</v>
      </c>
      <c r="L420" s="314">
        <v>1</v>
      </c>
      <c r="M420" s="314">
        <v>2</v>
      </c>
      <c r="N420" s="314">
        <v>3</v>
      </c>
      <c r="O420" s="314">
        <v>0</v>
      </c>
      <c r="P420" s="314">
        <v>0</v>
      </c>
      <c r="Q420" s="314">
        <v>0</v>
      </c>
      <c r="R420" s="295">
        <v>26</v>
      </c>
      <c r="S420" s="295">
        <v>32</v>
      </c>
      <c r="T420" s="295">
        <v>58</v>
      </c>
      <c r="U420" s="13"/>
      <c r="V420" s="13"/>
      <c r="W420" s="13"/>
      <c r="X420" s="13"/>
    </row>
    <row r="421" spans="2:24" x14ac:dyDescent="0.25">
      <c r="B421" s="136" t="s">
        <v>439</v>
      </c>
      <c r="C421" s="314">
        <v>11</v>
      </c>
      <c r="D421" s="314">
        <v>26</v>
      </c>
      <c r="E421" s="314">
        <v>37</v>
      </c>
      <c r="F421" s="314">
        <v>22</v>
      </c>
      <c r="G421" s="314">
        <v>8</v>
      </c>
      <c r="H421" s="314">
        <v>30</v>
      </c>
      <c r="I421" s="314">
        <v>9</v>
      </c>
      <c r="J421" s="314">
        <v>3</v>
      </c>
      <c r="K421" s="314">
        <v>12</v>
      </c>
      <c r="L421" s="314">
        <v>0</v>
      </c>
      <c r="M421" s="314">
        <v>11</v>
      </c>
      <c r="N421" s="314">
        <v>11</v>
      </c>
      <c r="O421" s="314">
        <v>0</v>
      </c>
      <c r="P421" s="314">
        <v>0</v>
      </c>
      <c r="Q421" s="314">
        <v>0</v>
      </c>
      <c r="R421" s="295">
        <v>42</v>
      </c>
      <c r="S421" s="295">
        <v>48</v>
      </c>
      <c r="T421" s="295">
        <v>90</v>
      </c>
      <c r="U421" s="13"/>
      <c r="V421" s="13"/>
      <c r="W421" s="13"/>
      <c r="X421" s="13"/>
    </row>
    <row r="422" spans="2:24" x14ac:dyDescent="0.25">
      <c r="B422" s="136" t="s">
        <v>440</v>
      </c>
      <c r="C422" s="314">
        <v>20</v>
      </c>
      <c r="D422" s="314">
        <v>27</v>
      </c>
      <c r="E422" s="314">
        <v>47</v>
      </c>
      <c r="F422" s="314">
        <v>12</v>
      </c>
      <c r="G422" s="314">
        <v>16</v>
      </c>
      <c r="H422" s="314">
        <v>28</v>
      </c>
      <c r="I422" s="314">
        <v>12</v>
      </c>
      <c r="J422" s="314">
        <v>4</v>
      </c>
      <c r="K422" s="314">
        <v>16</v>
      </c>
      <c r="L422" s="314">
        <v>4</v>
      </c>
      <c r="M422" s="314">
        <v>12</v>
      </c>
      <c r="N422" s="314">
        <v>16</v>
      </c>
      <c r="O422" s="314">
        <v>0</v>
      </c>
      <c r="P422" s="314">
        <v>0</v>
      </c>
      <c r="Q422" s="314">
        <v>0</v>
      </c>
      <c r="R422" s="295">
        <v>48</v>
      </c>
      <c r="S422" s="295">
        <v>59</v>
      </c>
      <c r="T422" s="295">
        <v>107</v>
      </c>
      <c r="U422" s="13"/>
      <c r="V422" s="13"/>
      <c r="W422" s="13"/>
      <c r="X422" s="13"/>
    </row>
    <row r="423" spans="2:24" x14ac:dyDescent="0.25">
      <c r="B423" s="136" t="s">
        <v>441</v>
      </c>
      <c r="C423" s="314">
        <v>6</v>
      </c>
      <c r="D423" s="314">
        <v>11</v>
      </c>
      <c r="E423" s="314">
        <v>17</v>
      </c>
      <c r="F423" s="314">
        <v>3</v>
      </c>
      <c r="G423" s="314">
        <v>3</v>
      </c>
      <c r="H423" s="314">
        <v>6</v>
      </c>
      <c r="I423" s="314">
        <v>3</v>
      </c>
      <c r="J423" s="314">
        <v>1</v>
      </c>
      <c r="K423" s="314">
        <v>4</v>
      </c>
      <c r="L423" s="314">
        <v>0</v>
      </c>
      <c r="M423" s="314">
        <v>6</v>
      </c>
      <c r="N423" s="314">
        <v>6</v>
      </c>
      <c r="O423" s="314">
        <v>0</v>
      </c>
      <c r="P423" s="314">
        <v>0</v>
      </c>
      <c r="Q423" s="314">
        <v>0</v>
      </c>
      <c r="R423" s="295">
        <v>12</v>
      </c>
      <c r="S423" s="295">
        <v>21</v>
      </c>
      <c r="T423" s="295">
        <v>33</v>
      </c>
      <c r="U423" s="13"/>
      <c r="V423" s="13"/>
      <c r="W423" s="13"/>
      <c r="X423" s="13"/>
    </row>
    <row r="424" spans="2:24" x14ac:dyDescent="0.25">
      <c r="B424" s="136" t="s">
        <v>442</v>
      </c>
      <c r="C424" s="314">
        <v>26</v>
      </c>
      <c r="D424" s="314">
        <v>32</v>
      </c>
      <c r="E424" s="314">
        <v>58</v>
      </c>
      <c r="F424" s="314">
        <v>15</v>
      </c>
      <c r="G424" s="314">
        <v>14</v>
      </c>
      <c r="H424" s="314">
        <v>29</v>
      </c>
      <c r="I424" s="314">
        <v>17</v>
      </c>
      <c r="J424" s="314">
        <v>4</v>
      </c>
      <c r="K424" s="314">
        <v>21</v>
      </c>
      <c r="L424" s="314">
        <v>8</v>
      </c>
      <c r="M424" s="314">
        <v>14</v>
      </c>
      <c r="N424" s="314">
        <v>22</v>
      </c>
      <c r="O424" s="314">
        <v>0</v>
      </c>
      <c r="P424" s="314">
        <v>0</v>
      </c>
      <c r="Q424" s="314">
        <v>0</v>
      </c>
      <c r="R424" s="295">
        <v>66</v>
      </c>
      <c r="S424" s="295">
        <v>64</v>
      </c>
      <c r="T424" s="295">
        <v>130</v>
      </c>
      <c r="U424" s="13"/>
      <c r="V424" s="13"/>
      <c r="W424" s="13"/>
      <c r="X424" s="13"/>
    </row>
    <row r="425" spans="2:24" x14ac:dyDescent="0.25">
      <c r="B425" s="136" t="s">
        <v>443</v>
      </c>
      <c r="C425" s="314">
        <v>32</v>
      </c>
      <c r="D425" s="314">
        <v>44</v>
      </c>
      <c r="E425" s="314">
        <v>76</v>
      </c>
      <c r="F425" s="314">
        <v>23</v>
      </c>
      <c r="G425" s="314">
        <v>17</v>
      </c>
      <c r="H425" s="314">
        <v>40</v>
      </c>
      <c r="I425" s="314">
        <v>28</v>
      </c>
      <c r="J425" s="314">
        <v>10</v>
      </c>
      <c r="K425" s="314">
        <v>38</v>
      </c>
      <c r="L425" s="314">
        <v>7</v>
      </c>
      <c r="M425" s="314">
        <v>13</v>
      </c>
      <c r="N425" s="314">
        <v>20</v>
      </c>
      <c r="O425" s="314">
        <v>0</v>
      </c>
      <c r="P425" s="314">
        <v>0</v>
      </c>
      <c r="Q425" s="314">
        <v>0</v>
      </c>
      <c r="R425" s="295">
        <v>90</v>
      </c>
      <c r="S425" s="295">
        <v>84</v>
      </c>
      <c r="T425" s="295">
        <v>174</v>
      </c>
      <c r="U425" s="13"/>
      <c r="V425" s="13"/>
      <c r="W425" s="13"/>
      <c r="X425" s="13"/>
    </row>
    <row r="426" spans="2:24" x14ac:dyDescent="0.25">
      <c r="B426" s="136" t="s">
        <v>444</v>
      </c>
      <c r="C426" s="314">
        <v>41</v>
      </c>
      <c r="D426" s="314">
        <v>41</v>
      </c>
      <c r="E426" s="314">
        <v>82</v>
      </c>
      <c r="F426" s="314">
        <v>20</v>
      </c>
      <c r="G426" s="314">
        <v>16</v>
      </c>
      <c r="H426" s="314">
        <v>36</v>
      </c>
      <c r="I426" s="314">
        <v>24</v>
      </c>
      <c r="J426" s="314">
        <v>11</v>
      </c>
      <c r="K426" s="314">
        <v>35</v>
      </c>
      <c r="L426" s="314">
        <v>4</v>
      </c>
      <c r="M426" s="314">
        <v>8</v>
      </c>
      <c r="N426" s="314">
        <v>12</v>
      </c>
      <c r="O426" s="314">
        <v>0</v>
      </c>
      <c r="P426" s="314">
        <v>0</v>
      </c>
      <c r="Q426" s="314">
        <v>0</v>
      </c>
      <c r="R426" s="295">
        <v>89</v>
      </c>
      <c r="S426" s="295">
        <v>76</v>
      </c>
      <c r="T426" s="295">
        <v>165</v>
      </c>
      <c r="U426" s="13"/>
      <c r="V426" s="13"/>
      <c r="W426" s="13"/>
      <c r="X426" s="13"/>
    </row>
    <row r="427" spans="2:24" x14ac:dyDescent="0.25">
      <c r="B427" s="136" t="s">
        <v>503</v>
      </c>
      <c r="C427" s="314">
        <v>18</v>
      </c>
      <c r="D427" s="314">
        <v>31</v>
      </c>
      <c r="E427" s="314">
        <v>49</v>
      </c>
      <c r="F427" s="314">
        <v>12</v>
      </c>
      <c r="G427" s="314">
        <v>12</v>
      </c>
      <c r="H427" s="314">
        <v>24</v>
      </c>
      <c r="I427" s="314">
        <v>21</v>
      </c>
      <c r="J427" s="314">
        <v>9</v>
      </c>
      <c r="K427" s="314">
        <v>30</v>
      </c>
      <c r="L427" s="314">
        <v>5</v>
      </c>
      <c r="M427" s="314">
        <v>12</v>
      </c>
      <c r="N427" s="314">
        <v>17</v>
      </c>
      <c r="O427" s="314">
        <v>0</v>
      </c>
      <c r="P427" s="314">
        <v>0</v>
      </c>
      <c r="Q427" s="314">
        <v>0</v>
      </c>
      <c r="R427" s="295">
        <v>56</v>
      </c>
      <c r="S427" s="295">
        <v>64</v>
      </c>
      <c r="T427" s="295">
        <v>120</v>
      </c>
      <c r="U427" s="13"/>
      <c r="V427" s="13"/>
      <c r="W427" s="13"/>
      <c r="X427" s="13"/>
    </row>
    <row r="428" spans="2:24" x14ac:dyDescent="0.25">
      <c r="B428" s="136" t="s">
        <v>446</v>
      </c>
      <c r="C428" s="314">
        <v>178</v>
      </c>
      <c r="D428" s="314">
        <v>154</v>
      </c>
      <c r="E428" s="314">
        <v>332</v>
      </c>
      <c r="F428" s="314">
        <v>151</v>
      </c>
      <c r="G428" s="314">
        <v>96</v>
      </c>
      <c r="H428" s="314">
        <v>247</v>
      </c>
      <c r="I428" s="314">
        <v>90</v>
      </c>
      <c r="J428" s="314">
        <v>31</v>
      </c>
      <c r="K428" s="314">
        <v>121</v>
      </c>
      <c r="L428" s="314">
        <v>53</v>
      </c>
      <c r="M428" s="314">
        <v>60</v>
      </c>
      <c r="N428" s="314">
        <v>113</v>
      </c>
      <c r="O428" s="314">
        <v>0</v>
      </c>
      <c r="P428" s="314">
        <v>0</v>
      </c>
      <c r="Q428" s="314">
        <v>0</v>
      </c>
      <c r="R428" s="295">
        <v>472</v>
      </c>
      <c r="S428" s="295">
        <v>341</v>
      </c>
      <c r="T428" s="295">
        <v>813</v>
      </c>
      <c r="U428" s="13"/>
      <c r="V428" s="13"/>
      <c r="W428" s="13"/>
      <c r="X428" s="13"/>
    </row>
    <row r="429" spans="2:24" x14ac:dyDescent="0.25">
      <c r="B429" s="260" t="s">
        <v>25</v>
      </c>
      <c r="C429" s="282">
        <v>407</v>
      </c>
      <c r="D429" s="282">
        <v>479</v>
      </c>
      <c r="E429" s="282">
        <v>886</v>
      </c>
      <c r="F429" s="282">
        <v>304</v>
      </c>
      <c r="G429" s="282">
        <v>235</v>
      </c>
      <c r="H429" s="285">
        <v>539</v>
      </c>
      <c r="I429" s="282">
        <v>246</v>
      </c>
      <c r="J429" s="285">
        <v>79</v>
      </c>
      <c r="K429" s="282">
        <v>325</v>
      </c>
      <c r="L429" s="285">
        <v>92</v>
      </c>
      <c r="M429" s="282">
        <v>159</v>
      </c>
      <c r="N429" s="285">
        <v>251</v>
      </c>
      <c r="O429" s="285">
        <v>0</v>
      </c>
      <c r="P429" s="282">
        <v>0</v>
      </c>
      <c r="Q429" s="285">
        <v>0</v>
      </c>
      <c r="R429" s="295">
        <v>1049</v>
      </c>
      <c r="S429" s="295">
        <v>952</v>
      </c>
      <c r="T429" s="295">
        <v>2001</v>
      </c>
      <c r="U429" s="13"/>
      <c r="V429" s="13"/>
      <c r="W429" s="13"/>
      <c r="X429" s="13"/>
    </row>
    <row r="430" spans="2:24" ht="84.75" customHeight="1" x14ac:dyDescent="0.25">
      <c r="B430" s="468" t="s">
        <v>866</v>
      </c>
      <c r="C430" s="468"/>
      <c r="D430" s="468"/>
      <c r="E430" s="468"/>
      <c r="F430" s="468"/>
      <c r="G430" s="468"/>
      <c r="H430" s="468"/>
      <c r="I430" s="468"/>
      <c r="J430" s="468"/>
      <c r="K430" s="468"/>
      <c r="L430" s="468"/>
      <c r="M430" s="468"/>
      <c r="N430" s="468"/>
      <c r="O430" s="468"/>
      <c r="P430" s="468"/>
      <c r="Q430" s="468"/>
      <c r="R430" s="13"/>
      <c r="S430" s="13"/>
      <c r="T430" s="13"/>
      <c r="U430" s="13"/>
      <c r="V430" s="13"/>
      <c r="W430" s="13"/>
    </row>
    <row r="431" spans="2:24" x14ac:dyDescent="0.25">
      <c r="B431" s="251"/>
      <c r="C431" s="251"/>
      <c r="D431" s="251"/>
      <c r="E431" s="251"/>
      <c r="F431" s="251"/>
      <c r="G431" s="251"/>
      <c r="H431" s="251"/>
      <c r="I431" s="251"/>
      <c r="J431" s="251"/>
      <c r="K431" s="251"/>
      <c r="L431" s="251"/>
      <c r="M431" s="251"/>
      <c r="N431" s="251"/>
      <c r="O431" s="251"/>
      <c r="P431" s="251"/>
      <c r="Q431" s="251"/>
      <c r="R431" s="13"/>
      <c r="S431" s="13"/>
      <c r="T431" s="13"/>
      <c r="U431" s="13"/>
      <c r="V431" s="13"/>
      <c r="W431" s="13"/>
    </row>
    <row r="432" spans="2:24" x14ac:dyDescent="0.25">
      <c r="B432" s="157"/>
      <c r="C432" s="157"/>
      <c r="D432" s="157"/>
      <c r="E432"/>
      <c r="F432"/>
      <c r="G432"/>
      <c r="H432" s="13"/>
      <c r="I432" s="13"/>
      <c r="J432" s="13"/>
      <c r="K432" s="13"/>
      <c r="L432" s="13"/>
      <c r="M432" s="13"/>
      <c r="N432" s="13"/>
      <c r="O432" s="13"/>
      <c r="P432" s="13"/>
      <c r="Q432" s="13"/>
      <c r="R432" s="13"/>
      <c r="S432" s="13"/>
      <c r="T432" s="13"/>
      <c r="U432" s="13"/>
      <c r="V432" s="13"/>
      <c r="W432" s="13"/>
    </row>
    <row r="433" spans="2:27" x14ac:dyDescent="0.25">
      <c r="B433" s="186" t="s">
        <v>514</v>
      </c>
      <c r="C433"/>
      <c r="D433"/>
      <c r="E433"/>
      <c r="F433"/>
      <c r="G433"/>
      <c r="H433" s="13"/>
      <c r="I433" s="13"/>
      <c r="J433" s="13"/>
      <c r="K433" s="13"/>
      <c r="L433" s="13"/>
      <c r="M433" s="13"/>
      <c r="N433" s="13"/>
      <c r="O433" s="13"/>
      <c r="P433" s="13"/>
      <c r="Q433" s="13"/>
      <c r="R433" s="13"/>
      <c r="S433" s="13"/>
      <c r="T433" s="13"/>
      <c r="U433" s="13"/>
      <c r="V433" s="13"/>
      <c r="W433" s="13"/>
    </row>
    <row r="434" spans="2:27" x14ac:dyDescent="0.25">
      <c r="B434" s="186"/>
      <c r="C434"/>
      <c r="D434"/>
      <c r="E434"/>
      <c r="F434"/>
      <c r="G434"/>
      <c r="H434" s="13"/>
      <c r="I434" s="13"/>
      <c r="J434" s="13"/>
      <c r="K434" s="13"/>
      <c r="L434" s="13"/>
      <c r="M434" s="13"/>
      <c r="N434" s="13"/>
      <c r="O434" s="13"/>
      <c r="P434" s="13"/>
      <c r="Q434" s="13"/>
      <c r="R434" s="13"/>
      <c r="S434" s="13"/>
      <c r="T434" s="13"/>
      <c r="U434" s="13"/>
      <c r="V434" s="13"/>
      <c r="W434" s="13"/>
    </row>
    <row r="435" spans="2:27" ht="15" customHeight="1" x14ac:dyDescent="0.25">
      <c r="B435" s="432" t="s">
        <v>532</v>
      </c>
      <c r="C435" s="476" t="s">
        <v>477</v>
      </c>
      <c r="D435" s="477"/>
      <c r="E435" s="477"/>
      <c r="F435" s="477"/>
      <c r="G435" s="477"/>
      <c r="H435" s="477"/>
      <c r="I435" s="477"/>
      <c r="J435" s="477"/>
      <c r="K435" s="477"/>
      <c r="L435" s="477"/>
      <c r="M435" s="477"/>
      <c r="N435" s="477"/>
      <c r="O435" s="477"/>
      <c r="P435" s="477"/>
      <c r="Q435" s="478"/>
      <c r="R435" s="469" t="s">
        <v>865</v>
      </c>
      <c r="S435" s="470"/>
      <c r="T435" s="471"/>
      <c r="U435" s="13"/>
      <c r="V435" s="13"/>
      <c r="W435" s="13"/>
      <c r="X435" s="13"/>
      <c r="Y435" s="13"/>
      <c r="Z435" s="13"/>
    </row>
    <row r="436" spans="2:27" ht="15" customHeight="1" x14ac:dyDescent="0.25">
      <c r="B436" s="432"/>
      <c r="C436" s="463" t="s">
        <v>849</v>
      </c>
      <c r="D436" s="463"/>
      <c r="E436" s="463"/>
      <c r="F436" s="463" t="s">
        <v>850</v>
      </c>
      <c r="G436" s="463"/>
      <c r="H436" s="463"/>
      <c r="I436" s="463" t="s">
        <v>3</v>
      </c>
      <c r="J436" s="463"/>
      <c r="K436" s="463"/>
      <c r="L436" s="463" t="s">
        <v>5</v>
      </c>
      <c r="M436" s="463"/>
      <c r="N436" s="463"/>
      <c r="O436" s="463" t="s">
        <v>859</v>
      </c>
      <c r="P436" s="463"/>
      <c r="Q436" s="463"/>
      <c r="R436" s="472"/>
      <c r="S436" s="473"/>
      <c r="T436" s="474"/>
      <c r="U436" s="13"/>
      <c r="V436" s="13"/>
      <c r="W436" s="13"/>
      <c r="X436" s="13"/>
      <c r="Y436" s="13"/>
      <c r="Z436" s="13"/>
    </row>
    <row r="437" spans="2:27" x14ac:dyDescent="0.25">
      <c r="B437" s="432"/>
      <c r="C437" s="264" t="s">
        <v>73</v>
      </c>
      <c r="D437" s="264" t="s">
        <v>74</v>
      </c>
      <c r="E437" s="264" t="s">
        <v>25</v>
      </c>
      <c r="F437" s="264" t="s">
        <v>73</v>
      </c>
      <c r="G437" s="264" t="s">
        <v>74</v>
      </c>
      <c r="H437" s="264" t="s">
        <v>25</v>
      </c>
      <c r="I437" s="264" t="s">
        <v>73</v>
      </c>
      <c r="J437" s="264" t="s">
        <v>74</v>
      </c>
      <c r="K437" s="264" t="s">
        <v>25</v>
      </c>
      <c r="L437" s="264" t="s">
        <v>73</v>
      </c>
      <c r="M437" s="264" t="s">
        <v>74</v>
      </c>
      <c r="N437" s="319" t="s">
        <v>25</v>
      </c>
      <c r="O437" s="264" t="s">
        <v>73</v>
      </c>
      <c r="P437" s="264" t="s">
        <v>74</v>
      </c>
      <c r="Q437" s="264" t="s">
        <v>25</v>
      </c>
      <c r="R437" s="274" t="s">
        <v>73</v>
      </c>
      <c r="S437" s="274" t="s">
        <v>74</v>
      </c>
      <c r="T437" s="274" t="s">
        <v>25</v>
      </c>
      <c r="U437" s="13"/>
      <c r="V437" s="13"/>
      <c r="W437" s="13"/>
      <c r="X437" s="13"/>
      <c r="Y437" s="13"/>
      <c r="Z437" s="13"/>
    </row>
    <row r="438" spans="2:27" x14ac:dyDescent="0.25">
      <c r="B438" s="156" t="s">
        <v>334</v>
      </c>
      <c r="C438" s="314">
        <v>54</v>
      </c>
      <c r="D438" s="314">
        <v>41</v>
      </c>
      <c r="E438" s="314">
        <v>95</v>
      </c>
      <c r="F438" s="314">
        <v>44</v>
      </c>
      <c r="G438" s="314">
        <v>26</v>
      </c>
      <c r="H438" s="314">
        <v>70</v>
      </c>
      <c r="I438" s="314">
        <v>33</v>
      </c>
      <c r="J438" s="314">
        <v>14</v>
      </c>
      <c r="K438" s="314">
        <v>47</v>
      </c>
      <c r="L438" s="314">
        <v>6</v>
      </c>
      <c r="M438" s="314">
        <v>14</v>
      </c>
      <c r="N438" s="324">
        <v>20</v>
      </c>
      <c r="O438" s="314">
        <v>0</v>
      </c>
      <c r="P438" s="314">
        <v>0</v>
      </c>
      <c r="Q438" s="324">
        <v>0</v>
      </c>
      <c r="R438" s="295">
        <v>137</v>
      </c>
      <c r="S438" s="295">
        <v>95</v>
      </c>
      <c r="T438" s="295">
        <v>232</v>
      </c>
      <c r="U438" s="13"/>
      <c r="V438" s="13"/>
      <c r="W438" s="13"/>
      <c r="X438" s="13"/>
      <c r="Y438" s="13"/>
      <c r="Z438" s="13"/>
      <c r="AA438" s="13"/>
    </row>
    <row r="439" spans="2:27" x14ac:dyDescent="0.25">
      <c r="B439" s="136" t="s">
        <v>335</v>
      </c>
      <c r="C439" s="316">
        <v>34</v>
      </c>
      <c r="D439" s="316">
        <v>41</v>
      </c>
      <c r="E439" s="316">
        <v>75</v>
      </c>
      <c r="F439" s="316">
        <v>9</v>
      </c>
      <c r="G439" s="316">
        <v>10</v>
      </c>
      <c r="H439" s="316">
        <v>19</v>
      </c>
      <c r="I439" s="316">
        <v>15</v>
      </c>
      <c r="J439" s="316">
        <v>6</v>
      </c>
      <c r="K439" s="316">
        <v>21</v>
      </c>
      <c r="L439" s="316">
        <v>3</v>
      </c>
      <c r="M439" s="316">
        <v>7</v>
      </c>
      <c r="N439" s="320">
        <v>10</v>
      </c>
      <c r="O439" s="316">
        <v>0</v>
      </c>
      <c r="P439" s="316">
        <v>0</v>
      </c>
      <c r="Q439" s="320">
        <v>0</v>
      </c>
      <c r="R439" s="295">
        <v>61</v>
      </c>
      <c r="S439" s="295">
        <v>64</v>
      </c>
      <c r="T439" s="295">
        <v>125</v>
      </c>
      <c r="U439" s="13"/>
      <c r="V439" s="13"/>
      <c r="W439" s="13"/>
      <c r="X439" s="13"/>
      <c r="Y439" s="13"/>
      <c r="Z439" s="13"/>
      <c r="AA439" s="13"/>
    </row>
    <row r="440" spans="2:27" x14ac:dyDescent="0.25">
      <c r="B440" s="136" t="s">
        <v>336</v>
      </c>
      <c r="C440" s="316">
        <v>42</v>
      </c>
      <c r="D440" s="316">
        <v>49</v>
      </c>
      <c r="E440" s="316">
        <v>91</v>
      </c>
      <c r="F440" s="316">
        <v>43</v>
      </c>
      <c r="G440" s="316">
        <v>24</v>
      </c>
      <c r="H440" s="316">
        <v>67</v>
      </c>
      <c r="I440" s="316">
        <v>20</v>
      </c>
      <c r="J440" s="316">
        <v>15</v>
      </c>
      <c r="K440" s="316">
        <v>35</v>
      </c>
      <c r="L440" s="316">
        <v>16</v>
      </c>
      <c r="M440" s="316">
        <v>23</v>
      </c>
      <c r="N440" s="320">
        <v>39</v>
      </c>
      <c r="O440" s="316">
        <v>0</v>
      </c>
      <c r="P440" s="316">
        <v>0</v>
      </c>
      <c r="Q440" s="320">
        <v>0</v>
      </c>
      <c r="R440" s="295">
        <v>121</v>
      </c>
      <c r="S440" s="295">
        <v>111</v>
      </c>
      <c r="T440" s="295">
        <v>232</v>
      </c>
      <c r="U440" s="13"/>
      <c r="V440" s="13"/>
      <c r="W440" s="13"/>
      <c r="X440" s="13"/>
      <c r="Y440" s="13"/>
      <c r="Z440" s="13"/>
      <c r="AA440" s="13"/>
    </row>
    <row r="441" spans="2:27" x14ac:dyDescent="0.25">
      <c r="B441" s="136" t="s">
        <v>337</v>
      </c>
      <c r="C441" s="316">
        <v>6</v>
      </c>
      <c r="D441" s="316">
        <v>8</v>
      </c>
      <c r="E441" s="316">
        <v>14</v>
      </c>
      <c r="F441" s="316">
        <v>2</v>
      </c>
      <c r="G441" s="316">
        <v>1</v>
      </c>
      <c r="H441" s="316">
        <v>3</v>
      </c>
      <c r="I441" s="316">
        <v>1</v>
      </c>
      <c r="J441" s="316">
        <v>1</v>
      </c>
      <c r="K441" s="316">
        <v>2</v>
      </c>
      <c r="L441" s="316">
        <v>1</v>
      </c>
      <c r="M441" s="316">
        <v>0</v>
      </c>
      <c r="N441" s="320">
        <v>1</v>
      </c>
      <c r="O441" s="316">
        <v>0</v>
      </c>
      <c r="P441" s="316">
        <v>0</v>
      </c>
      <c r="Q441" s="320">
        <v>0</v>
      </c>
      <c r="R441" s="295">
        <v>10</v>
      </c>
      <c r="S441" s="295">
        <v>10</v>
      </c>
      <c r="T441" s="295">
        <v>20</v>
      </c>
      <c r="U441" s="13"/>
      <c r="V441" s="13"/>
      <c r="W441" s="13"/>
      <c r="X441" s="13"/>
      <c r="Y441" s="13"/>
      <c r="Z441" s="13"/>
      <c r="AA441" s="13"/>
    </row>
    <row r="442" spans="2:27" x14ac:dyDescent="0.25">
      <c r="B442" s="136" t="s">
        <v>338</v>
      </c>
      <c r="C442" s="316">
        <v>19</v>
      </c>
      <c r="D442" s="316">
        <v>15</v>
      </c>
      <c r="E442" s="316">
        <v>34</v>
      </c>
      <c r="F442" s="316">
        <v>9</v>
      </c>
      <c r="G442" s="316">
        <v>8</v>
      </c>
      <c r="H442" s="316">
        <v>17</v>
      </c>
      <c r="I442" s="316">
        <v>7</v>
      </c>
      <c r="J442" s="316">
        <v>4</v>
      </c>
      <c r="K442" s="316">
        <v>11</v>
      </c>
      <c r="L442" s="316">
        <v>4</v>
      </c>
      <c r="M442" s="316">
        <v>5</v>
      </c>
      <c r="N442" s="320">
        <v>9</v>
      </c>
      <c r="O442" s="316">
        <v>0</v>
      </c>
      <c r="P442" s="316">
        <v>0</v>
      </c>
      <c r="Q442" s="320">
        <v>0</v>
      </c>
      <c r="R442" s="295">
        <v>39</v>
      </c>
      <c r="S442" s="295">
        <v>32</v>
      </c>
      <c r="T442" s="295">
        <v>71</v>
      </c>
      <c r="U442" s="13"/>
      <c r="V442" s="13"/>
      <c r="W442" s="13"/>
      <c r="X442" s="13"/>
      <c r="Y442" s="13"/>
      <c r="Z442" s="13"/>
      <c r="AA442" s="13"/>
    </row>
    <row r="443" spans="2:27" x14ac:dyDescent="0.25">
      <c r="B443" s="136" t="s">
        <v>339</v>
      </c>
      <c r="C443" s="316">
        <v>5</v>
      </c>
      <c r="D443" s="316">
        <v>4</v>
      </c>
      <c r="E443" s="316">
        <v>9</v>
      </c>
      <c r="F443" s="316">
        <v>2</v>
      </c>
      <c r="G443" s="316">
        <v>4</v>
      </c>
      <c r="H443" s="316">
        <v>6</v>
      </c>
      <c r="I443" s="316">
        <v>3</v>
      </c>
      <c r="J443" s="316">
        <v>1</v>
      </c>
      <c r="K443" s="316">
        <v>4</v>
      </c>
      <c r="L443" s="316">
        <v>0</v>
      </c>
      <c r="M443" s="316">
        <v>1</v>
      </c>
      <c r="N443" s="320">
        <v>1</v>
      </c>
      <c r="O443" s="316">
        <v>0</v>
      </c>
      <c r="P443" s="316">
        <v>0</v>
      </c>
      <c r="Q443" s="320">
        <v>0</v>
      </c>
      <c r="R443" s="295">
        <v>10</v>
      </c>
      <c r="S443" s="295">
        <v>10</v>
      </c>
      <c r="T443" s="295">
        <v>20</v>
      </c>
      <c r="U443" s="13"/>
      <c r="V443" s="13"/>
      <c r="W443" s="13"/>
      <c r="X443" s="13"/>
      <c r="Y443" s="13"/>
      <c r="Z443" s="13"/>
      <c r="AA443" s="13"/>
    </row>
    <row r="444" spans="2:27" x14ac:dyDescent="0.25">
      <c r="B444" s="136" t="s">
        <v>340</v>
      </c>
      <c r="C444" s="316">
        <v>3</v>
      </c>
      <c r="D444" s="316">
        <v>3</v>
      </c>
      <c r="E444" s="316">
        <v>6</v>
      </c>
      <c r="F444" s="316">
        <v>1</v>
      </c>
      <c r="G444" s="316">
        <v>0</v>
      </c>
      <c r="H444" s="316">
        <v>1</v>
      </c>
      <c r="I444" s="316">
        <v>2</v>
      </c>
      <c r="J444" s="316">
        <v>1</v>
      </c>
      <c r="K444" s="316">
        <v>3</v>
      </c>
      <c r="L444" s="316">
        <v>1</v>
      </c>
      <c r="M444" s="316">
        <v>1</v>
      </c>
      <c r="N444" s="320">
        <v>2</v>
      </c>
      <c r="O444" s="316">
        <v>0</v>
      </c>
      <c r="P444" s="316">
        <v>0</v>
      </c>
      <c r="Q444" s="320">
        <v>0</v>
      </c>
      <c r="R444" s="295">
        <v>7</v>
      </c>
      <c r="S444" s="295">
        <v>5</v>
      </c>
      <c r="T444" s="295">
        <v>12</v>
      </c>
      <c r="U444" s="13"/>
      <c r="V444" s="13"/>
      <c r="W444" s="13"/>
      <c r="X444" s="13"/>
      <c r="Y444" s="13"/>
      <c r="Z444" s="13"/>
      <c r="AA444" s="13"/>
    </row>
    <row r="445" spans="2:27" x14ac:dyDescent="0.25">
      <c r="B445" s="136" t="s">
        <v>341</v>
      </c>
      <c r="C445" s="316">
        <v>14</v>
      </c>
      <c r="D445" s="316">
        <v>26</v>
      </c>
      <c r="E445" s="316">
        <v>40</v>
      </c>
      <c r="F445" s="316">
        <v>4</v>
      </c>
      <c r="G445" s="316">
        <v>8</v>
      </c>
      <c r="H445" s="316">
        <v>12</v>
      </c>
      <c r="I445" s="316">
        <v>10</v>
      </c>
      <c r="J445" s="316">
        <v>2</v>
      </c>
      <c r="K445" s="316">
        <v>12</v>
      </c>
      <c r="L445" s="316">
        <v>2</v>
      </c>
      <c r="M445" s="316">
        <v>4</v>
      </c>
      <c r="N445" s="320">
        <v>6</v>
      </c>
      <c r="O445" s="316">
        <v>0</v>
      </c>
      <c r="P445" s="316">
        <v>0</v>
      </c>
      <c r="Q445" s="320">
        <v>0</v>
      </c>
      <c r="R445" s="295">
        <v>30</v>
      </c>
      <c r="S445" s="295">
        <v>40</v>
      </c>
      <c r="T445" s="295">
        <v>70</v>
      </c>
      <c r="U445" s="13"/>
      <c r="V445" s="13"/>
      <c r="W445" s="13"/>
      <c r="X445" s="13"/>
      <c r="Y445" s="13"/>
      <c r="Z445" s="13"/>
      <c r="AA445" s="13"/>
    </row>
    <row r="446" spans="2:27" x14ac:dyDescent="0.25">
      <c r="B446" s="136" t="s">
        <v>342</v>
      </c>
      <c r="C446" s="316">
        <v>18</v>
      </c>
      <c r="D446" s="316">
        <v>18</v>
      </c>
      <c r="E446" s="316">
        <v>36</v>
      </c>
      <c r="F446" s="316">
        <v>11</v>
      </c>
      <c r="G446" s="316">
        <v>11</v>
      </c>
      <c r="H446" s="316">
        <v>22</v>
      </c>
      <c r="I446" s="316">
        <v>13</v>
      </c>
      <c r="J446" s="316">
        <v>1</v>
      </c>
      <c r="K446" s="316">
        <v>14</v>
      </c>
      <c r="L446" s="316">
        <v>3</v>
      </c>
      <c r="M446" s="316">
        <v>4</v>
      </c>
      <c r="N446" s="320">
        <v>7</v>
      </c>
      <c r="O446" s="316">
        <v>0</v>
      </c>
      <c r="P446" s="316">
        <v>0</v>
      </c>
      <c r="Q446" s="320">
        <v>0</v>
      </c>
      <c r="R446" s="295">
        <v>45</v>
      </c>
      <c r="S446" s="295">
        <v>34</v>
      </c>
      <c r="T446" s="295">
        <v>79</v>
      </c>
      <c r="U446" s="13"/>
      <c r="V446" s="13"/>
      <c r="W446" s="13"/>
      <c r="X446" s="13"/>
      <c r="Y446" s="13"/>
      <c r="Z446" s="13"/>
      <c r="AA446" s="13"/>
    </row>
    <row r="447" spans="2:27" x14ac:dyDescent="0.25">
      <c r="B447" s="136" t="s">
        <v>343</v>
      </c>
      <c r="C447" s="316">
        <v>35</v>
      </c>
      <c r="D447" s="316">
        <v>24</v>
      </c>
      <c r="E447" s="316">
        <v>59</v>
      </c>
      <c r="F447" s="316">
        <v>24</v>
      </c>
      <c r="G447" s="316">
        <v>13</v>
      </c>
      <c r="H447" s="316">
        <v>37</v>
      </c>
      <c r="I447" s="316">
        <v>8</v>
      </c>
      <c r="J447" s="316">
        <v>1</v>
      </c>
      <c r="K447" s="316">
        <v>9</v>
      </c>
      <c r="L447" s="316">
        <v>1</v>
      </c>
      <c r="M447" s="316">
        <v>3</v>
      </c>
      <c r="N447" s="320">
        <v>4</v>
      </c>
      <c r="O447" s="316">
        <v>0</v>
      </c>
      <c r="P447" s="316">
        <v>0</v>
      </c>
      <c r="Q447" s="320">
        <v>0</v>
      </c>
      <c r="R447" s="295">
        <v>68</v>
      </c>
      <c r="S447" s="295">
        <v>41</v>
      </c>
      <c r="T447" s="295">
        <v>109</v>
      </c>
      <c r="U447" s="13"/>
      <c r="V447" s="13"/>
      <c r="W447" s="13"/>
      <c r="X447" s="13"/>
      <c r="Y447" s="13"/>
      <c r="Z447" s="13"/>
      <c r="AA447" s="13"/>
    </row>
    <row r="448" spans="2:27" x14ac:dyDescent="0.25">
      <c r="B448" s="136" t="s">
        <v>344</v>
      </c>
      <c r="C448" s="316">
        <v>1</v>
      </c>
      <c r="D448" s="316">
        <v>4</v>
      </c>
      <c r="E448" s="316">
        <v>5</v>
      </c>
      <c r="F448" s="316">
        <v>2</v>
      </c>
      <c r="G448" s="316">
        <v>0</v>
      </c>
      <c r="H448" s="316">
        <v>2</v>
      </c>
      <c r="I448" s="316">
        <v>0</v>
      </c>
      <c r="J448" s="316">
        <v>1</v>
      </c>
      <c r="K448" s="316">
        <v>1</v>
      </c>
      <c r="L448" s="316">
        <v>0</v>
      </c>
      <c r="M448" s="316">
        <v>0</v>
      </c>
      <c r="N448" s="320">
        <v>0</v>
      </c>
      <c r="O448" s="316">
        <v>0</v>
      </c>
      <c r="P448" s="316">
        <v>0</v>
      </c>
      <c r="Q448" s="320">
        <v>0</v>
      </c>
      <c r="R448" s="295">
        <v>3</v>
      </c>
      <c r="S448" s="295">
        <v>5</v>
      </c>
      <c r="T448" s="295">
        <v>8</v>
      </c>
      <c r="U448" s="13"/>
      <c r="V448" s="13"/>
      <c r="W448" s="13"/>
      <c r="X448" s="13"/>
      <c r="Y448" s="13"/>
      <c r="Z448" s="13"/>
      <c r="AA448" s="13"/>
    </row>
    <row r="449" spans="2:27" x14ac:dyDescent="0.25">
      <c r="B449" s="136" t="s">
        <v>345</v>
      </c>
      <c r="C449" s="316">
        <v>11</v>
      </c>
      <c r="D449" s="316">
        <v>13</v>
      </c>
      <c r="E449" s="316">
        <v>24</v>
      </c>
      <c r="F449" s="316">
        <v>2</v>
      </c>
      <c r="G449" s="316">
        <v>7</v>
      </c>
      <c r="H449" s="316">
        <v>9</v>
      </c>
      <c r="I449" s="316">
        <v>12</v>
      </c>
      <c r="J449" s="316">
        <v>1</v>
      </c>
      <c r="K449" s="316">
        <v>13</v>
      </c>
      <c r="L449" s="316">
        <v>0</v>
      </c>
      <c r="M449" s="316">
        <v>0</v>
      </c>
      <c r="N449" s="320">
        <v>0</v>
      </c>
      <c r="O449" s="316">
        <v>0</v>
      </c>
      <c r="P449" s="316">
        <v>0</v>
      </c>
      <c r="Q449" s="320">
        <v>0</v>
      </c>
      <c r="R449" s="295">
        <v>25</v>
      </c>
      <c r="S449" s="295">
        <v>21</v>
      </c>
      <c r="T449" s="295">
        <v>46</v>
      </c>
      <c r="U449" s="13"/>
      <c r="V449" s="13"/>
      <c r="W449" s="13"/>
      <c r="X449" s="13"/>
      <c r="Y449" s="13"/>
      <c r="Z449" s="13"/>
      <c r="AA449" s="13"/>
    </row>
    <row r="450" spans="2:27" x14ac:dyDescent="0.25">
      <c r="B450" s="136" t="s">
        <v>346</v>
      </c>
      <c r="C450" s="316">
        <v>22</v>
      </c>
      <c r="D450" s="316">
        <v>15</v>
      </c>
      <c r="E450" s="316">
        <v>37</v>
      </c>
      <c r="F450" s="316">
        <v>15</v>
      </c>
      <c r="G450" s="316">
        <v>9</v>
      </c>
      <c r="H450" s="316">
        <v>24</v>
      </c>
      <c r="I450" s="316">
        <v>8</v>
      </c>
      <c r="J450" s="316">
        <v>6</v>
      </c>
      <c r="K450" s="316">
        <v>14</v>
      </c>
      <c r="L450" s="316">
        <v>2</v>
      </c>
      <c r="M450" s="316">
        <v>2</v>
      </c>
      <c r="N450" s="320">
        <v>4</v>
      </c>
      <c r="O450" s="316">
        <v>0</v>
      </c>
      <c r="P450" s="316">
        <v>0</v>
      </c>
      <c r="Q450" s="320">
        <v>0</v>
      </c>
      <c r="R450" s="295">
        <v>47</v>
      </c>
      <c r="S450" s="295">
        <v>32</v>
      </c>
      <c r="T450" s="295">
        <v>79</v>
      </c>
      <c r="U450" s="13"/>
      <c r="V450" s="13"/>
      <c r="W450" s="13"/>
      <c r="X450" s="13"/>
      <c r="Y450" s="13"/>
      <c r="Z450" s="13"/>
      <c r="AA450" s="13"/>
    </row>
    <row r="451" spans="2:27" x14ac:dyDescent="0.25">
      <c r="B451" s="136" t="s">
        <v>347</v>
      </c>
      <c r="C451" s="316">
        <v>20</v>
      </c>
      <c r="D451" s="316">
        <v>23</v>
      </c>
      <c r="E451" s="316">
        <v>43</v>
      </c>
      <c r="F451" s="316">
        <v>12</v>
      </c>
      <c r="G451" s="316">
        <v>10</v>
      </c>
      <c r="H451" s="316">
        <v>22</v>
      </c>
      <c r="I451" s="316">
        <v>20</v>
      </c>
      <c r="J451" s="316">
        <v>5</v>
      </c>
      <c r="K451" s="316">
        <v>25</v>
      </c>
      <c r="L451" s="316">
        <v>3</v>
      </c>
      <c r="M451" s="316">
        <v>3</v>
      </c>
      <c r="N451" s="320">
        <v>6</v>
      </c>
      <c r="O451" s="316">
        <v>0</v>
      </c>
      <c r="P451" s="316">
        <v>0</v>
      </c>
      <c r="Q451" s="320">
        <v>0</v>
      </c>
      <c r="R451" s="295">
        <v>55</v>
      </c>
      <c r="S451" s="295">
        <v>41</v>
      </c>
      <c r="T451" s="295">
        <v>96</v>
      </c>
      <c r="U451" s="13"/>
      <c r="V451" s="13"/>
      <c r="W451" s="13"/>
      <c r="X451" s="13"/>
      <c r="Y451" s="13"/>
      <c r="Z451" s="13"/>
      <c r="AA451" s="13"/>
    </row>
    <row r="452" spans="2:27" x14ac:dyDescent="0.25">
      <c r="B452" s="136" t="s">
        <v>348</v>
      </c>
      <c r="C452" s="316">
        <v>16</v>
      </c>
      <c r="D452" s="316">
        <v>17</v>
      </c>
      <c r="E452" s="316">
        <v>33</v>
      </c>
      <c r="F452" s="316">
        <v>7</v>
      </c>
      <c r="G452" s="316">
        <v>8</v>
      </c>
      <c r="H452" s="316">
        <v>15</v>
      </c>
      <c r="I452" s="316">
        <v>7</v>
      </c>
      <c r="J452" s="316">
        <v>4</v>
      </c>
      <c r="K452" s="316">
        <v>11</v>
      </c>
      <c r="L452" s="316">
        <v>2</v>
      </c>
      <c r="M452" s="316">
        <v>4</v>
      </c>
      <c r="N452" s="320">
        <v>6</v>
      </c>
      <c r="O452" s="316">
        <v>0</v>
      </c>
      <c r="P452" s="316">
        <v>0</v>
      </c>
      <c r="Q452" s="320">
        <v>0</v>
      </c>
      <c r="R452" s="295">
        <v>32</v>
      </c>
      <c r="S452" s="295">
        <v>33</v>
      </c>
      <c r="T452" s="295">
        <v>65</v>
      </c>
      <c r="U452" s="13"/>
      <c r="V452" s="13"/>
      <c r="W452" s="13"/>
      <c r="X452" s="13"/>
      <c r="Y452" s="13"/>
      <c r="Z452" s="13"/>
      <c r="AA452" s="13"/>
    </row>
    <row r="453" spans="2:27" x14ac:dyDescent="0.25">
      <c r="B453" s="136" t="s">
        <v>349</v>
      </c>
      <c r="C453" s="316">
        <v>178</v>
      </c>
      <c r="D453" s="316">
        <v>189</v>
      </c>
      <c r="E453" s="316">
        <v>367</v>
      </c>
      <c r="F453" s="316">
        <v>157</v>
      </c>
      <c r="G453" s="316">
        <v>110</v>
      </c>
      <c r="H453" s="316">
        <v>267</v>
      </c>
      <c r="I453" s="316">
        <v>115</v>
      </c>
      <c r="J453" s="316">
        <v>37</v>
      </c>
      <c r="K453" s="316">
        <v>152</v>
      </c>
      <c r="L453" s="316">
        <v>58</v>
      </c>
      <c r="M453" s="316">
        <v>51</v>
      </c>
      <c r="N453" s="320">
        <v>109</v>
      </c>
      <c r="O453" s="316">
        <v>0</v>
      </c>
      <c r="P453" s="316">
        <v>0</v>
      </c>
      <c r="Q453" s="320">
        <v>0</v>
      </c>
      <c r="R453" s="295">
        <v>508</v>
      </c>
      <c r="S453" s="295">
        <v>387</v>
      </c>
      <c r="T453" s="295">
        <v>895</v>
      </c>
      <c r="U453" s="13"/>
      <c r="V453" s="13"/>
      <c r="W453" s="13"/>
      <c r="X453" s="13"/>
      <c r="Y453" s="13"/>
      <c r="Z453" s="13"/>
      <c r="AA453" s="13"/>
    </row>
    <row r="454" spans="2:27" x14ac:dyDescent="0.25">
      <c r="B454" s="136" t="s">
        <v>350</v>
      </c>
      <c r="C454" s="316">
        <v>1</v>
      </c>
      <c r="D454" s="316">
        <v>5</v>
      </c>
      <c r="E454" s="316">
        <v>6</v>
      </c>
      <c r="F454" s="316">
        <v>4</v>
      </c>
      <c r="G454" s="316">
        <v>3</v>
      </c>
      <c r="H454" s="316">
        <v>7</v>
      </c>
      <c r="I454" s="316">
        <v>0</v>
      </c>
      <c r="J454" s="316">
        <v>0</v>
      </c>
      <c r="K454" s="316">
        <v>0</v>
      </c>
      <c r="L454" s="316">
        <v>0</v>
      </c>
      <c r="M454" s="316">
        <v>0</v>
      </c>
      <c r="N454" s="320">
        <v>0</v>
      </c>
      <c r="O454" s="316">
        <v>0</v>
      </c>
      <c r="P454" s="316">
        <v>0</v>
      </c>
      <c r="Q454" s="320">
        <v>0</v>
      </c>
      <c r="R454" s="295">
        <v>5</v>
      </c>
      <c r="S454" s="295">
        <v>8</v>
      </c>
      <c r="T454" s="295">
        <v>13</v>
      </c>
      <c r="U454" s="13"/>
      <c r="V454" s="13"/>
      <c r="W454" s="13"/>
      <c r="X454" s="13"/>
      <c r="Y454" s="13"/>
      <c r="Z454" s="13"/>
      <c r="AA454" s="13"/>
    </row>
    <row r="455" spans="2:27" x14ac:dyDescent="0.25">
      <c r="B455" s="136" t="s">
        <v>351</v>
      </c>
      <c r="C455" s="316">
        <v>220</v>
      </c>
      <c r="D455" s="316">
        <v>228</v>
      </c>
      <c r="E455" s="316">
        <v>448</v>
      </c>
      <c r="F455" s="316">
        <v>163</v>
      </c>
      <c r="G455" s="316">
        <v>134</v>
      </c>
      <c r="H455" s="316">
        <v>297</v>
      </c>
      <c r="I455" s="316">
        <v>86</v>
      </c>
      <c r="J455" s="316">
        <v>36</v>
      </c>
      <c r="K455" s="316">
        <v>122</v>
      </c>
      <c r="L455" s="316">
        <v>44</v>
      </c>
      <c r="M455" s="316">
        <v>37</v>
      </c>
      <c r="N455" s="320">
        <v>81</v>
      </c>
      <c r="O455" s="316">
        <v>1</v>
      </c>
      <c r="P455" s="316">
        <v>0</v>
      </c>
      <c r="Q455" s="320">
        <v>1</v>
      </c>
      <c r="R455" s="295">
        <v>514</v>
      </c>
      <c r="S455" s="295">
        <v>435</v>
      </c>
      <c r="T455" s="295">
        <v>949</v>
      </c>
      <c r="U455" s="13"/>
      <c r="V455" s="13"/>
      <c r="W455" s="13"/>
      <c r="X455" s="13"/>
      <c r="Y455" s="13"/>
      <c r="Z455" s="13"/>
      <c r="AA455" s="13"/>
    </row>
    <row r="456" spans="2:27" x14ac:dyDescent="0.25">
      <c r="B456" s="136" t="s">
        <v>352</v>
      </c>
      <c r="C456" s="316">
        <v>10</v>
      </c>
      <c r="D456" s="316">
        <v>9</v>
      </c>
      <c r="E456" s="316">
        <v>19</v>
      </c>
      <c r="F456" s="316">
        <v>8</v>
      </c>
      <c r="G456" s="316">
        <v>13</v>
      </c>
      <c r="H456" s="316">
        <v>21</v>
      </c>
      <c r="I456" s="316">
        <v>8</v>
      </c>
      <c r="J456" s="316">
        <v>1</v>
      </c>
      <c r="K456" s="316">
        <v>9</v>
      </c>
      <c r="L456" s="316">
        <v>1</v>
      </c>
      <c r="M456" s="316">
        <v>2</v>
      </c>
      <c r="N456" s="320">
        <v>3</v>
      </c>
      <c r="O456" s="316">
        <v>0</v>
      </c>
      <c r="P456" s="316">
        <v>0</v>
      </c>
      <c r="Q456" s="320">
        <v>0</v>
      </c>
      <c r="R456" s="295">
        <v>27</v>
      </c>
      <c r="S456" s="295">
        <v>25</v>
      </c>
      <c r="T456" s="295">
        <v>52</v>
      </c>
      <c r="U456" s="13"/>
      <c r="V456" s="13"/>
      <c r="W456" s="13"/>
      <c r="X456" s="13"/>
      <c r="Y456" s="13"/>
      <c r="Z456" s="13"/>
      <c r="AA456" s="13"/>
    </row>
    <row r="457" spans="2:27" x14ac:dyDescent="0.25">
      <c r="B457" s="136" t="s">
        <v>353</v>
      </c>
      <c r="C457" s="316">
        <v>51</v>
      </c>
      <c r="D457" s="316">
        <v>40</v>
      </c>
      <c r="E457" s="316">
        <v>91</v>
      </c>
      <c r="F457" s="316">
        <v>42</v>
      </c>
      <c r="G457" s="316">
        <v>31</v>
      </c>
      <c r="H457" s="316">
        <v>73</v>
      </c>
      <c r="I457" s="316">
        <v>11</v>
      </c>
      <c r="J457" s="316">
        <v>4</v>
      </c>
      <c r="K457" s="316">
        <v>15</v>
      </c>
      <c r="L457" s="316">
        <v>3</v>
      </c>
      <c r="M457" s="316">
        <v>1</v>
      </c>
      <c r="N457" s="320">
        <v>4</v>
      </c>
      <c r="O457" s="316">
        <v>0</v>
      </c>
      <c r="P457" s="316">
        <v>0</v>
      </c>
      <c r="Q457" s="320">
        <v>0</v>
      </c>
      <c r="R457" s="295">
        <v>107</v>
      </c>
      <c r="S457" s="295">
        <v>76</v>
      </c>
      <c r="T457" s="295">
        <v>183</v>
      </c>
      <c r="U457" s="13"/>
      <c r="V457" s="13"/>
      <c r="W457" s="13"/>
      <c r="X457" s="13"/>
      <c r="Y457" s="13"/>
      <c r="Z457" s="13"/>
      <c r="AA457" s="13"/>
    </row>
    <row r="458" spans="2:27" x14ac:dyDescent="0.25">
      <c r="B458" s="136" t="s">
        <v>354</v>
      </c>
      <c r="C458" s="316">
        <v>6</v>
      </c>
      <c r="D458" s="316">
        <v>3</v>
      </c>
      <c r="E458" s="316">
        <v>9</v>
      </c>
      <c r="F458" s="316">
        <v>1</v>
      </c>
      <c r="G458" s="316">
        <v>3</v>
      </c>
      <c r="H458" s="316">
        <v>4</v>
      </c>
      <c r="I458" s="316">
        <v>1</v>
      </c>
      <c r="J458" s="316">
        <v>1</v>
      </c>
      <c r="K458" s="316">
        <v>2</v>
      </c>
      <c r="L458" s="316">
        <v>2</v>
      </c>
      <c r="M458" s="316">
        <v>1</v>
      </c>
      <c r="N458" s="320">
        <v>3</v>
      </c>
      <c r="O458" s="316">
        <v>0</v>
      </c>
      <c r="P458" s="316">
        <v>0</v>
      </c>
      <c r="Q458" s="320">
        <v>0</v>
      </c>
      <c r="R458" s="295">
        <v>10</v>
      </c>
      <c r="S458" s="295">
        <v>8</v>
      </c>
      <c r="T458" s="295">
        <v>18</v>
      </c>
      <c r="U458" s="13"/>
      <c r="V458" s="13"/>
      <c r="W458" s="13"/>
      <c r="X458" s="13"/>
      <c r="Y458" s="13"/>
      <c r="Z458" s="13"/>
      <c r="AA458" s="13"/>
    </row>
    <row r="459" spans="2:27" x14ac:dyDescent="0.25">
      <c r="B459" s="136" t="s">
        <v>355</v>
      </c>
      <c r="C459" s="316">
        <v>29</v>
      </c>
      <c r="D459" s="316">
        <v>25</v>
      </c>
      <c r="E459" s="316">
        <v>54</v>
      </c>
      <c r="F459" s="316">
        <v>15</v>
      </c>
      <c r="G459" s="316">
        <v>14</v>
      </c>
      <c r="H459" s="316">
        <v>29</v>
      </c>
      <c r="I459" s="316">
        <v>10</v>
      </c>
      <c r="J459" s="316">
        <v>2</v>
      </c>
      <c r="K459" s="316">
        <v>12</v>
      </c>
      <c r="L459" s="316">
        <v>4</v>
      </c>
      <c r="M459" s="316">
        <v>5</v>
      </c>
      <c r="N459" s="320">
        <v>9</v>
      </c>
      <c r="O459" s="316">
        <v>0</v>
      </c>
      <c r="P459" s="316">
        <v>0</v>
      </c>
      <c r="Q459" s="320">
        <v>0</v>
      </c>
      <c r="R459" s="295">
        <v>58</v>
      </c>
      <c r="S459" s="295">
        <v>46</v>
      </c>
      <c r="T459" s="295">
        <v>104</v>
      </c>
      <c r="U459" s="13"/>
      <c r="V459" s="13"/>
      <c r="W459" s="13"/>
      <c r="X459" s="13"/>
      <c r="Y459" s="13"/>
      <c r="Z459" s="13"/>
      <c r="AA459" s="13"/>
    </row>
    <row r="460" spans="2:27" x14ac:dyDescent="0.25">
      <c r="B460" s="136" t="s">
        <v>356</v>
      </c>
      <c r="C460" s="316">
        <v>13</v>
      </c>
      <c r="D460" s="316">
        <v>15</v>
      </c>
      <c r="E460" s="316">
        <v>28</v>
      </c>
      <c r="F460" s="316">
        <v>8</v>
      </c>
      <c r="G460" s="316">
        <v>10</v>
      </c>
      <c r="H460" s="316">
        <v>18</v>
      </c>
      <c r="I460" s="316">
        <v>12</v>
      </c>
      <c r="J460" s="316">
        <v>2</v>
      </c>
      <c r="K460" s="316">
        <v>14</v>
      </c>
      <c r="L460" s="316">
        <v>6</v>
      </c>
      <c r="M460" s="316">
        <v>5</v>
      </c>
      <c r="N460" s="320">
        <v>11</v>
      </c>
      <c r="O460" s="316">
        <v>0</v>
      </c>
      <c r="P460" s="316">
        <v>0</v>
      </c>
      <c r="Q460" s="320">
        <v>0</v>
      </c>
      <c r="R460" s="295">
        <v>39</v>
      </c>
      <c r="S460" s="295">
        <v>32</v>
      </c>
      <c r="T460" s="295">
        <v>71</v>
      </c>
      <c r="U460" s="13"/>
      <c r="V460" s="13"/>
      <c r="W460" s="13"/>
      <c r="X460" s="13"/>
      <c r="Y460" s="13"/>
      <c r="Z460" s="13"/>
      <c r="AA460" s="13"/>
    </row>
    <row r="461" spans="2:27" x14ac:dyDescent="0.25">
      <c r="B461" s="136" t="s">
        <v>357</v>
      </c>
      <c r="C461" s="316">
        <v>6</v>
      </c>
      <c r="D461" s="316">
        <v>7</v>
      </c>
      <c r="E461" s="316">
        <v>13</v>
      </c>
      <c r="F461" s="316">
        <v>5</v>
      </c>
      <c r="G461" s="316">
        <v>3</v>
      </c>
      <c r="H461" s="316">
        <v>8</v>
      </c>
      <c r="I461" s="316">
        <v>4</v>
      </c>
      <c r="J461" s="316">
        <v>1</v>
      </c>
      <c r="K461" s="316">
        <v>5</v>
      </c>
      <c r="L461" s="316">
        <v>1</v>
      </c>
      <c r="M461" s="316">
        <v>2</v>
      </c>
      <c r="N461" s="320">
        <v>3</v>
      </c>
      <c r="O461" s="316">
        <v>0</v>
      </c>
      <c r="P461" s="316">
        <v>0</v>
      </c>
      <c r="Q461" s="320">
        <v>0</v>
      </c>
      <c r="R461" s="295">
        <v>16</v>
      </c>
      <c r="S461" s="295">
        <v>13</v>
      </c>
      <c r="T461" s="295">
        <v>29</v>
      </c>
      <c r="U461" s="13"/>
      <c r="V461" s="13"/>
      <c r="W461" s="13"/>
      <c r="X461" s="13"/>
      <c r="Y461" s="13"/>
      <c r="Z461" s="13"/>
      <c r="AA461" s="13"/>
    </row>
    <row r="462" spans="2:27" x14ac:dyDescent="0.25">
      <c r="B462" s="136" t="s">
        <v>358</v>
      </c>
      <c r="C462" s="316">
        <v>25</v>
      </c>
      <c r="D462" s="316">
        <v>32</v>
      </c>
      <c r="E462" s="316">
        <v>57</v>
      </c>
      <c r="F462" s="316">
        <v>18</v>
      </c>
      <c r="G462" s="316">
        <v>8</v>
      </c>
      <c r="H462" s="316">
        <v>26</v>
      </c>
      <c r="I462" s="316">
        <v>10</v>
      </c>
      <c r="J462" s="316">
        <v>13</v>
      </c>
      <c r="K462" s="316">
        <v>23</v>
      </c>
      <c r="L462" s="316">
        <v>2</v>
      </c>
      <c r="M462" s="316">
        <v>3</v>
      </c>
      <c r="N462" s="320">
        <v>5</v>
      </c>
      <c r="O462" s="316">
        <v>0</v>
      </c>
      <c r="P462" s="316">
        <v>1</v>
      </c>
      <c r="Q462" s="320">
        <v>1</v>
      </c>
      <c r="R462" s="295">
        <v>55</v>
      </c>
      <c r="S462" s="295">
        <v>57</v>
      </c>
      <c r="T462" s="295">
        <v>112</v>
      </c>
      <c r="U462" s="13"/>
      <c r="V462" s="13"/>
      <c r="W462" s="13"/>
      <c r="X462" s="13"/>
      <c r="Y462" s="13"/>
      <c r="Z462" s="13"/>
      <c r="AA462" s="13"/>
    </row>
    <row r="463" spans="2:27" x14ac:dyDescent="0.25">
      <c r="B463" s="136" t="s">
        <v>359</v>
      </c>
      <c r="C463" s="316">
        <v>12</v>
      </c>
      <c r="D463" s="316">
        <v>14</v>
      </c>
      <c r="E463" s="316">
        <v>26</v>
      </c>
      <c r="F463" s="316">
        <v>8</v>
      </c>
      <c r="G463" s="316">
        <v>2</v>
      </c>
      <c r="H463" s="316">
        <v>10</v>
      </c>
      <c r="I463" s="316">
        <v>7</v>
      </c>
      <c r="J463" s="316">
        <v>2</v>
      </c>
      <c r="K463" s="316">
        <v>9</v>
      </c>
      <c r="L463" s="316">
        <v>3</v>
      </c>
      <c r="M463" s="316">
        <v>1</v>
      </c>
      <c r="N463" s="320">
        <v>4</v>
      </c>
      <c r="O463" s="316">
        <v>0</v>
      </c>
      <c r="P463" s="316">
        <v>0</v>
      </c>
      <c r="Q463" s="320">
        <v>0</v>
      </c>
      <c r="R463" s="295">
        <v>30</v>
      </c>
      <c r="S463" s="295">
        <v>19</v>
      </c>
      <c r="T463" s="295">
        <v>49</v>
      </c>
      <c r="U463" s="13"/>
      <c r="V463" s="13"/>
      <c r="W463" s="13"/>
      <c r="X463" s="13"/>
      <c r="Y463" s="13"/>
      <c r="Z463" s="13"/>
      <c r="AA463" s="13"/>
    </row>
    <row r="464" spans="2:27" x14ac:dyDescent="0.25">
      <c r="B464" s="136" t="s">
        <v>360</v>
      </c>
      <c r="C464" s="316">
        <v>9</v>
      </c>
      <c r="D464" s="316">
        <v>14</v>
      </c>
      <c r="E464" s="316">
        <v>23</v>
      </c>
      <c r="F464" s="316">
        <v>7</v>
      </c>
      <c r="G464" s="316">
        <v>4</v>
      </c>
      <c r="H464" s="316">
        <v>11</v>
      </c>
      <c r="I464" s="316">
        <v>9</v>
      </c>
      <c r="J464" s="316">
        <v>5</v>
      </c>
      <c r="K464" s="316">
        <v>14</v>
      </c>
      <c r="L464" s="316">
        <v>2</v>
      </c>
      <c r="M464" s="316">
        <v>2</v>
      </c>
      <c r="N464" s="320">
        <v>4</v>
      </c>
      <c r="O464" s="316">
        <v>0</v>
      </c>
      <c r="P464" s="316">
        <v>0</v>
      </c>
      <c r="Q464" s="320">
        <v>0</v>
      </c>
      <c r="R464" s="295">
        <v>27</v>
      </c>
      <c r="S464" s="295">
        <v>25</v>
      </c>
      <c r="T464" s="295">
        <v>52</v>
      </c>
      <c r="U464" s="13"/>
      <c r="V464" s="13"/>
      <c r="W464" s="13"/>
      <c r="X464" s="13"/>
      <c r="Y464" s="13"/>
      <c r="Z464" s="13"/>
      <c r="AA464" s="13"/>
    </row>
    <row r="465" spans="2:27" x14ac:dyDescent="0.25">
      <c r="B465" s="136" t="s">
        <v>361</v>
      </c>
      <c r="C465" s="316">
        <v>14</v>
      </c>
      <c r="D465" s="316">
        <v>18</v>
      </c>
      <c r="E465" s="316">
        <v>32</v>
      </c>
      <c r="F465" s="316">
        <v>8</v>
      </c>
      <c r="G465" s="316">
        <v>11</v>
      </c>
      <c r="H465" s="316">
        <v>19</v>
      </c>
      <c r="I465" s="316">
        <v>6</v>
      </c>
      <c r="J465" s="316">
        <v>2</v>
      </c>
      <c r="K465" s="316">
        <v>8</v>
      </c>
      <c r="L465" s="316">
        <v>2</v>
      </c>
      <c r="M465" s="316">
        <v>5</v>
      </c>
      <c r="N465" s="320">
        <v>7</v>
      </c>
      <c r="O465" s="316">
        <v>0</v>
      </c>
      <c r="P465" s="316">
        <v>0</v>
      </c>
      <c r="Q465" s="320">
        <v>0</v>
      </c>
      <c r="R465" s="295">
        <v>30</v>
      </c>
      <c r="S465" s="295">
        <v>36</v>
      </c>
      <c r="T465" s="295">
        <v>66</v>
      </c>
      <c r="U465" s="13"/>
      <c r="V465" s="13"/>
      <c r="W465" s="13"/>
      <c r="X465" s="13"/>
      <c r="Y465" s="13"/>
      <c r="Z465" s="13"/>
      <c r="AA465" s="13"/>
    </row>
    <row r="466" spans="2:27" x14ac:dyDescent="0.25">
      <c r="B466" s="136" t="s">
        <v>362</v>
      </c>
      <c r="C466" s="316">
        <v>13</v>
      </c>
      <c r="D466" s="316">
        <v>18</v>
      </c>
      <c r="E466" s="316">
        <v>31</v>
      </c>
      <c r="F466" s="316">
        <v>2</v>
      </c>
      <c r="G466" s="316">
        <v>3</v>
      </c>
      <c r="H466" s="316">
        <v>5</v>
      </c>
      <c r="I466" s="316">
        <v>7</v>
      </c>
      <c r="J466" s="316">
        <v>1</v>
      </c>
      <c r="K466" s="316">
        <v>8</v>
      </c>
      <c r="L466" s="316">
        <v>3</v>
      </c>
      <c r="M466" s="316">
        <v>8</v>
      </c>
      <c r="N466" s="320">
        <v>11</v>
      </c>
      <c r="O466" s="316">
        <v>0</v>
      </c>
      <c r="P466" s="316">
        <v>0</v>
      </c>
      <c r="Q466" s="320">
        <v>0</v>
      </c>
      <c r="R466" s="295">
        <v>25</v>
      </c>
      <c r="S466" s="295">
        <v>30</v>
      </c>
      <c r="T466" s="295">
        <v>55</v>
      </c>
      <c r="U466" s="13"/>
      <c r="V466" s="13"/>
      <c r="W466" s="13"/>
      <c r="X466" s="13"/>
      <c r="Y466" s="13"/>
      <c r="Z466" s="13"/>
      <c r="AA466" s="13"/>
    </row>
    <row r="467" spans="2:27" x14ac:dyDescent="0.25">
      <c r="B467" s="136" t="s">
        <v>363</v>
      </c>
      <c r="C467" s="316">
        <v>15</v>
      </c>
      <c r="D467" s="316">
        <v>12</v>
      </c>
      <c r="E467" s="316">
        <v>27</v>
      </c>
      <c r="F467" s="316">
        <v>1</v>
      </c>
      <c r="G467" s="316">
        <v>8</v>
      </c>
      <c r="H467" s="316">
        <v>9</v>
      </c>
      <c r="I467" s="316">
        <v>14</v>
      </c>
      <c r="J467" s="316">
        <v>3</v>
      </c>
      <c r="K467" s="316">
        <v>17</v>
      </c>
      <c r="L467" s="316">
        <v>5</v>
      </c>
      <c r="M467" s="316">
        <v>1</v>
      </c>
      <c r="N467" s="320">
        <v>6</v>
      </c>
      <c r="O467" s="316">
        <v>0</v>
      </c>
      <c r="P467" s="316">
        <v>0</v>
      </c>
      <c r="Q467" s="320">
        <v>0</v>
      </c>
      <c r="R467" s="295">
        <v>35</v>
      </c>
      <c r="S467" s="295">
        <v>24</v>
      </c>
      <c r="T467" s="295">
        <v>59</v>
      </c>
      <c r="U467" s="13"/>
      <c r="V467" s="13"/>
      <c r="W467" s="13"/>
      <c r="X467" s="13"/>
      <c r="Y467" s="13"/>
      <c r="Z467" s="13"/>
      <c r="AA467" s="13"/>
    </row>
    <row r="468" spans="2:27" x14ac:dyDescent="0.25">
      <c r="B468" s="260" t="s">
        <v>25</v>
      </c>
      <c r="C468" s="282">
        <v>902</v>
      </c>
      <c r="D468" s="282">
        <v>930</v>
      </c>
      <c r="E468" s="282">
        <v>1832</v>
      </c>
      <c r="F468" s="282">
        <v>634</v>
      </c>
      <c r="G468" s="282">
        <v>496</v>
      </c>
      <c r="H468" s="285">
        <v>1130</v>
      </c>
      <c r="I468" s="282">
        <v>459</v>
      </c>
      <c r="J468" s="285">
        <v>173</v>
      </c>
      <c r="K468" s="282">
        <v>632</v>
      </c>
      <c r="L468" s="285">
        <v>180</v>
      </c>
      <c r="M468" s="282">
        <v>195</v>
      </c>
      <c r="N468" s="322">
        <v>375</v>
      </c>
      <c r="O468" s="285">
        <v>1</v>
      </c>
      <c r="P468" s="282">
        <v>1</v>
      </c>
      <c r="Q468" s="322">
        <v>2</v>
      </c>
      <c r="R468" s="295">
        <v>2176</v>
      </c>
      <c r="S468" s="295">
        <v>1795</v>
      </c>
      <c r="T468" s="295">
        <v>3971</v>
      </c>
      <c r="U468" s="13"/>
      <c r="V468" s="13"/>
      <c r="W468" s="13"/>
      <c r="X468" s="13"/>
      <c r="Y468" s="13"/>
      <c r="Z468" s="13"/>
      <c r="AA468" s="13"/>
    </row>
    <row r="469" spans="2:27" ht="85.5" customHeight="1" x14ac:dyDescent="0.25">
      <c r="B469" s="468" t="s">
        <v>866</v>
      </c>
      <c r="C469" s="468"/>
      <c r="D469" s="468"/>
      <c r="E469" s="468"/>
      <c r="F469" s="468"/>
      <c r="G469" s="468"/>
      <c r="H469" s="468"/>
      <c r="I469" s="468"/>
      <c r="J469" s="468"/>
      <c r="K469" s="468"/>
      <c r="L469" s="468"/>
      <c r="M469" s="468"/>
      <c r="N469" s="468"/>
      <c r="O469" s="468"/>
      <c r="P469" s="468"/>
      <c r="Q469" s="468"/>
      <c r="R469" s="13"/>
      <c r="S469" s="13"/>
      <c r="T469" s="13"/>
      <c r="U469" s="13"/>
      <c r="V469" s="13"/>
      <c r="W469" s="13"/>
    </row>
    <row r="470" spans="2:27" x14ac:dyDescent="0.25">
      <c r="B470" s="157"/>
      <c r="C470" s="157"/>
      <c r="D470" s="157"/>
      <c r="E470" s="157"/>
      <c r="F470" s="157"/>
      <c r="G470"/>
      <c r="H470" s="13"/>
      <c r="I470" s="13"/>
      <c r="J470" s="13"/>
      <c r="K470" s="13"/>
      <c r="L470" s="13"/>
      <c r="M470" s="13"/>
      <c r="N470" s="13"/>
      <c r="O470" s="13"/>
      <c r="P470" s="13"/>
      <c r="Q470" s="13"/>
      <c r="R470" s="13"/>
      <c r="S470" s="13"/>
      <c r="T470" s="13"/>
      <c r="U470" s="13"/>
      <c r="V470" s="13"/>
      <c r="W470" s="13"/>
    </row>
    <row r="471" spans="2:27" x14ac:dyDescent="0.25">
      <c r="B471" s="186" t="s">
        <v>515</v>
      </c>
      <c r="C471"/>
      <c r="D471"/>
      <c r="E471"/>
      <c r="F471"/>
      <c r="G471"/>
      <c r="H471" s="13"/>
      <c r="I471" s="13"/>
      <c r="J471" s="13"/>
      <c r="K471" s="13"/>
      <c r="L471" s="13"/>
      <c r="M471" s="13"/>
      <c r="N471" s="13"/>
      <c r="O471" s="13"/>
      <c r="P471" s="13"/>
      <c r="Q471" s="13"/>
      <c r="R471" s="13"/>
      <c r="S471" s="13"/>
      <c r="T471" s="13"/>
      <c r="U471" s="13"/>
      <c r="V471" s="13"/>
      <c r="W471" s="13"/>
    </row>
    <row r="472" spans="2:27" x14ac:dyDescent="0.25">
      <c r="B472" s="186"/>
      <c r="C472"/>
      <c r="D472"/>
      <c r="E472"/>
      <c r="F472"/>
      <c r="G472"/>
      <c r="H472" s="13"/>
      <c r="I472" s="13"/>
      <c r="J472" s="13"/>
      <c r="K472" s="13"/>
      <c r="L472" s="13"/>
      <c r="M472" s="13"/>
      <c r="N472" s="13"/>
      <c r="O472" s="13"/>
      <c r="P472" s="13"/>
      <c r="Q472" s="13"/>
      <c r="R472" s="13"/>
      <c r="S472" s="13"/>
      <c r="T472" s="13"/>
      <c r="U472" s="13"/>
      <c r="V472" s="13"/>
      <c r="W472" s="13"/>
    </row>
    <row r="473" spans="2:27" ht="15" customHeight="1" x14ac:dyDescent="0.25">
      <c r="B473" s="432" t="s">
        <v>532</v>
      </c>
      <c r="C473" s="476" t="s">
        <v>477</v>
      </c>
      <c r="D473" s="477"/>
      <c r="E473" s="477"/>
      <c r="F473" s="477"/>
      <c r="G473" s="477"/>
      <c r="H473" s="477"/>
      <c r="I473" s="477"/>
      <c r="J473" s="477"/>
      <c r="K473" s="477"/>
      <c r="L473" s="477"/>
      <c r="M473" s="477"/>
      <c r="N473" s="477"/>
      <c r="O473" s="477"/>
      <c r="P473" s="477"/>
      <c r="Q473" s="478"/>
      <c r="R473" s="469" t="s">
        <v>865</v>
      </c>
      <c r="S473" s="470"/>
      <c r="T473" s="471"/>
      <c r="U473" s="13"/>
      <c r="V473" s="13"/>
      <c r="W473" s="13"/>
    </row>
    <row r="474" spans="2:27" ht="15" customHeight="1" x14ac:dyDescent="0.25">
      <c r="B474" s="432"/>
      <c r="C474" s="463" t="s">
        <v>849</v>
      </c>
      <c r="D474" s="463"/>
      <c r="E474" s="463"/>
      <c r="F474" s="463" t="s">
        <v>850</v>
      </c>
      <c r="G474" s="463"/>
      <c r="H474" s="463"/>
      <c r="I474" s="463" t="s">
        <v>3</v>
      </c>
      <c r="J474" s="463"/>
      <c r="K474" s="463"/>
      <c r="L474" s="463" t="s">
        <v>5</v>
      </c>
      <c r="M474" s="463"/>
      <c r="N474" s="463"/>
      <c r="O474" s="463" t="s">
        <v>859</v>
      </c>
      <c r="P474" s="463"/>
      <c r="Q474" s="463"/>
      <c r="R474" s="472"/>
      <c r="S474" s="473"/>
      <c r="T474" s="474"/>
      <c r="U474" s="13"/>
      <c r="V474" s="13"/>
      <c r="W474" s="13"/>
    </row>
    <row r="475" spans="2:27" x14ac:dyDescent="0.25">
      <c r="B475" s="432"/>
      <c r="C475" s="264" t="s">
        <v>73</v>
      </c>
      <c r="D475" s="264" t="s">
        <v>74</v>
      </c>
      <c r="E475" s="264" t="s">
        <v>25</v>
      </c>
      <c r="F475" s="264" t="s">
        <v>73</v>
      </c>
      <c r="G475" s="264" t="s">
        <v>74</v>
      </c>
      <c r="H475" s="264" t="s">
        <v>25</v>
      </c>
      <c r="I475" s="264" t="s">
        <v>73</v>
      </c>
      <c r="J475" s="264" t="s">
        <v>74</v>
      </c>
      <c r="K475" s="264" t="s">
        <v>25</v>
      </c>
      <c r="L475" s="264" t="s">
        <v>73</v>
      </c>
      <c r="M475" s="264" t="s">
        <v>74</v>
      </c>
      <c r="N475" s="319" t="s">
        <v>25</v>
      </c>
      <c r="O475" s="264" t="s">
        <v>73</v>
      </c>
      <c r="P475" s="264" t="s">
        <v>74</v>
      </c>
      <c r="Q475" s="264" t="s">
        <v>25</v>
      </c>
      <c r="R475" s="274" t="s">
        <v>73</v>
      </c>
      <c r="S475" s="274" t="s">
        <v>74</v>
      </c>
      <c r="T475" s="274" t="s">
        <v>25</v>
      </c>
      <c r="U475" s="13"/>
      <c r="V475" s="13"/>
      <c r="W475" s="13"/>
    </row>
    <row r="476" spans="2:27" x14ac:dyDescent="0.25">
      <c r="B476" s="156" t="s">
        <v>364</v>
      </c>
      <c r="C476" s="314">
        <v>12</v>
      </c>
      <c r="D476" s="314">
        <v>17</v>
      </c>
      <c r="E476" s="314">
        <v>29</v>
      </c>
      <c r="F476" s="314">
        <v>9</v>
      </c>
      <c r="G476" s="314">
        <v>2</v>
      </c>
      <c r="H476" s="314">
        <v>11</v>
      </c>
      <c r="I476" s="314">
        <v>5</v>
      </c>
      <c r="J476" s="314">
        <v>0</v>
      </c>
      <c r="K476" s="314">
        <v>5</v>
      </c>
      <c r="L476" s="314">
        <v>0</v>
      </c>
      <c r="M476" s="314">
        <v>1</v>
      </c>
      <c r="N476" s="314">
        <v>1</v>
      </c>
      <c r="O476" s="314">
        <v>0</v>
      </c>
      <c r="P476" s="314">
        <v>0</v>
      </c>
      <c r="Q476" s="314">
        <v>0</v>
      </c>
      <c r="R476" s="295">
        <v>26</v>
      </c>
      <c r="S476" s="295">
        <v>20</v>
      </c>
      <c r="T476" s="295">
        <v>46</v>
      </c>
      <c r="U476" s="13"/>
      <c r="V476" s="13"/>
      <c r="W476" s="13"/>
      <c r="X476" s="13"/>
    </row>
    <row r="477" spans="2:27" x14ac:dyDescent="0.25">
      <c r="B477" s="136" t="s">
        <v>365</v>
      </c>
      <c r="C477" s="316">
        <v>4</v>
      </c>
      <c r="D477" s="316">
        <v>6</v>
      </c>
      <c r="E477" s="316">
        <v>10</v>
      </c>
      <c r="F477" s="316">
        <v>6</v>
      </c>
      <c r="G477" s="316">
        <v>2</v>
      </c>
      <c r="H477" s="316">
        <v>8</v>
      </c>
      <c r="I477" s="316">
        <v>1</v>
      </c>
      <c r="J477" s="316">
        <v>0</v>
      </c>
      <c r="K477" s="316">
        <v>1</v>
      </c>
      <c r="L477" s="316">
        <v>1</v>
      </c>
      <c r="M477" s="316">
        <v>0</v>
      </c>
      <c r="N477" s="316">
        <v>1</v>
      </c>
      <c r="O477" s="316">
        <v>0</v>
      </c>
      <c r="P477" s="316">
        <v>0</v>
      </c>
      <c r="Q477" s="316">
        <v>0</v>
      </c>
      <c r="R477" s="295">
        <v>12</v>
      </c>
      <c r="S477" s="295">
        <v>8</v>
      </c>
      <c r="T477" s="295">
        <v>20</v>
      </c>
      <c r="U477" s="13"/>
      <c r="V477" s="13"/>
      <c r="W477" s="13"/>
      <c r="X477" s="13"/>
    </row>
    <row r="478" spans="2:27" x14ac:dyDescent="0.25">
      <c r="B478" s="136" t="s">
        <v>366</v>
      </c>
      <c r="C478" s="316">
        <v>1</v>
      </c>
      <c r="D478" s="316">
        <v>5</v>
      </c>
      <c r="E478" s="316">
        <v>6</v>
      </c>
      <c r="F478" s="316">
        <v>1</v>
      </c>
      <c r="G478" s="316">
        <v>0</v>
      </c>
      <c r="H478" s="316">
        <v>1</v>
      </c>
      <c r="I478" s="316">
        <v>4</v>
      </c>
      <c r="J478" s="316">
        <v>0</v>
      </c>
      <c r="K478" s="316">
        <v>4</v>
      </c>
      <c r="L478" s="316">
        <v>1</v>
      </c>
      <c r="M478" s="316">
        <v>0</v>
      </c>
      <c r="N478" s="316">
        <v>1</v>
      </c>
      <c r="O478" s="316">
        <v>0</v>
      </c>
      <c r="P478" s="316">
        <v>0</v>
      </c>
      <c r="Q478" s="316">
        <v>0</v>
      </c>
      <c r="R478" s="295">
        <v>7</v>
      </c>
      <c r="S478" s="295">
        <v>5</v>
      </c>
      <c r="T478" s="295">
        <v>12</v>
      </c>
      <c r="U478" s="13"/>
      <c r="V478" s="13"/>
      <c r="W478" s="13"/>
      <c r="X478" s="13"/>
    </row>
    <row r="479" spans="2:27" x14ac:dyDescent="0.25">
      <c r="B479" s="136" t="s">
        <v>367</v>
      </c>
      <c r="C479" s="316">
        <v>63</v>
      </c>
      <c r="D479" s="316">
        <v>67</v>
      </c>
      <c r="E479" s="316">
        <v>130</v>
      </c>
      <c r="F479" s="316">
        <v>52</v>
      </c>
      <c r="G479" s="316">
        <v>33</v>
      </c>
      <c r="H479" s="316">
        <v>85</v>
      </c>
      <c r="I479" s="316">
        <v>21</v>
      </c>
      <c r="J479" s="316">
        <v>5</v>
      </c>
      <c r="K479" s="316">
        <v>26</v>
      </c>
      <c r="L479" s="316">
        <v>12</v>
      </c>
      <c r="M479" s="316">
        <v>14</v>
      </c>
      <c r="N479" s="316">
        <v>26</v>
      </c>
      <c r="O479" s="316">
        <v>0</v>
      </c>
      <c r="P479" s="316">
        <v>0</v>
      </c>
      <c r="Q479" s="316">
        <v>0</v>
      </c>
      <c r="R479" s="295">
        <v>148</v>
      </c>
      <c r="S479" s="295">
        <v>119</v>
      </c>
      <c r="T479" s="295">
        <v>267</v>
      </c>
      <c r="U479" s="13"/>
      <c r="V479" s="13"/>
      <c r="W479" s="13"/>
      <c r="X479" s="13"/>
    </row>
    <row r="480" spans="2:27" x14ac:dyDescent="0.25">
      <c r="B480" s="136" t="s">
        <v>368</v>
      </c>
      <c r="C480" s="316">
        <v>0</v>
      </c>
      <c r="D480" s="316">
        <v>1</v>
      </c>
      <c r="E480" s="316">
        <v>1</v>
      </c>
      <c r="F480" s="316">
        <v>0</v>
      </c>
      <c r="G480" s="316">
        <v>1</v>
      </c>
      <c r="H480" s="316">
        <v>1</v>
      </c>
      <c r="I480" s="316">
        <v>0</v>
      </c>
      <c r="J480" s="316">
        <v>0</v>
      </c>
      <c r="K480" s="316">
        <v>0</v>
      </c>
      <c r="L480" s="316">
        <v>0</v>
      </c>
      <c r="M480" s="316">
        <v>1</v>
      </c>
      <c r="N480" s="316">
        <v>1</v>
      </c>
      <c r="O480" s="316">
        <v>0</v>
      </c>
      <c r="P480" s="316">
        <v>0</v>
      </c>
      <c r="Q480" s="316">
        <v>0</v>
      </c>
      <c r="R480" s="295">
        <v>0</v>
      </c>
      <c r="S480" s="295">
        <v>3</v>
      </c>
      <c r="T480" s="295">
        <v>3</v>
      </c>
      <c r="U480" s="13"/>
      <c r="V480" s="13"/>
      <c r="W480" s="13"/>
      <c r="X480" s="13"/>
    </row>
    <row r="481" spans="2:24" x14ac:dyDescent="0.25">
      <c r="B481" s="155" t="s">
        <v>369</v>
      </c>
      <c r="C481" s="317">
        <v>0</v>
      </c>
      <c r="D481" s="317">
        <v>3</v>
      </c>
      <c r="E481" s="317">
        <v>3</v>
      </c>
      <c r="F481" s="317">
        <v>1</v>
      </c>
      <c r="G481" s="317">
        <v>0</v>
      </c>
      <c r="H481" s="317">
        <v>1</v>
      </c>
      <c r="I481" s="317">
        <v>0</v>
      </c>
      <c r="J481" s="317">
        <v>0</v>
      </c>
      <c r="K481" s="317">
        <v>0</v>
      </c>
      <c r="L481" s="317">
        <v>1</v>
      </c>
      <c r="M481" s="317">
        <v>0</v>
      </c>
      <c r="N481" s="317">
        <v>1</v>
      </c>
      <c r="O481" s="317">
        <v>0</v>
      </c>
      <c r="P481" s="317">
        <v>0</v>
      </c>
      <c r="Q481" s="317">
        <v>0</v>
      </c>
      <c r="R481" s="318">
        <v>2</v>
      </c>
      <c r="S481" s="318">
        <v>3</v>
      </c>
      <c r="T481" s="318">
        <v>5</v>
      </c>
      <c r="U481" s="13"/>
      <c r="V481" s="13"/>
      <c r="W481" s="13"/>
      <c r="X481" s="13"/>
    </row>
    <row r="482" spans="2:24" x14ac:dyDescent="0.25">
      <c r="B482" s="158" t="s">
        <v>370</v>
      </c>
      <c r="C482" s="307">
        <v>0</v>
      </c>
      <c r="D482" s="307">
        <v>1</v>
      </c>
      <c r="E482" s="307">
        <v>1</v>
      </c>
      <c r="F482" s="307">
        <v>0</v>
      </c>
      <c r="G482" s="307">
        <v>2</v>
      </c>
      <c r="H482" s="307">
        <v>2</v>
      </c>
      <c r="I482" s="307">
        <v>0</v>
      </c>
      <c r="J482" s="307">
        <v>0</v>
      </c>
      <c r="K482" s="307">
        <v>0</v>
      </c>
      <c r="L482" s="307">
        <v>0</v>
      </c>
      <c r="M482" s="307">
        <v>0</v>
      </c>
      <c r="N482" s="307">
        <v>0</v>
      </c>
      <c r="O482" s="307">
        <v>0</v>
      </c>
      <c r="P482" s="307">
        <v>0</v>
      </c>
      <c r="Q482" s="307">
        <v>0</v>
      </c>
      <c r="R482" s="295">
        <v>0</v>
      </c>
      <c r="S482" s="295">
        <v>3</v>
      </c>
      <c r="T482" s="295">
        <v>3</v>
      </c>
      <c r="U482" s="13"/>
      <c r="V482" s="13"/>
      <c r="W482" s="13"/>
      <c r="X482" s="13"/>
    </row>
    <row r="483" spans="2:24" x14ac:dyDescent="0.25">
      <c r="B483" s="158" t="s">
        <v>371</v>
      </c>
      <c r="C483" s="307">
        <v>23</v>
      </c>
      <c r="D483" s="307">
        <v>35</v>
      </c>
      <c r="E483" s="307">
        <v>58</v>
      </c>
      <c r="F483" s="307">
        <v>24</v>
      </c>
      <c r="G483" s="307">
        <v>12</v>
      </c>
      <c r="H483" s="307">
        <v>36</v>
      </c>
      <c r="I483" s="307">
        <v>8</v>
      </c>
      <c r="J483" s="307">
        <v>6</v>
      </c>
      <c r="K483" s="307">
        <v>14</v>
      </c>
      <c r="L483" s="307">
        <v>1</v>
      </c>
      <c r="M483" s="307">
        <v>4</v>
      </c>
      <c r="N483" s="307">
        <v>5</v>
      </c>
      <c r="O483" s="307">
        <v>0</v>
      </c>
      <c r="P483" s="307">
        <v>0</v>
      </c>
      <c r="Q483" s="307">
        <v>0</v>
      </c>
      <c r="R483" s="295">
        <v>56</v>
      </c>
      <c r="S483" s="295">
        <v>57</v>
      </c>
      <c r="T483" s="295">
        <v>113</v>
      </c>
      <c r="U483" s="13"/>
      <c r="V483" s="13"/>
      <c r="W483" s="13"/>
      <c r="X483" s="13"/>
    </row>
    <row r="484" spans="2:24" x14ac:dyDescent="0.25">
      <c r="B484" s="158" t="s">
        <v>496</v>
      </c>
      <c r="C484" s="307">
        <v>7</v>
      </c>
      <c r="D484" s="307">
        <v>5</v>
      </c>
      <c r="E484" s="307">
        <v>12</v>
      </c>
      <c r="F484" s="307">
        <v>0</v>
      </c>
      <c r="G484" s="307">
        <v>1</v>
      </c>
      <c r="H484" s="307">
        <v>1</v>
      </c>
      <c r="I484" s="307">
        <v>0</v>
      </c>
      <c r="J484" s="307">
        <v>0</v>
      </c>
      <c r="K484" s="307">
        <v>0</v>
      </c>
      <c r="L484" s="307">
        <v>1</v>
      </c>
      <c r="M484" s="307">
        <v>0</v>
      </c>
      <c r="N484" s="307">
        <v>1</v>
      </c>
      <c r="O484" s="307">
        <v>0</v>
      </c>
      <c r="P484" s="307">
        <v>0</v>
      </c>
      <c r="Q484" s="307">
        <v>0</v>
      </c>
      <c r="R484" s="295">
        <v>8</v>
      </c>
      <c r="S484" s="295">
        <v>6</v>
      </c>
      <c r="T484" s="295">
        <v>14</v>
      </c>
      <c r="U484" s="13"/>
      <c r="V484" s="13"/>
      <c r="W484" s="13"/>
      <c r="X484" s="13"/>
    </row>
    <row r="485" spans="2:24" x14ac:dyDescent="0.25">
      <c r="B485" s="158" t="s">
        <v>372</v>
      </c>
      <c r="C485" s="307">
        <v>0</v>
      </c>
      <c r="D485" s="307">
        <v>0</v>
      </c>
      <c r="E485" s="307">
        <v>0</v>
      </c>
      <c r="F485" s="307">
        <v>1</v>
      </c>
      <c r="G485" s="307">
        <v>1</v>
      </c>
      <c r="H485" s="307">
        <v>2</v>
      </c>
      <c r="I485" s="307">
        <v>2</v>
      </c>
      <c r="J485" s="307">
        <v>0</v>
      </c>
      <c r="K485" s="307">
        <v>2</v>
      </c>
      <c r="L485" s="307">
        <v>0</v>
      </c>
      <c r="M485" s="307">
        <v>0</v>
      </c>
      <c r="N485" s="307">
        <v>0</v>
      </c>
      <c r="O485" s="307">
        <v>0</v>
      </c>
      <c r="P485" s="307">
        <v>0</v>
      </c>
      <c r="Q485" s="307">
        <v>0</v>
      </c>
      <c r="R485" s="295">
        <v>3</v>
      </c>
      <c r="S485" s="295">
        <v>1</v>
      </c>
      <c r="T485" s="295">
        <v>4</v>
      </c>
      <c r="U485" s="13"/>
      <c r="V485" s="13"/>
      <c r="W485" s="13"/>
      <c r="X485" s="13"/>
    </row>
    <row r="486" spans="2:24" x14ac:dyDescent="0.25">
      <c r="B486" s="260" t="s">
        <v>25</v>
      </c>
      <c r="C486" s="282">
        <v>110</v>
      </c>
      <c r="D486" s="282">
        <v>140</v>
      </c>
      <c r="E486" s="282">
        <v>250</v>
      </c>
      <c r="F486" s="282">
        <v>94</v>
      </c>
      <c r="G486" s="282">
        <v>54</v>
      </c>
      <c r="H486" s="285">
        <v>148</v>
      </c>
      <c r="I486" s="282">
        <v>41</v>
      </c>
      <c r="J486" s="285">
        <v>11</v>
      </c>
      <c r="K486" s="282">
        <v>52</v>
      </c>
      <c r="L486" s="285">
        <v>17</v>
      </c>
      <c r="M486" s="282">
        <v>20</v>
      </c>
      <c r="N486" s="285">
        <v>37</v>
      </c>
      <c r="O486" s="285">
        <v>0</v>
      </c>
      <c r="P486" s="282">
        <v>0</v>
      </c>
      <c r="Q486" s="285">
        <v>0</v>
      </c>
      <c r="R486" s="295">
        <v>262</v>
      </c>
      <c r="S486" s="295">
        <v>225</v>
      </c>
      <c r="T486" s="295">
        <v>487</v>
      </c>
      <c r="U486" s="13"/>
      <c r="V486" s="13"/>
      <c r="W486" s="13"/>
      <c r="X486" s="13"/>
    </row>
    <row r="487" spans="2:24" ht="82.5" customHeight="1" x14ac:dyDescent="0.25">
      <c r="B487" s="468" t="s">
        <v>866</v>
      </c>
      <c r="C487" s="468"/>
      <c r="D487" s="468"/>
      <c r="E487" s="468"/>
      <c r="F487" s="468"/>
      <c r="G487" s="468"/>
      <c r="H487" s="468"/>
      <c r="I487" s="468"/>
      <c r="J487" s="468"/>
      <c r="K487" s="468"/>
      <c r="L487" s="468"/>
      <c r="M487" s="468"/>
      <c r="N487" s="468"/>
      <c r="O487" s="468"/>
      <c r="P487" s="468"/>
      <c r="Q487" s="468"/>
      <c r="R487" s="13"/>
      <c r="S487" s="13"/>
      <c r="T487" s="13"/>
      <c r="U487" s="13"/>
      <c r="V487" s="13"/>
      <c r="W487" s="13"/>
    </row>
    <row r="488" spans="2:24" x14ac:dyDescent="0.25">
      <c r="B488" s="157"/>
      <c r="C488" s="157"/>
      <c r="D488" s="157"/>
      <c r="E488"/>
      <c r="F488"/>
      <c r="G488"/>
      <c r="H488" s="13"/>
      <c r="I488" s="13"/>
      <c r="J488" s="13"/>
      <c r="K488" s="13"/>
      <c r="L488" s="13"/>
      <c r="M488" s="13"/>
      <c r="N488" s="13"/>
      <c r="O488" s="13"/>
      <c r="P488" s="13"/>
      <c r="Q488" s="13"/>
      <c r="R488" s="13"/>
      <c r="S488" s="13"/>
      <c r="T488" s="13"/>
      <c r="U488" s="13"/>
      <c r="V488" s="13"/>
      <c r="W488" s="13"/>
    </row>
    <row r="489" spans="2:24" x14ac:dyDescent="0.25">
      <c r="B489" s="186" t="s">
        <v>516</v>
      </c>
      <c r="C489"/>
      <c r="D489"/>
      <c r="E489"/>
      <c r="F489"/>
      <c r="G489"/>
      <c r="H489" s="13"/>
      <c r="I489" s="13"/>
      <c r="J489" s="13"/>
      <c r="K489" s="13"/>
      <c r="L489" s="13"/>
      <c r="M489" s="13"/>
      <c r="N489" s="13"/>
      <c r="O489" s="13"/>
      <c r="P489" s="13"/>
      <c r="Q489" s="13"/>
      <c r="R489" s="13"/>
      <c r="S489" s="13"/>
      <c r="T489" s="13"/>
      <c r="U489" s="13"/>
      <c r="V489" s="13"/>
      <c r="W489" s="13"/>
    </row>
    <row r="490" spans="2:24" x14ac:dyDescent="0.25">
      <c r="B490" s="186"/>
      <c r="C490"/>
      <c r="D490"/>
      <c r="E490"/>
      <c r="F490"/>
      <c r="G490"/>
      <c r="H490" s="13"/>
      <c r="I490" s="13"/>
      <c r="J490" s="13"/>
      <c r="K490" s="13"/>
      <c r="L490" s="13"/>
      <c r="M490" s="13"/>
      <c r="N490" s="13"/>
      <c r="O490" s="13"/>
      <c r="P490" s="13"/>
      <c r="Q490" s="13"/>
      <c r="R490" s="13"/>
      <c r="S490" s="13"/>
      <c r="T490" s="13"/>
      <c r="U490" s="13"/>
      <c r="V490" s="13"/>
      <c r="W490" s="13"/>
    </row>
    <row r="491" spans="2:24" ht="15" customHeight="1" x14ac:dyDescent="0.25">
      <c r="B491" s="432" t="s">
        <v>532</v>
      </c>
      <c r="C491" s="475" t="s">
        <v>477</v>
      </c>
      <c r="D491" s="475"/>
      <c r="E491" s="475"/>
      <c r="F491" s="475"/>
      <c r="G491" s="475"/>
      <c r="H491" s="475"/>
      <c r="I491" s="475"/>
      <c r="J491" s="475"/>
      <c r="K491" s="475"/>
      <c r="L491" s="475"/>
      <c r="M491" s="475"/>
      <c r="N491" s="475"/>
      <c r="O491" s="475"/>
      <c r="P491" s="475"/>
      <c r="Q491" s="475"/>
      <c r="R491" s="469" t="s">
        <v>865</v>
      </c>
      <c r="S491" s="470"/>
      <c r="T491" s="471"/>
      <c r="U491" s="13"/>
      <c r="V491" s="13"/>
      <c r="W491" s="13"/>
    </row>
    <row r="492" spans="2:24" ht="15" customHeight="1" x14ac:dyDescent="0.25">
      <c r="B492" s="432"/>
      <c r="C492" s="463" t="s">
        <v>849</v>
      </c>
      <c r="D492" s="463"/>
      <c r="E492" s="463"/>
      <c r="F492" s="463" t="s">
        <v>850</v>
      </c>
      <c r="G492" s="463"/>
      <c r="H492" s="463"/>
      <c r="I492" s="463" t="s">
        <v>3</v>
      </c>
      <c r="J492" s="463"/>
      <c r="K492" s="463"/>
      <c r="L492" s="463" t="s">
        <v>5</v>
      </c>
      <c r="M492" s="463"/>
      <c r="N492" s="463"/>
      <c r="O492" s="463" t="s">
        <v>859</v>
      </c>
      <c r="P492" s="463"/>
      <c r="Q492" s="463"/>
      <c r="R492" s="472"/>
      <c r="S492" s="473"/>
      <c r="T492" s="474"/>
      <c r="U492" s="13"/>
      <c r="V492" s="13"/>
      <c r="W492" s="13"/>
    </row>
    <row r="493" spans="2:24" x14ac:dyDescent="0.25">
      <c r="B493" s="432"/>
      <c r="C493" s="264" t="s">
        <v>73</v>
      </c>
      <c r="D493" s="264" t="s">
        <v>74</v>
      </c>
      <c r="E493" s="264" t="s">
        <v>25</v>
      </c>
      <c r="F493" s="264" t="s">
        <v>73</v>
      </c>
      <c r="G493" s="264" t="s">
        <v>74</v>
      </c>
      <c r="H493" s="264" t="s">
        <v>25</v>
      </c>
      <c r="I493" s="264" t="s">
        <v>73</v>
      </c>
      <c r="J493" s="264" t="s">
        <v>74</v>
      </c>
      <c r="K493" s="264" t="s">
        <v>25</v>
      </c>
      <c r="L493" s="264" t="s">
        <v>73</v>
      </c>
      <c r="M493" s="264" t="s">
        <v>74</v>
      </c>
      <c r="N493" s="264" t="s">
        <v>25</v>
      </c>
      <c r="O493" s="264" t="s">
        <v>73</v>
      </c>
      <c r="P493" s="264" t="s">
        <v>74</v>
      </c>
      <c r="Q493" s="264" t="s">
        <v>25</v>
      </c>
      <c r="R493" s="274" t="s">
        <v>73</v>
      </c>
      <c r="S493" s="274" t="s">
        <v>74</v>
      </c>
      <c r="T493" s="274" t="s">
        <v>25</v>
      </c>
      <c r="U493" s="13"/>
      <c r="V493" s="13"/>
      <c r="W493" s="13"/>
    </row>
    <row r="494" spans="2:24" x14ac:dyDescent="0.25">
      <c r="B494" s="228" t="s">
        <v>373</v>
      </c>
      <c r="C494" s="307">
        <v>1</v>
      </c>
      <c r="D494" s="307">
        <v>0</v>
      </c>
      <c r="E494" s="307">
        <v>1</v>
      </c>
      <c r="F494" s="307">
        <v>1</v>
      </c>
      <c r="G494" s="307">
        <v>1</v>
      </c>
      <c r="H494" s="307">
        <v>2</v>
      </c>
      <c r="I494" s="307">
        <v>0</v>
      </c>
      <c r="J494" s="307">
        <v>0</v>
      </c>
      <c r="K494" s="307">
        <v>0</v>
      </c>
      <c r="L494" s="307">
        <v>0</v>
      </c>
      <c r="M494" s="307">
        <v>0</v>
      </c>
      <c r="N494" s="307">
        <v>0</v>
      </c>
      <c r="O494" s="307">
        <v>0</v>
      </c>
      <c r="P494" s="307">
        <v>0</v>
      </c>
      <c r="Q494" s="307">
        <v>0</v>
      </c>
      <c r="R494" s="295">
        <v>2</v>
      </c>
      <c r="S494" s="295">
        <v>1</v>
      </c>
      <c r="T494" s="295">
        <v>3</v>
      </c>
      <c r="U494" s="13"/>
      <c r="V494" s="13"/>
      <c r="W494" s="13"/>
      <c r="X494" s="13"/>
    </row>
    <row r="495" spans="2:24" x14ac:dyDescent="0.25">
      <c r="B495" s="228" t="s">
        <v>375</v>
      </c>
      <c r="C495" s="307">
        <v>0</v>
      </c>
      <c r="D495" s="307">
        <v>3</v>
      </c>
      <c r="E495" s="307">
        <v>3</v>
      </c>
      <c r="F495" s="307">
        <v>0</v>
      </c>
      <c r="G495" s="307">
        <v>0</v>
      </c>
      <c r="H495" s="307">
        <v>0</v>
      </c>
      <c r="I495" s="307">
        <v>0</v>
      </c>
      <c r="J495" s="307">
        <v>0</v>
      </c>
      <c r="K495" s="307">
        <v>0</v>
      </c>
      <c r="L495" s="307">
        <v>0</v>
      </c>
      <c r="M495" s="307">
        <v>0</v>
      </c>
      <c r="N495" s="307">
        <v>0</v>
      </c>
      <c r="O495" s="307">
        <v>0</v>
      </c>
      <c r="P495" s="307">
        <v>0</v>
      </c>
      <c r="Q495" s="307">
        <v>0</v>
      </c>
      <c r="R495" s="295">
        <v>0</v>
      </c>
      <c r="S495" s="295">
        <v>3</v>
      </c>
      <c r="T495" s="295">
        <v>3</v>
      </c>
      <c r="U495" s="13"/>
      <c r="V495" s="13"/>
      <c r="W495" s="13"/>
      <c r="X495" s="13"/>
    </row>
    <row r="496" spans="2:24" x14ac:dyDescent="0.25">
      <c r="B496" s="229" t="s">
        <v>376</v>
      </c>
      <c r="C496" s="325">
        <v>37</v>
      </c>
      <c r="D496" s="325">
        <v>32</v>
      </c>
      <c r="E496" s="325">
        <v>69</v>
      </c>
      <c r="F496" s="325">
        <v>22</v>
      </c>
      <c r="G496" s="325">
        <v>16</v>
      </c>
      <c r="H496" s="325">
        <v>38</v>
      </c>
      <c r="I496" s="325">
        <v>6</v>
      </c>
      <c r="J496" s="325">
        <v>3</v>
      </c>
      <c r="K496" s="325">
        <v>9</v>
      </c>
      <c r="L496" s="325">
        <v>9</v>
      </c>
      <c r="M496" s="325">
        <v>9</v>
      </c>
      <c r="N496" s="325">
        <v>18</v>
      </c>
      <c r="O496" s="325">
        <v>0</v>
      </c>
      <c r="P496" s="325">
        <v>0</v>
      </c>
      <c r="Q496" s="325">
        <v>0</v>
      </c>
      <c r="R496" s="295">
        <v>74</v>
      </c>
      <c r="S496" s="295">
        <v>60</v>
      </c>
      <c r="T496" s="295">
        <v>134</v>
      </c>
      <c r="U496" s="13"/>
      <c r="V496" s="13"/>
      <c r="W496" s="13"/>
      <c r="X496" s="13"/>
    </row>
    <row r="497" spans="2:24" x14ac:dyDescent="0.25">
      <c r="B497" s="229" t="s">
        <v>377</v>
      </c>
      <c r="C497" s="307">
        <v>2</v>
      </c>
      <c r="D497" s="307">
        <v>9</v>
      </c>
      <c r="E497" s="307">
        <v>11</v>
      </c>
      <c r="F497" s="307">
        <v>5</v>
      </c>
      <c r="G497" s="307">
        <v>5</v>
      </c>
      <c r="H497" s="307">
        <v>10</v>
      </c>
      <c r="I497" s="307">
        <v>0</v>
      </c>
      <c r="J497" s="307">
        <v>1</v>
      </c>
      <c r="K497" s="307">
        <v>1</v>
      </c>
      <c r="L497" s="307">
        <v>0</v>
      </c>
      <c r="M497" s="307">
        <v>1</v>
      </c>
      <c r="N497" s="307">
        <v>1</v>
      </c>
      <c r="O497" s="307">
        <v>0</v>
      </c>
      <c r="P497" s="307">
        <v>0</v>
      </c>
      <c r="Q497" s="307">
        <v>0</v>
      </c>
      <c r="R497" s="295">
        <v>7</v>
      </c>
      <c r="S497" s="295">
        <v>16</v>
      </c>
      <c r="T497" s="295">
        <v>23</v>
      </c>
      <c r="U497" s="13"/>
      <c r="V497" s="13"/>
      <c r="W497" s="13"/>
      <c r="X497" s="13"/>
    </row>
    <row r="498" spans="2:24" x14ac:dyDescent="0.25">
      <c r="B498" s="229" t="s">
        <v>378</v>
      </c>
      <c r="C498" s="307">
        <v>0</v>
      </c>
      <c r="D498" s="307">
        <v>1</v>
      </c>
      <c r="E498" s="307">
        <v>1</v>
      </c>
      <c r="F498" s="307">
        <v>2</v>
      </c>
      <c r="G498" s="307">
        <v>1</v>
      </c>
      <c r="H498" s="307">
        <v>3</v>
      </c>
      <c r="I498" s="307">
        <v>1</v>
      </c>
      <c r="J498" s="307">
        <v>0</v>
      </c>
      <c r="K498" s="307">
        <v>1</v>
      </c>
      <c r="L498" s="307">
        <v>0</v>
      </c>
      <c r="M498" s="307">
        <v>0</v>
      </c>
      <c r="N498" s="307">
        <v>0</v>
      </c>
      <c r="O498" s="307">
        <v>0</v>
      </c>
      <c r="P498" s="307">
        <v>0</v>
      </c>
      <c r="Q498" s="307">
        <v>0</v>
      </c>
      <c r="R498" s="295">
        <v>3</v>
      </c>
      <c r="S498" s="295">
        <v>2</v>
      </c>
      <c r="T498" s="295">
        <v>5</v>
      </c>
      <c r="U498" s="13"/>
      <c r="V498" s="13"/>
      <c r="W498" s="13"/>
      <c r="X498" s="13"/>
    </row>
    <row r="499" spans="2:24" x14ac:dyDescent="0.25">
      <c r="B499" s="230" t="s">
        <v>379</v>
      </c>
      <c r="C499" s="326">
        <v>114</v>
      </c>
      <c r="D499" s="326">
        <v>138</v>
      </c>
      <c r="E499" s="326">
        <v>252</v>
      </c>
      <c r="F499" s="326">
        <v>134</v>
      </c>
      <c r="G499" s="326">
        <v>121</v>
      </c>
      <c r="H499" s="326">
        <v>255</v>
      </c>
      <c r="I499" s="326">
        <v>40</v>
      </c>
      <c r="J499" s="326">
        <v>13</v>
      </c>
      <c r="K499" s="326">
        <v>53</v>
      </c>
      <c r="L499" s="326">
        <v>31</v>
      </c>
      <c r="M499" s="326">
        <v>18</v>
      </c>
      <c r="N499" s="307">
        <v>49</v>
      </c>
      <c r="O499" s="326">
        <v>0</v>
      </c>
      <c r="P499" s="326">
        <v>0</v>
      </c>
      <c r="Q499" s="307">
        <v>0</v>
      </c>
      <c r="R499" s="295">
        <v>319</v>
      </c>
      <c r="S499" s="318">
        <v>290</v>
      </c>
      <c r="T499" s="295">
        <v>609</v>
      </c>
      <c r="U499" s="13"/>
      <c r="V499" s="13"/>
      <c r="W499" s="13"/>
      <c r="X499" s="13"/>
    </row>
    <row r="500" spans="2:24" x14ac:dyDescent="0.25">
      <c r="B500" s="158" t="s">
        <v>381</v>
      </c>
      <c r="C500" s="307">
        <v>0</v>
      </c>
      <c r="D500" s="307">
        <v>1</v>
      </c>
      <c r="E500" s="307">
        <v>1</v>
      </c>
      <c r="F500" s="307">
        <v>0</v>
      </c>
      <c r="G500" s="307">
        <v>0</v>
      </c>
      <c r="H500" s="307">
        <v>0</v>
      </c>
      <c r="I500" s="307">
        <v>0</v>
      </c>
      <c r="J500" s="307">
        <v>0</v>
      </c>
      <c r="K500" s="307">
        <v>0</v>
      </c>
      <c r="L500" s="307">
        <v>0</v>
      </c>
      <c r="M500" s="307">
        <v>0</v>
      </c>
      <c r="N500" s="307">
        <v>0</v>
      </c>
      <c r="O500" s="307">
        <v>0</v>
      </c>
      <c r="P500" s="307">
        <v>0</v>
      </c>
      <c r="Q500" s="307">
        <v>0</v>
      </c>
      <c r="R500" s="295">
        <v>0</v>
      </c>
      <c r="S500" s="295">
        <v>1</v>
      </c>
      <c r="T500" s="295">
        <v>1</v>
      </c>
      <c r="U500" s="13"/>
      <c r="V500" s="13"/>
      <c r="W500" s="13"/>
      <c r="X500" s="13"/>
    </row>
    <row r="501" spans="2:24" x14ac:dyDescent="0.25">
      <c r="B501" s="260" t="s">
        <v>25</v>
      </c>
      <c r="C501" s="282">
        <v>154</v>
      </c>
      <c r="D501" s="282">
        <v>184</v>
      </c>
      <c r="E501" s="282">
        <v>338</v>
      </c>
      <c r="F501" s="282">
        <v>164</v>
      </c>
      <c r="G501" s="282">
        <v>144</v>
      </c>
      <c r="H501" s="285">
        <v>308</v>
      </c>
      <c r="I501" s="282">
        <v>47</v>
      </c>
      <c r="J501" s="285">
        <v>17</v>
      </c>
      <c r="K501" s="282">
        <v>64</v>
      </c>
      <c r="L501" s="285">
        <v>40</v>
      </c>
      <c r="M501" s="282">
        <v>28</v>
      </c>
      <c r="N501" s="285">
        <v>68</v>
      </c>
      <c r="O501" s="285">
        <v>0</v>
      </c>
      <c r="P501" s="282">
        <v>0</v>
      </c>
      <c r="Q501" s="285">
        <v>0</v>
      </c>
      <c r="R501" s="295">
        <v>405</v>
      </c>
      <c r="S501" s="295">
        <v>373</v>
      </c>
      <c r="T501" s="295">
        <v>778</v>
      </c>
      <c r="U501" s="13"/>
      <c r="V501" s="13"/>
      <c r="W501" s="13"/>
      <c r="X501" s="13"/>
    </row>
    <row r="502" spans="2:24" ht="85.5" customHeight="1" x14ac:dyDescent="0.25">
      <c r="B502" s="468" t="s">
        <v>866</v>
      </c>
      <c r="C502" s="468"/>
      <c r="D502" s="468"/>
      <c r="E502" s="468"/>
      <c r="F502" s="468"/>
      <c r="G502" s="468"/>
      <c r="H502" s="468"/>
      <c r="I502" s="468"/>
      <c r="J502" s="468"/>
      <c r="K502" s="468"/>
      <c r="L502" s="468"/>
      <c r="M502" s="468"/>
      <c r="N502" s="468"/>
      <c r="O502" s="468"/>
      <c r="P502" s="468"/>
      <c r="Q502" s="468"/>
      <c r="R502" s="13"/>
      <c r="S502" s="13"/>
      <c r="T502" s="13"/>
      <c r="U502" s="13"/>
      <c r="V502" s="13"/>
      <c r="W502" s="13"/>
    </row>
    <row r="503" spans="2:24" x14ac:dyDescent="0.25">
      <c r="B503" s="157"/>
      <c r="C503" s="157"/>
      <c r="D503" s="157"/>
      <c r="E503"/>
      <c r="F503"/>
      <c r="G503"/>
      <c r="H503" s="13"/>
      <c r="I503" s="13"/>
      <c r="J503" s="13"/>
      <c r="K503" s="13"/>
      <c r="L503" s="13"/>
      <c r="M503" s="13"/>
      <c r="N503" s="13"/>
      <c r="O503" s="13"/>
      <c r="P503" s="13"/>
      <c r="Q503" s="13"/>
      <c r="R503" s="13"/>
      <c r="S503" s="13"/>
      <c r="T503" s="13"/>
      <c r="U503" s="13"/>
      <c r="V503" s="13"/>
      <c r="W503" s="13"/>
    </row>
    <row r="504" spans="2:24" x14ac:dyDescent="0.25">
      <c r="B504" s="157"/>
      <c r="C504" s="157"/>
      <c r="D504" s="157"/>
      <c r="E504" s="157"/>
      <c r="F504" s="157"/>
      <c r="G504"/>
      <c r="H504" s="13"/>
      <c r="I504" s="13"/>
      <c r="J504" s="13"/>
      <c r="K504" s="13"/>
      <c r="L504" s="13"/>
      <c r="M504" s="13"/>
      <c r="N504" s="13"/>
      <c r="O504" s="13"/>
      <c r="P504" s="13"/>
      <c r="Q504" s="13"/>
      <c r="R504" s="13"/>
      <c r="S504" s="13"/>
      <c r="T504" s="13"/>
      <c r="U504" s="13"/>
      <c r="V504" s="13"/>
      <c r="W504" s="13"/>
    </row>
    <row r="524" spans="2:23" x14ac:dyDescent="0.25">
      <c r="B524" s="157"/>
      <c r="C524" s="157"/>
      <c r="D524" s="157"/>
      <c r="E524" s="157"/>
      <c r="F524" s="157"/>
      <c r="G524"/>
      <c r="H524" s="13"/>
      <c r="I524" s="13"/>
      <c r="J524" s="13"/>
      <c r="K524" s="13"/>
      <c r="L524" s="13"/>
      <c r="M524" s="13"/>
      <c r="N524" s="13"/>
      <c r="O524" s="13"/>
      <c r="P524" s="13"/>
      <c r="Q524" s="13"/>
      <c r="R524" s="13"/>
      <c r="S524" s="13"/>
      <c r="T524" s="13"/>
      <c r="U524" s="13"/>
      <c r="V524" s="13"/>
      <c r="W524" s="13"/>
    </row>
    <row r="525" spans="2:23" x14ac:dyDescent="0.25">
      <c r="B525" s="157"/>
      <c r="C525" s="157"/>
      <c r="D525" s="157"/>
      <c r="E525" s="157"/>
      <c r="F525" s="157"/>
      <c r="G525"/>
      <c r="H525" s="13"/>
      <c r="I525" s="13"/>
      <c r="J525" s="13"/>
      <c r="K525" s="13"/>
      <c r="L525" s="13"/>
      <c r="M525" s="13"/>
      <c r="N525" s="13"/>
      <c r="O525" s="13"/>
      <c r="P525" s="13"/>
      <c r="Q525" s="13"/>
      <c r="R525" s="13"/>
      <c r="S525" s="13"/>
      <c r="T525" s="13"/>
      <c r="U525" s="13"/>
      <c r="V525" s="13"/>
      <c r="W525" s="13"/>
    </row>
    <row r="554" spans="2:23" x14ac:dyDescent="0.25">
      <c r="B554" s="157"/>
      <c r="C554" s="189"/>
      <c r="D554" s="189"/>
      <c r="E554" s="189"/>
      <c r="F554" s="189"/>
      <c r="G554"/>
      <c r="H554" s="13"/>
      <c r="I554" s="13"/>
      <c r="J554" s="13"/>
      <c r="K554" s="13"/>
      <c r="L554" s="13"/>
      <c r="M554" s="13"/>
      <c r="N554" s="13"/>
      <c r="O554" s="13"/>
      <c r="P554" s="13"/>
      <c r="Q554" s="13"/>
      <c r="R554" s="13"/>
      <c r="S554" s="13"/>
      <c r="T554" s="13"/>
      <c r="U554" s="13"/>
      <c r="V554" s="13"/>
      <c r="W554" s="13"/>
    </row>
    <row r="555" spans="2:23" x14ac:dyDescent="0.25">
      <c r="G555"/>
      <c r="H555" s="13"/>
      <c r="I555" s="13"/>
      <c r="J555" s="13"/>
      <c r="K555" s="13"/>
      <c r="L555" s="13"/>
      <c r="M555" s="13"/>
      <c r="N555" s="13"/>
      <c r="O555" s="13"/>
      <c r="P555" s="13"/>
      <c r="Q555" s="13"/>
      <c r="R555" s="13"/>
      <c r="S555" s="13"/>
      <c r="T555" s="13"/>
      <c r="U555" s="13"/>
      <c r="V555" s="13"/>
      <c r="W555" s="13"/>
    </row>
    <row r="556" spans="2:23" x14ac:dyDescent="0.25">
      <c r="G556"/>
      <c r="H556" s="13"/>
      <c r="I556" s="13"/>
      <c r="J556" s="13"/>
      <c r="K556" s="13"/>
      <c r="L556" s="13"/>
      <c r="M556" s="13"/>
      <c r="N556" s="13"/>
      <c r="O556" s="13"/>
      <c r="P556" s="13"/>
      <c r="Q556" s="13"/>
      <c r="R556" s="13"/>
      <c r="S556" s="13"/>
      <c r="T556" s="13"/>
      <c r="U556" s="13"/>
      <c r="V556" s="13"/>
      <c r="W556" s="13"/>
    </row>
    <row r="557" spans="2:23" x14ac:dyDescent="0.25">
      <c r="G557"/>
      <c r="H557" s="13"/>
      <c r="I557" s="13"/>
      <c r="J557" s="13"/>
      <c r="K557" s="13"/>
      <c r="L557" s="13"/>
      <c r="M557" s="13"/>
      <c r="N557" s="13"/>
      <c r="O557" s="13"/>
      <c r="P557" s="13"/>
      <c r="Q557" s="13"/>
      <c r="R557" s="13"/>
      <c r="S557" s="13"/>
      <c r="T557" s="13"/>
      <c r="U557" s="13"/>
      <c r="V557" s="13"/>
      <c r="W557" s="13"/>
    </row>
    <row r="558" spans="2:23" x14ac:dyDescent="0.25">
      <c r="G558"/>
      <c r="H558" s="13"/>
      <c r="I558" s="13"/>
      <c r="J558" s="13"/>
      <c r="K558" s="13"/>
      <c r="L558" s="13"/>
      <c r="M558" s="13"/>
      <c r="N558" s="13"/>
      <c r="O558" s="13"/>
      <c r="P558" s="13"/>
      <c r="Q558" s="13"/>
      <c r="R558" s="13"/>
      <c r="S558" s="13"/>
      <c r="T558" s="13"/>
      <c r="U558" s="13"/>
      <c r="V558" s="13"/>
      <c r="W558" s="13"/>
    </row>
    <row r="559" spans="2:23" x14ac:dyDescent="0.25">
      <c r="G559" s="13"/>
      <c r="H559" s="13"/>
      <c r="I559" s="13"/>
      <c r="J559" s="13"/>
      <c r="K559" s="13"/>
      <c r="L559" s="13"/>
      <c r="M559" s="13"/>
      <c r="N559" s="13"/>
      <c r="O559" s="13"/>
      <c r="P559" s="13"/>
      <c r="Q559" s="13"/>
      <c r="R559" s="13"/>
      <c r="S559" s="13"/>
      <c r="T559" s="13"/>
      <c r="U559" s="13"/>
      <c r="V559" s="13"/>
      <c r="W559" s="13"/>
    </row>
    <row r="560" spans="2:23" ht="34.5" customHeight="1" x14ac:dyDescent="0.25">
      <c r="G560" s="13"/>
      <c r="H560" s="13"/>
      <c r="I560" s="13"/>
      <c r="J560" s="13"/>
      <c r="K560" s="13"/>
      <c r="L560" s="13"/>
      <c r="M560" s="13"/>
      <c r="N560" s="13"/>
      <c r="O560" s="13"/>
      <c r="P560" s="13"/>
      <c r="Q560" s="13"/>
      <c r="R560" s="13"/>
    </row>
  </sheetData>
  <mergeCells count="154">
    <mergeCell ref="B93:B95"/>
    <mergeCell ref="O94:Q94"/>
    <mergeCell ref="C93:Q93"/>
    <mergeCell ref="C76:Q76"/>
    <mergeCell ref="C435:Q435"/>
    <mergeCell ref="O436:Q436"/>
    <mergeCell ref="O474:Q474"/>
    <mergeCell ref="C473:Q473"/>
    <mergeCell ref="O223:Q223"/>
    <mergeCell ref="C222:Q222"/>
    <mergeCell ref="O264:Q264"/>
    <mergeCell ref="C263:Q263"/>
    <mergeCell ref="C302:Q302"/>
    <mergeCell ref="O303:Q303"/>
    <mergeCell ref="C373:Q373"/>
    <mergeCell ref="O374:Q374"/>
    <mergeCell ref="O415:Q415"/>
    <mergeCell ref="C414:Q414"/>
    <mergeCell ref="C374:E374"/>
    <mergeCell ref="F374:H374"/>
    <mergeCell ref="I61:K61"/>
    <mergeCell ref="L61:N61"/>
    <mergeCell ref="B72:Q72"/>
    <mergeCell ref="B112:Q112"/>
    <mergeCell ref="O35:Q35"/>
    <mergeCell ref="C34:Q34"/>
    <mergeCell ref="R162:T163"/>
    <mergeCell ref="C116:Q116"/>
    <mergeCell ref="C162:Q162"/>
    <mergeCell ref="R76:T77"/>
    <mergeCell ref="C77:E77"/>
    <mergeCell ref="F77:H77"/>
    <mergeCell ref="I77:K77"/>
    <mergeCell ref="L77:N77"/>
    <mergeCell ref="L94:N94"/>
    <mergeCell ref="B89:Q89"/>
    <mergeCell ref="O77:Q77"/>
    <mergeCell ref="O117:Q117"/>
    <mergeCell ref="R116:T117"/>
    <mergeCell ref="R93:T94"/>
    <mergeCell ref="C94:E94"/>
    <mergeCell ref="F94:H94"/>
    <mergeCell ref="I94:K94"/>
    <mergeCell ref="B76:B78"/>
    <mergeCell ref="I117:K117"/>
    <mergeCell ref="L117:N117"/>
    <mergeCell ref="R222:T223"/>
    <mergeCell ref="C223:E223"/>
    <mergeCell ref="F223:H223"/>
    <mergeCell ref="I223:K223"/>
    <mergeCell ref="L223:N223"/>
    <mergeCell ref="B158:Q158"/>
    <mergeCell ref="B116:B118"/>
    <mergeCell ref="B222:B224"/>
    <mergeCell ref="O8:Q8"/>
    <mergeCell ref="C35:E35"/>
    <mergeCell ref="F35:H35"/>
    <mergeCell ref="I35:K35"/>
    <mergeCell ref="L35:N35"/>
    <mergeCell ref="L46:N46"/>
    <mergeCell ref="R60:T61"/>
    <mergeCell ref="C61:E61"/>
    <mergeCell ref="F61:H61"/>
    <mergeCell ref="O61:Q61"/>
    <mergeCell ref="C60:Q60"/>
    <mergeCell ref="R7:T8"/>
    <mergeCell ref="R45:T46"/>
    <mergeCell ref="F8:H8"/>
    <mergeCell ref="I8:K8"/>
    <mergeCell ref="L8:N8"/>
    <mergeCell ref="B56:Q56"/>
    <mergeCell ref="C8:E8"/>
    <mergeCell ref="B45:B47"/>
    <mergeCell ref="B7:B9"/>
    <mergeCell ref="I29:I30"/>
    <mergeCell ref="B60:B62"/>
    <mergeCell ref="C7:Q7"/>
    <mergeCell ref="O46:Q46"/>
    <mergeCell ref="B27:T27"/>
    <mergeCell ref="C46:E46"/>
    <mergeCell ref="F46:H46"/>
    <mergeCell ref="I46:K46"/>
    <mergeCell ref="B34:B36"/>
    <mergeCell ref="R332:T333"/>
    <mergeCell ref="C333:E333"/>
    <mergeCell ref="F333:H333"/>
    <mergeCell ref="I333:K333"/>
    <mergeCell ref="L333:N333"/>
    <mergeCell ref="B297:Q297"/>
    <mergeCell ref="B263:B265"/>
    <mergeCell ref="B327:Q327"/>
    <mergeCell ref="R302:T303"/>
    <mergeCell ref="C303:E303"/>
    <mergeCell ref="C332:Q332"/>
    <mergeCell ref="O333:Q333"/>
    <mergeCell ref="B332:B334"/>
    <mergeCell ref="F303:H303"/>
    <mergeCell ref="I303:K303"/>
    <mergeCell ref="L303:N303"/>
    <mergeCell ref="B302:B304"/>
    <mergeCell ref="R34:T35"/>
    <mergeCell ref="C117:E117"/>
    <mergeCell ref="R491:T492"/>
    <mergeCell ref="C492:E492"/>
    <mergeCell ref="F492:H492"/>
    <mergeCell ref="B41:Q41"/>
    <mergeCell ref="I492:K492"/>
    <mergeCell ref="L492:N492"/>
    <mergeCell ref="B218:Q218"/>
    <mergeCell ref="C415:E415"/>
    <mergeCell ref="F415:H415"/>
    <mergeCell ref="I415:K415"/>
    <mergeCell ref="L415:N415"/>
    <mergeCell ref="B473:B475"/>
    <mergeCell ref="B435:B437"/>
    <mergeCell ref="R435:T436"/>
    <mergeCell ref="C436:E436"/>
    <mergeCell ref="F436:H436"/>
    <mergeCell ref="I436:K436"/>
    <mergeCell ref="L436:N436"/>
    <mergeCell ref="R373:T374"/>
    <mergeCell ref="C45:Q45"/>
    <mergeCell ref="O163:Q163"/>
    <mergeCell ref="B373:B375"/>
    <mergeCell ref="B414:B416"/>
    <mergeCell ref="F117:H117"/>
    <mergeCell ref="O492:Q492"/>
    <mergeCell ref="C491:Q491"/>
    <mergeCell ref="B502:Q502"/>
    <mergeCell ref="C163:E163"/>
    <mergeCell ref="F163:H163"/>
    <mergeCell ref="I163:K163"/>
    <mergeCell ref="L163:N163"/>
    <mergeCell ref="B162:B164"/>
    <mergeCell ref="B491:B493"/>
    <mergeCell ref="B430:Q430"/>
    <mergeCell ref="I374:K374"/>
    <mergeCell ref="L374:N374"/>
    <mergeCell ref="C264:E264"/>
    <mergeCell ref="F264:H264"/>
    <mergeCell ref="I264:K264"/>
    <mergeCell ref="L264:N264"/>
    <mergeCell ref="R473:T474"/>
    <mergeCell ref="C474:E474"/>
    <mergeCell ref="F474:H474"/>
    <mergeCell ref="B469:Q469"/>
    <mergeCell ref="B487:Q487"/>
    <mergeCell ref="B259:Q259"/>
    <mergeCell ref="B369:Q369"/>
    <mergeCell ref="I474:K474"/>
    <mergeCell ref="L474:N474"/>
    <mergeCell ref="B409:Q409"/>
    <mergeCell ref="R414:T415"/>
    <mergeCell ref="R263:T264"/>
  </mergeCells>
  <pageMargins left="0.7" right="0.7" top="0.75" bottom="0.75" header="0.3" footer="0.3"/>
  <pageSetup scale="8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Z227"/>
  <sheetViews>
    <sheetView workbookViewId="0">
      <selection activeCell="B17" sqref="B17"/>
    </sheetView>
    <sheetView showGridLines="0" workbookViewId="1"/>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696</v>
      </c>
    </row>
    <row r="4" spans="2:17" ht="18.75" x14ac:dyDescent="0.3">
      <c r="B4" s="2" t="s">
        <v>743</v>
      </c>
      <c r="C4" s="8"/>
      <c r="D4" s="8"/>
      <c r="E4" s="8"/>
      <c r="F4" s="8"/>
      <c r="G4" s="8"/>
      <c r="H4"/>
      <c r="I4"/>
    </row>
    <row r="5" spans="2:17" x14ac:dyDescent="0.25">
      <c r="B5" s="484" t="s">
        <v>912</v>
      </c>
      <c r="C5" s="484"/>
      <c r="D5" s="484"/>
      <c r="E5" s="484"/>
      <c r="F5" s="484"/>
      <c r="G5" s="484"/>
      <c r="H5" s="484"/>
    </row>
    <row r="6" spans="2:17" x14ac:dyDescent="0.25">
      <c r="B6" s="3"/>
      <c r="C6" s="3"/>
      <c r="D6" s="3"/>
      <c r="E6" s="3"/>
      <c r="F6" s="3"/>
      <c r="G6" s="3"/>
      <c r="H6" s="3"/>
    </row>
    <row r="7" spans="2:17" ht="17.25" x14ac:dyDescent="0.25">
      <c r="B7" s="486" t="s">
        <v>478</v>
      </c>
      <c r="C7" s="485" t="s">
        <v>873</v>
      </c>
      <c r="D7" s="485"/>
      <c r="E7" s="485"/>
      <c r="F7" s="3"/>
      <c r="G7" s="3"/>
      <c r="H7" s="3"/>
    </row>
    <row r="8" spans="2:17" x14ac:dyDescent="0.25">
      <c r="B8" s="486"/>
      <c r="C8" s="327" t="s">
        <v>73</v>
      </c>
      <c r="D8" s="327" t="s">
        <v>74</v>
      </c>
      <c r="E8" s="327" t="s">
        <v>588</v>
      </c>
      <c r="F8" s="3"/>
      <c r="G8" s="3"/>
      <c r="H8" s="3"/>
    </row>
    <row r="9" spans="2:17" ht="17.25" x14ac:dyDescent="0.25">
      <c r="B9" s="241" t="s">
        <v>857</v>
      </c>
      <c r="C9" s="328">
        <v>9714</v>
      </c>
      <c r="D9" s="328">
        <v>9739</v>
      </c>
      <c r="E9" s="328">
        <v>19453</v>
      </c>
      <c r="F9" s="3"/>
      <c r="G9" s="3"/>
      <c r="H9" s="3"/>
    </row>
    <row r="10" spans="2:17" ht="17.25" x14ac:dyDescent="0.25">
      <c r="B10" s="241" t="s">
        <v>858</v>
      </c>
      <c r="C10" s="328">
        <v>8664</v>
      </c>
      <c r="D10" s="328">
        <v>5589</v>
      </c>
      <c r="E10" s="328">
        <v>14253</v>
      </c>
      <c r="F10" s="3"/>
      <c r="G10" s="3"/>
      <c r="H10" s="3"/>
    </row>
    <row r="11" spans="2:17" x14ac:dyDescent="0.25">
      <c r="B11" s="241" t="s">
        <v>841</v>
      </c>
      <c r="C11" s="328">
        <v>298</v>
      </c>
      <c r="D11" s="328">
        <v>248</v>
      </c>
      <c r="E11" s="328">
        <v>546</v>
      </c>
      <c r="F11" s="3"/>
      <c r="G11" s="3"/>
      <c r="H11" s="3"/>
    </row>
    <row r="12" spans="2:17" x14ac:dyDescent="0.25">
      <c r="B12" s="259" t="s">
        <v>843</v>
      </c>
      <c r="C12" s="328">
        <v>694</v>
      </c>
      <c r="D12" s="328">
        <v>1057</v>
      </c>
      <c r="E12" s="328">
        <v>1751</v>
      </c>
      <c r="F12" s="3"/>
      <c r="G12" s="3"/>
      <c r="H12" s="3"/>
    </row>
    <row r="13" spans="2:17" ht="30" x14ac:dyDescent="0.25">
      <c r="B13" s="257" t="s">
        <v>859</v>
      </c>
      <c r="C13" s="328">
        <v>6</v>
      </c>
      <c r="D13" s="328">
        <v>12</v>
      </c>
      <c r="E13" s="328">
        <v>18</v>
      </c>
      <c r="F13" s="3"/>
      <c r="G13" s="3"/>
      <c r="H13" s="3"/>
    </row>
    <row r="14" spans="2:17" x14ac:dyDescent="0.25">
      <c r="B14" s="245" t="s">
        <v>476</v>
      </c>
      <c r="C14" s="285">
        <v>19376</v>
      </c>
      <c r="D14" s="285">
        <v>16645</v>
      </c>
      <c r="E14" s="285">
        <v>36021</v>
      </c>
    </row>
    <row r="15" spans="2:17" ht="84.75" customHeight="1" x14ac:dyDescent="0.25">
      <c r="B15" s="468" t="s">
        <v>863</v>
      </c>
      <c r="C15" s="468"/>
      <c r="D15" s="468"/>
      <c r="E15" s="468"/>
      <c r="F15" s="468"/>
      <c r="G15" s="468"/>
      <c r="H15" s="468"/>
      <c r="I15" s="468"/>
      <c r="J15" s="468"/>
      <c r="K15" s="468"/>
      <c r="L15" s="468"/>
      <c r="M15" s="468"/>
      <c r="N15" s="468"/>
      <c r="O15" s="468"/>
      <c r="P15" s="468"/>
      <c r="Q15" s="468"/>
    </row>
    <row r="17" spans="2:26" ht="18.75" x14ac:dyDescent="0.3">
      <c r="B17" s="2" t="s">
        <v>766</v>
      </c>
      <c r="C17" s="2"/>
      <c r="D17" s="2"/>
      <c r="E17" s="2"/>
      <c r="F17" s="2"/>
      <c r="G17" s="2"/>
      <c r="H17" s="2"/>
      <c r="I17"/>
    </row>
    <row r="18" spans="2:26" x14ac:dyDescent="0.25">
      <c r="B18" s="487" t="s">
        <v>913</v>
      </c>
      <c r="C18" s="487"/>
      <c r="D18" s="487"/>
      <c r="E18" s="487"/>
      <c r="F18" s="487"/>
      <c r="G18" s="487"/>
      <c r="H18" s="487"/>
    </row>
    <row r="19" spans="2:26" x14ac:dyDescent="0.25">
      <c r="B19" s="3"/>
      <c r="C19" s="3"/>
      <c r="D19" s="3"/>
      <c r="E19" s="3"/>
      <c r="F19" s="3"/>
      <c r="G19" s="3"/>
      <c r="H19" s="3"/>
    </row>
    <row r="20" spans="2:26" ht="15" customHeight="1" x14ac:dyDescent="0.25">
      <c r="B20" s="457" t="s">
        <v>472</v>
      </c>
      <c r="C20" s="451" t="s">
        <v>477</v>
      </c>
      <c r="D20" s="452"/>
      <c r="E20" s="452"/>
      <c r="F20" s="452"/>
      <c r="G20" s="452"/>
      <c r="H20" s="452"/>
      <c r="I20" s="452"/>
      <c r="J20" s="452"/>
      <c r="K20" s="452"/>
      <c r="L20" s="452"/>
      <c r="M20" s="452"/>
      <c r="N20" s="452"/>
      <c r="O20" s="452"/>
      <c r="P20" s="452"/>
      <c r="Q20" s="452"/>
      <c r="R20" s="452"/>
      <c r="S20" s="452"/>
      <c r="T20" s="452"/>
      <c r="U20" s="452"/>
      <c r="V20" s="452"/>
      <c r="W20" s="453"/>
      <c r="X20" s="455" t="s">
        <v>874</v>
      </c>
      <c r="Y20" s="455"/>
      <c r="Z20" s="455"/>
    </row>
    <row r="21" spans="2:26" ht="15" customHeight="1" x14ac:dyDescent="0.25">
      <c r="B21" s="457"/>
      <c r="C21" s="456" t="s">
        <v>868</v>
      </c>
      <c r="D21" s="456"/>
      <c r="E21" s="456"/>
      <c r="F21" s="456" t="s">
        <v>869</v>
      </c>
      <c r="G21" s="456"/>
      <c r="H21" s="456"/>
      <c r="I21" s="456" t="s">
        <v>870</v>
      </c>
      <c r="J21" s="456"/>
      <c r="K21" s="456"/>
      <c r="L21" s="456" t="s">
        <v>871</v>
      </c>
      <c r="M21" s="456"/>
      <c r="N21" s="456"/>
      <c r="O21" s="456" t="s">
        <v>3</v>
      </c>
      <c r="P21" s="456"/>
      <c r="Q21" s="456"/>
      <c r="R21" s="456" t="s">
        <v>5</v>
      </c>
      <c r="S21" s="456"/>
      <c r="T21" s="456"/>
      <c r="U21" s="448" t="s">
        <v>859</v>
      </c>
      <c r="V21" s="449"/>
      <c r="W21" s="450"/>
      <c r="X21" s="455"/>
      <c r="Y21" s="455"/>
      <c r="Z21" s="455"/>
    </row>
    <row r="22" spans="2:26" x14ac:dyDescent="0.25">
      <c r="B22" s="457"/>
      <c r="C22" s="298" t="s">
        <v>73</v>
      </c>
      <c r="D22" s="298" t="s">
        <v>74</v>
      </c>
      <c r="E22" s="298" t="s">
        <v>25</v>
      </c>
      <c r="F22" s="298" t="s">
        <v>73</v>
      </c>
      <c r="G22" s="298" t="s">
        <v>74</v>
      </c>
      <c r="H22" s="298" t="s">
        <v>25</v>
      </c>
      <c r="I22" s="298" t="s">
        <v>73</v>
      </c>
      <c r="J22" s="298" t="s">
        <v>74</v>
      </c>
      <c r="K22" s="298" t="s">
        <v>25</v>
      </c>
      <c r="L22" s="298" t="s">
        <v>73</v>
      </c>
      <c r="M22" s="298" t="s">
        <v>74</v>
      </c>
      <c r="N22" s="298" t="s">
        <v>25</v>
      </c>
      <c r="O22" s="298" t="s">
        <v>73</v>
      </c>
      <c r="P22" s="298" t="s">
        <v>74</v>
      </c>
      <c r="Q22" s="298" t="s">
        <v>25</v>
      </c>
      <c r="R22" s="298" t="s">
        <v>73</v>
      </c>
      <c r="S22" s="298" t="s">
        <v>74</v>
      </c>
      <c r="T22" s="298" t="s">
        <v>25</v>
      </c>
      <c r="U22" s="298" t="s">
        <v>73</v>
      </c>
      <c r="V22" s="298" t="s">
        <v>74</v>
      </c>
      <c r="W22" s="298" t="s">
        <v>25</v>
      </c>
      <c r="X22" s="306" t="s">
        <v>73</v>
      </c>
      <c r="Y22" s="306" t="s">
        <v>74</v>
      </c>
      <c r="Z22" s="306" t="s">
        <v>25</v>
      </c>
    </row>
    <row r="23" spans="2:26" hidden="1" outlineLevel="1" x14ac:dyDescent="0.25">
      <c r="B23" s="304">
        <v>39630</v>
      </c>
      <c r="C23" s="329">
        <v>0</v>
      </c>
      <c r="D23" s="329">
        <v>0</v>
      </c>
      <c r="E23" s="329">
        <v>0</v>
      </c>
      <c r="F23" s="329">
        <v>0</v>
      </c>
      <c r="G23" s="329">
        <v>0</v>
      </c>
      <c r="H23" s="329">
        <v>0</v>
      </c>
      <c r="I23" s="329">
        <v>36571</v>
      </c>
      <c r="J23" s="329">
        <v>7919</v>
      </c>
      <c r="K23" s="329">
        <v>44490</v>
      </c>
      <c r="L23" s="329">
        <v>2047</v>
      </c>
      <c r="M23" s="329">
        <v>805</v>
      </c>
      <c r="N23" s="329">
        <v>2852</v>
      </c>
      <c r="O23" s="329">
        <v>4876</v>
      </c>
      <c r="P23" s="329">
        <v>1751</v>
      </c>
      <c r="Q23" s="329">
        <v>6627</v>
      </c>
      <c r="R23" s="329">
        <v>203</v>
      </c>
      <c r="S23" s="329">
        <v>171</v>
      </c>
      <c r="T23" s="329">
        <v>374</v>
      </c>
      <c r="U23" s="329">
        <v>0</v>
      </c>
      <c r="V23" s="329">
        <v>0</v>
      </c>
      <c r="W23" s="329">
        <v>0</v>
      </c>
      <c r="X23" s="330">
        <v>43697</v>
      </c>
      <c r="Y23" s="330">
        <v>10646</v>
      </c>
      <c r="Z23" s="330">
        <v>54343</v>
      </c>
    </row>
    <row r="24" spans="2:26" hidden="1" outlineLevel="1" x14ac:dyDescent="0.25">
      <c r="B24" s="304">
        <v>39661</v>
      </c>
      <c r="C24" s="329">
        <v>0</v>
      </c>
      <c r="D24" s="329">
        <v>0</v>
      </c>
      <c r="E24" s="329">
        <v>0</v>
      </c>
      <c r="F24" s="329">
        <v>0</v>
      </c>
      <c r="G24" s="329">
        <v>0</v>
      </c>
      <c r="H24" s="329">
        <v>0</v>
      </c>
      <c r="I24" s="329">
        <v>8864</v>
      </c>
      <c r="J24" s="329">
        <v>2750</v>
      </c>
      <c r="K24" s="329">
        <v>11614</v>
      </c>
      <c r="L24" s="329">
        <v>1302</v>
      </c>
      <c r="M24" s="329">
        <v>526</v>
      </c>
      <c r="N24" s="329">
        <v>1828</v>
      </c>
      <c r="O24" s="329">
        <v>3833</v>
      </c>
      <c r="P24" s="329">
        <v>1473</v>
      </c>
      <c r="Q24" s="329">
        <v>5306</v>
      </c>
      <c r="R24" s="329">
        <v>103</v>
      </c>
      <c r="S24" s="329">
        <v>128</v>
      </c>
      <c r="T24" s="329">
        <v>231</v>
      </c>
      <c r="U24" s="329">
        <v>0</v>
      </c>
      <c r="V24" s="329">
        <v>0</v>
      </c>
      <c r="W24" s="329">
        <v>0</v>
      </c>
      <c r="X24" s="330">
        <v>14102</v>
      </c>
      <c r="Y24" s="330">
        <v>4877</v>
      </c>
      <c r="Z24" s="330">
        <v>18979</v>
      </c>
    </row>
    <row r="25" spans="2:26" hidden="1" outlineLevel="1" x14ac:dyDescent="0.25">
      <c r="B25" s="304">
        <v>39692</v>
      </c>
      <c r="C25" s="329">
        <v>0</v>
      </c>
      <c r="D25" s="329">
        <v>0</v>
      </c>
      <c r="E25" s="329">
        <v>0</v>
      </c>
      <c r="F25" s="329">
        <v>0</v>
      </c>
      <c r="G25" s="329">
        <v>0</v>
      </c>
      <c r="H25" s="329">
        <v>0</v>
      </c>
      <c r="I25" s="329">
        <v>6899</v>
      </c>
      <c r="J25" s="329">
        <v>2045</v>
      </c>
      <c r="K25" s="329">
        <v>8944</v>
      </c>
      <c r="L25" s="329">
        <v>863</v>
      </c>
      <c r="M25" s="329">
        <v>399</v>
      </c>
      <c r="N25" s="329">
        <v>1262</v>
      </c>
      <c r="O25" s="329">
        <v>2050</v>
      </c>
      <c r="P25" s="329">
        <v>766</v>
      </c>
      <c r="Q25" s="329">
        <v>2816</v>
      </c>
      <c r="R25" s="329">
        <v>81</v>
      </c>
      <c r="S25" s="329">
        <v>98</v>
      </c>
      <c r="T25" s="329">
        <v>179</v>
      </c>
      <c r="U25" s="329">
        <v>0</v>
      </c>
      <c r="V25" s="329">
        <v>0</v>
      </c>
      <c r="W25" s="329">
        <v>0</v>
      </c>
      <c r="X25" s="330">
        <v>9893</v>
      </c>
      <c r="Y25" s="330">
        <v>3308</v>
      </c>
      <c r="Z25" s="330">
        <v>13201</v>
      </c>
    </row>
    <row r="26" spans="2:26" hidden="1" outlineLevel="1" x14ac:dyDescent="0.25">
      <c r="B26" s="304">
        <v>39722</v>
      </c>
      <c r="C26" s="329">
        <v>0</v>
      </c>
      <c r="D26" s="329">
        <v>0</v>
      </c>
      <c r="E26" s="329">
        <v>0</v>
      </c>
      <c r="F26" s="329">
        <v>0</v>
      </c>
      <c r="G26" s="329">
        <v>0</v>
      </c>
      <c r="H26" s="329">
        <v>0</v>
      </c>
      <c r="I26" s="329">
        <v>5971</v>
      </c>
      <c r="J26" s="329">
        <v>1753</v>
      </c>
      <c r="K26" s="329">
        <v>7724</v>
      </c>
      <c r="L26" s="329">
        <v>806</v>
      </c>
      <c r="M26" s="329">
        <v>425</v>
      </c>
      <c r="N26" s="329">
        <v>1231</v>
      </c>
      <c r="O26" s="329">
        <v>2033</v>
      </c>
      <c r="P26" s="329">
        <v>786</v>
      </c>
      <c r="Q26" s="329">
        <v>2819</v>
      </c>
      <c r="R26" s="329">
        <v>90</v>
      </c>
      <c r="S26" s="329">
        <v>76</v>
      </c>
      <c r="T26" s="329">
        <v>166</v>
      </c>
      <c r="U26" s="329">
        <v>0</v>
      </c>
      <c r="V26" s="329">
        <v>0</v>
      </c>
      <c r="W26" s="329">
        <v>0</v>
      </c>
      <c r="X26" s="330">
        <v>8900</v>
      </c>
      <c r="Y26" s="330">
        <v>3040</v>
      </c>
      <c r="Z26" s="330">
        <v>11940</v>
      </c>
    </row>
    <row r="27" spans="2:26" hidden="1" outlineLevel="1" x14ac:dyDescent="0.25">
      <c r="B27" s="304">
        <v>39753</v>
      </c>
      <c r="C27" s="329">
        <v>0</v>
      </c>
      <c r="D27" s="329">
        <v>0</v>
      </c>
      <c r="E27" s="329">
        <v>0</v>
      </c>
      <c r="F27" s="329">
        <v>0</v>
      </c>
      <c r="G27" s="329">
        <v>0</v>
      </c>
      <c r="H27" s="329">
        <v>0</v>
      </c>
      <c r="I27" s="329">
        <v>4376</v>
      </c>
      <c r="J27" s="329">
        <v>1271</v>
      </c>
      <c r="K27" s="329">
        <v>5647</v>
      </c>
      <c r="L27" s="329">
        <v>685</v>
      </c>
      <c r="M27" s="329">
        <v>414</v>
      </c>
      <c r="N27" s="329">
        <v>1099</v>
      </c>
      <c r="O27" s="329">
        <v>1317</v>
      </c>
      <c r="P27" s="329">
        <v>603</v>
      </c>
      <c r="Q27" s="329">
        <v>1920</v>
      </c>
      <c r="R27" s="329">
        <v>151</v>
      </c>
      <c r="S27" s="329">
        <v>125</v>
      </c>
      <c r="T27" s="329">
        <v>276</v>
      </c>
      <c r="U27" s="329">
        <v>0</v>
      </c>
      <c r="V27" s="329">
        <v>0</v>
      </c>
      <c r="W27" s="329">
        <v>0</v>
      </c>
      <c r="X27" s="330">
        <v>6529</v>
      </c>
      <c r="Y27" s="330">
        <v>2413</v>
      </c>
      <c r="Z27" s="330">
        <v>8942</v>
      </c>
    </row>
    <row r="28" spans="2:26" collapsed="1" x14ac:dyDescent="0.25">
      <c r="B28" s="304">
        <v>39783</v>
      </c>
      <c r="C28" s="329">
        <v>0</v>
      </c>
      <c r="D28" s="329">
        <v>0</v>
      </c>
      <c r="E28" s="329">
        <v>0</v>
      </c>
      <c r="F28" s="329">
        <v>0</v>
      </c>
      <c r="G28" s="329">
        <v>0</v>
      </c>
      <c r="H28" s="329">
        <v>0</v>
      </c>
      <c r="I28" s="329">
        <v>4091</v>
      </c>
      <c r="J28" s="329">
        <v>1225</v>
      </c>
      <c r="K28" s="329">
        <v>5316</v>
      </c>
      <c r="L28" s="329">
        <v>722</v>
      </c>
      <c r="M28" s="329">
        <v>488</v>
      </c>
      <c r="N28" s="329">
        <v>1210</v>
      </c>
      <c r="O28" s="329">
        <v>1355</v>
      </c>
      <c r="P28" s="329">
        <v>597</v>
      </c>
      <c r="Q28" s="329">
        <v>1952</v>
      </c>
      <c r="R28" s="329">
        <v>188</v>
      </c>
      <c r="S28" s="329">
        <v>127</v>
      </c>
      <c r="T28" s="329">
        <v>315</v>
      </c>
      <c r="U28" s="329">
        <v>0</v>
      </c>
      <c r="V28" s="329">
        <v>0</v>
      </c>
      <c r="W28" s="329">
        <v>0</v>
      </c>
      <c r="X28" s="330">
        <v>6356</v>
      </c>
      <c r="Y28" s="330">
        <v>2437</v>
      </c>
      <c r="Z28" s="330">
        <v>8793</v>
      </c>
    </row>
    <row r="29" spans="2:26" hidden="1" outlineLevel="1" x14ac:dyDescent="0.25">
      <c r="B29" s="304">
        <v>39814</v>
      </c>
      <c r="C29" s="329">
        <v>0</v>
      </c>
      <c r="D29" s="329">
        <v>0</v>
      </c>
      <c r="E29" s="329">
        <v>0</v>
      </c>
      <c r="F29" s="329">
        <v>0</v>
      </c>
      <c r="G29" s="329">
        <v>0</v>
      </c>
      <c r="H29" s="329">
        <v>0</v>
      </c>
      <c r="I29" s="329">
        <v>3284</v>
      </c>
      <c r="J29" s="329">
        <v>1182</v>
      </c>
      <c r="K29" s="329">
        <v>4466</v>
      </c>
      <c r="L29" s="329">
        <v>689</v>
      </c>
      <c r="M29" s="329">
        <v>544</v>
      </c>
      <c r="N29" s="329">
        <v>1233</v>
      </c>
      <c r="O29" s="329">
        <v>1263</v>
      </c>
      <c r="P29" s="329">
        <v>503</v>
      </c>
      <c r="Q29" s="329">
        <v>1766</v>
      </c>
      <c r="R29" s="329">
        <v>258</v>
      </c>
      <c r="S29" s="329">
        <v>166</v>
      </c>
      <c r="T29" s="329">
        <v>424</v>
      </c>
      <c r="U29" s="329">
        <v>0</v>
      </c>
      <c r="V29" s="329">
        <v>0</v>
      </c>
      <c r="W29" s="329">
        <v>0</v>
      </c>
      <c r="X29" s="330">
        <v>5494</v>
      </c>
      <c r="Y29" s="330">
        <v>2395</v>
      </c>
      <c r="Z29" s="330">
        <v>7889</v>
      </c>
    </row>
    <row r="30" spans="2:26" hidden="1" outlineLevel="1" x14ac:dyDescent="0.25">
      <c r="B30" s="304">
        <v>39845</v>
      </c>
      <c r="C30" s="329">
        <v>0</v>
      </c>
      <c r="D30" s="329">
        <v>0</v>
      </c>
      <c r="E30" s="329">
        <v>0</v>
      </c>
      <c r="F30" s="329">
        <v>0</v>
      </c>
      <c r="G30" s="329">
        <v>0</v>
      </c>
      <c r="H30" s="329">
        <v>0</v>
      </c>
      <c r="I30" s="329">
        <v>2477</v>
      </c>
      <c r="J30" s="329">
        <v>875</v>
      </c>
      <c r="K30" s="329">
        <v>3352</v>
      </c>
      <c r="L30" s="329">
        <v>603</v>
      </c>
      <c r="M30" s="329">
        <v>502</v>
      </c>
      <c r="N30" s="329">
        <v>1105</v>
      </c>
      <c r="O30" s="329">
        <v>943</v>
      </c>
      <c r="P30" s="329">
        <v>493</v>
      </c>
      <c r="Q30" s="329">
        <v>1436</v>
      </c>
      <c r="R30" s="329">
        <v>269</v>
      </c>
      <c r="S30" s="329">
        <v>192</v>
      </c>
      <c r="T30" s="329">
        <v>461</v>
      </c>
      <c r="U30" s="329">
        <v>0</v>
      </c>
      <c r="V30" s="329">
        <v>0</v>
      </c>
      <c r="W30" s="329">
        <v>0</v>
      </c>
      <c r="X30" s="330">
        <v>4292</v>
      </c>
      <c r="Y30" s="330">
        <v>2062</v>
      </c>
      <c r="Z30" s="330">
        <v>6354</v>
      </c>
    </row>
    <row r="31" spans="2:26" hidden="1" outlineLevel="1" x14ac:dyDescent="0.25">
      <c r="B31" s="304">
        <v>39873</v>
      </c>
      <c r="C31" s="329">
        <v>0</v>
      </c>
      <c r="D31" s="329">
        <v>0</v>
      </c>
      <c r="E31" s="329">
        <v>0</v>
      </c>
      <c r="F31" s="329">
        <v>0</v>
      </c>
      <c r="G31" s="329">
        <v>0</v>
      </c>
      <c r="H31" s="329">
        <v>0</v>
      </c>
      <c r="I31" s="329">
        <v>3202</v>
      </c>
      <c r="J31" s="329">
        <v>1062</v>
      </c>
      <c r="K31" s="329">
        <v>4264</v>
      </c>
      <c r="L31" s="329">
        <v>704</v>
      </c>
      <c r="M31" s="329">
        <v>640</v>
      </c>
      <c r="N31" s="329">
        <v>1344</v>
      </c>
      <c r="O31" s="329">
        <v>1333</v>
      </c>
      <c r="P31" s="329">
        <v>560</v>
      </c>
      <c r="Q31" s="329">
        <v>1893</v>
      </c>
      <c r="R31" s="329">
        <v>308</v>
      </c>
      <c r="S31" s="329">
        <v>255</v>
      </c>
      <c r="T31" s="329">
        <v>563</v>
      </c>
      <c r="U31" s="329">
        <v>0</v>
      </c>
      <c r="V31" s="329">
        <v>0</v>
      </c>
      <c r="W31" s="329">
        <v>0</v>
      </c>
      <c r="X31" s="330">
        <v>5547</v>
      </c>
      <c r="Y31" s="330">
        <v>2517</v>
      </c>
      <c r="Z31" s="330">
        <v>8064</v>
      </c>
    </row>
    <row r="32" spans="2:26" hidden="1" outlineLevel="1" x14ac:dyDescent="0.25">
      <c r="B32" s="304">
        <v>39904</v>
      </c>
      <c r="C32" s="329">
        <v>0</v>
      </c>
      <c r="D32" s="329">
        <v>0</v>
      </c>
      <c r="E32" s="329">
        <v>0</v>
      </c>
      <c r="F32" s="329">
        <v>0</v>
      </c>
      <c r="G32" s="329">
        <v>0</v>
      </c>
      <c r="H32" s="329">
        <v>0</v>
      </c>
      <c r="I32" s="329">
        <v>2863</v>
      </c>
      <c r="J32" s="329">
        <v>937</v>
      </c>
      <c r="K32" s="329">
        <v>3800</v>
      </c>
      <c r="L32" s="329">
        <v>673</v>
      </c>
      <c r="M32" s="329">
        <v>572</v>
      </c>
      <c r="N32" s="329">
        <v>1245</v>
      </c>
      <c r="O32" s="329">
        <v>1239</v>
      </c>
      <c r="P32" s="329">
        <v>525</v>
      </c>
      <c r="Q32" s="329">
        <v>1764</v>
      </c>
      <c r="R32" s="329">
        <v>338</v>
      </c>
      <c r="S32" s="329">
        <v>244</v>
      </c>
      <c r="T32" s="329">
        <v>582</v>
      </c>
      <c r="U32" s="329">
        <v>0</v>
      </c>
      <c r="V32" s="329">
        <v>0</v>
      </c>
      <c r="W32" s="329">
        <v>0</v>
      </c>
      <c r="X32" s="330">
        <v>5113</v>
      </c>
      <c r="Y32" s="330">
        <v>2278</v>
      </c>
      <c r="Z32" s="330">
        <v>7391</v>
      </c>
    </row>
    <row r="33" spans="2:26" hidden="1" outlineLevel="1" x14ac:dyDescent="0.25">
      <c r="B33" s="304">
        <v>39934</v>
      </c>
      <c r="C33" s="329">
        <v>0</v>
      </c>
      <c r="D33" s="329">
        <v>0</v>
      </c>
      <c r="E33" s="329">
        <v>0</v>
      </c>
      <c r="F33" s="329">
        <v>0</v>
      </c>
      <c r="G33" s="329">
        <v>0</v>
      </c>
      <c r="H33" s="329">
        <v>0</v>
      </c>
      <c r="I33" s="329">
        <v>2602</v>
      </c>
      <c r="J33" s="329">
        <v>877</v>
      </c>
      <c r="K33" s="329">
        <v>3479</v>
      </c>
      <c r="L33" s="329">
        <v>554</v>
      </c>
      <c r="M33" s="329">
        <v>547</v>
      </c>
      <c r="N33" s="329">
        <v>1101</v>
      </c>
      <c r="O33" s="329">
        <v>1042</v>
      </c>
      <c r="P33" s="329">
        <v>442</v>
      </c>
      <c r="Q33" s="329">
        <v>1484</v>
      </c>
      <c r="R33" s="329">
        <v>388</v>
      </c>
      <c r="S33" s="329">
        <v>259</v>
      </c>
      <c r="T33" s="329">
        <v>647</v>
      </c>
      <c r="U33" s="329">
        <v>0</v>
      </c>
      <c r="V33" s="329">
        <v>0</v>
      </c>
      <c r="W33" s="329">
        <v>0</v>
      </c>
      <c r="X33" s="330">
        <v>4586</v>
      </c>
      <c r="Y33" s="330">
        <v>2125</v>
      </c>
      <c r="Z33" s="330">
        <v>6711</v>
      </c>
    </row>
    <row r="34" spans="2:26" hidden="1" outlineLevel="1" x14ac:dyDescent="0.25">
      <c r="B34" s="304">
        <v>39965</v>
      </c>
      <c r="C34" s="329">
        <v>0</v>
      </c>
      <c r="D34" s="329">
        <v>0</v>
      </c>
      <c r="E34" s="329">
        <v>0</v>
      </c>
      <c r="F34" s="329">
        <v>0</v>
      </c>
      <c r="G34" s="329">
        <v>0</v>
      </c>
      <c r="H34" s="329">
        <v>0</v>
      </c>
      <c r="I34" s="329">
        <v>1851</v>
      </c>
      <c r="J34" s="329">
        <v>973</v>
      </c>
      <c r="K34" s="329">
        <v>2824</v>
      </c>
      <c r="L34" s="329">
        <v>25293</v>
      </c>
      <c r="M34" s="329">
        <v>17563</v>
      </c>
      <c r="N34" s="329">
        <v>42856</v>
      </c>
      <c r="O34" s="329">
        <v>1212</v>
      </c>
      <c r="P34" s="329">
        <v>560</v>
      </c>
      <c r="Q34" s="329">
        <v>1772</v>
      </c>
      <c r="R34" s="329">
        <v>357</v>
      </c>
      <c r="S34" s="329">
        <v>319</v>
      </c>
      <c r="T34" s="329">
        <v>676</v>
      </c>
      <c r="U34" s="329">
        <v>0</v>
      </c>
      <c r="V34" s="329">
        <v>0</v>
      </c>
      <c r="W34" s="329">
        <v>0</v>
      </c>
      <c r="X34" s="330">
        <v>28713</v>
      </c>
      <c r="Y34" s="330">
        <v>19415</v>
      </c>
      <c r="Z34" s="330">
        <v>48128</v>
      </c>
    </row>
    <row r="35" spans="2:26" hidden="1" outlineLevel="1" x14ac:dyDescent="0.25">
      <c r="B35" s="304">
        <v>39995</v>
      </c>
      <c r="C35" s="329">
        <v>0</v>
      </c>
      <c r="D35" s="329">
        <v>0</v>
      </c>
      <c r="E35" s="329">
        <v>0</v>
      </c>
      <c r="F35" s="329">
        <v>0</v>
      </c>
      <c r="G35" s="329">
        <v>0</v>
      </c>
      <c r="H35" s="329">
        <v>0</v>
      </c>
      <c r="I35" s="329">
        <v>7907</v>
      </c>
      <c r="J35" s="329">
        <v>1100</v>
      </c>
      <c r="K35" s="329">
        <v>9007</v>
      </c>
      <c r="L35" s="329">
        <v>17318</v>
      </c>
      <c r="M35" s="329">
        <v>15867</v>
      </c>
      <c r="N35" s="329">
        <v>33185</v>
      </c>
      <c r="O35" s="329">
        <v>1562</v>
      </c>
      <c r="P35" s="329">
        <v>564</v>
      </c>
      <c r="Q35" s="329">
        <v>2126</v>
      </c>
      <c r="R35" s="329">
        <v>370</v>
      </c>
      <c r="S35" s="329">
        <v>300</v>
      </c>
      <c r="T35" s="329">
        <v>670</v>
      </c>
      <c r="U35" s="329">
        <v>0</v>
      </c>
      <c r="V35" s="329">
        <v>0</v>
      </c>
      <c r="W35" s="329">
        <v>0</v>
      </c>
      <c r="X35" s="330">
        <v>27157</v>
      </c>
      <c r="Y35" s="330">
        <v>17831</v>
      </c>
      <c r="Z35" s="330">
        <v>44988</v>
      </c>
    </row>
    <row r="36" spans="2:26" hidden="1" outlineLevel="1" x14ac:dyDescent="0.25">
      <c r="B36" s="304">
        <v>40026</v>
      </c>
      <c r="C36" s="329">
        <v>0</v>
      </c>
      <c r="D36" s="329">
        <v>0</v>
      </c>
      <c r="E36" s="329">
        <v>0</v>
      </c>
      <c r="F36" s="329">
        <v>0</v>
      </c>
      <c r="G36" s="329">
        <v>0</v>
      </c>
      <c r="H36" s="329">
        <v>0</v>
      </c>
      <c r="I36" s="329">
        <v>5309</v>
      </c>
      <c r="J36" s="329">
        <v>1411</v>
      </c>
      <c r="K36" s="329">
        <v>6720</v>
      </c>
      <c r="L36" s="329">
        <v>31821</v>
      </c>
      <c r="M36" s="329">
        <v>22265</v>
      </c>
      <c r="N36" s="329">
        <v>54086</v>
      </c>
      <c r="O36" s="329">
        <v>1604</v>
      </c>
      <c r="P36" s="329">
        <v>628</v>
      </c>
      <c r="Q36" s="329">
        <v>2232</v>
      </c>
      <c r="R36" s="329">
        <v>682</v>
      </c>
      <c r="S36" s="329">
        <v>510</v>
      </c>
      <c r="T36" s="329">
        <v>1192</v>
      </c>
      <c r="U36" s="329">
        <v>0</v>
      </c>
      <c r="V36" s="329">
        <v>0</v>
      </c>
      <c r="W36" s="329">
        <v>0</v>
      </c>
      <c r="X36" s="330">
        <v>39416</v>
      </c>
      <c r="Y36" s="330">
        <v>24814</v>
      </c>
      <c r="Z36" s="330">
        <v>64230</v>
      </c>
    </row>
    <row r="37" spans="2:26" hidden="1" outlineLevel="1" x14ac:dyDescent="0.25">
      <c r="B37" s="304">
        <v>40057</v>
      </c>
      <c r="C37" s="329">
        <v>0</v>
      </c>
      <c r="D37" s="329">
        <v>0</v>
      </c>
      <c r="E37" s="329">
        <v>0</v>
      </c>
      <c r="F37" s="329">
        <v>0</v>
      </c>
      <c r="G37" s="329">
        <v>0</v>
      </c>
      <c r="H37" s="329">
        <v>0</v>
      </c>
      <c r="I37" s="329">
        <v>4866</v>
      </c>
      <c r="J37" s="329">
        <v>1389</v>
      </c>
      <c r="K37" s="329">
        <v>6255</v>
      </c>
      <c r="L37" s="329">
        <v>41703</v>
      </c>
      <c r="M37" s="329">
        <v>30290</v>
      </c>
      <c r="N37" s="329">
        <v>71993</v>
      </c>
      <c r="O37" s="329">
        <v>1384</v>
      </c>
      <c r="P37" s="329">
        <v>644</v>
      </c>
      <c r="Q37" s="329">
        <v>2028</v>
      </c>
      <c r="R37" s="329">
        <v>833</v>
      </c>
      <c r="S37" s="329">
        <v>686</v>
      </c>
      <c r="T37" s="329">
        <v>1519</v>
      </c>
      <c r="U37" s="329">
        <v>0</v>
      </c>
      <c r="V37" s="329">
        <v>0</v>
      </c>
      <c r="W37" s="329">
        <v>0</v>
      </c>
      <c r="X37" s="330">
        <v>48786</v>
      </c>
      <c r="Y37" s="330">
        <v>33009</v>
      </c>
      <c r="Z37" s="330">
        <v>81795</v>
      </c>
    </row>
    <row r="38" spans="2:26" hidden="1" outlineLevel="1" x14ac:dyDescent="0.25">
      <c r="B38" s="304">
        <v>40087</v>
      </c>
      <c r="C38" s="329">
        <v>0</v>
      </c>
      <c r="D38" s="329">
        <v>0</v>
      </c>
      <c r="E38" s="329">
        <v>0</v>
      </c>
      <c r="F38" s="329">
        <v>0</v>
      </c>
      <c r="G38" s="329">
        <v>0</v>
      </c>
      <c r="H38" s="329">
        <v>0</v>
      </c>
      <c r="I38" s="329">
        <v>3987</v>
      </c>
      <c r="J38" s="329">
        <v>1299</v>
      </c>
      <c r="K38" s="329">
        <v>5286</v>
      </c>
      <c r="L38" s="329">
        <v>18779</v>
      </c>
      <c r="M38" s="329">
        <v>14683</v>
      </c>
      <c r="N38" s="329">
        <v>33462</v>
      </c>
      <c r="O38" s="329">
        <v>1315</v>
      </c>
      <c r="P38" s="329">
        <v>594</v>
      </c>
      <c r="Q38" s="329">
        <v>1909</v>
      </c>
      <c r="R38" s="329">
        <v>587</v>
      </c>
      <c r="S38" s="329">
        <v>468</v>
      </c>
      <c r="T38" s="329">
        <v>1055</v>
      </c>
      <c r="U38" s="329">
        <v>0</v>
      </c>
      <c r="V38" s="329">
        <v>0</v>
      </c>
      <c r="W38" s="329">
        <v>0</v>
      </c>
      <c r="X38" s="330">
        <v>24668</v>
      </c>
      <c r="Y38" s="330">
        <v>17044</v>
      </c>
      <c r="Z38" s="330">
        <v>41712</v>
      </c>
    </row>
    <row r="39" spans="2:26" hidden="1" outlineLevel="1" x14ac:dyDescent="0.25">
      <c r="B39" s="304">
        <v>40118</v>
      </c>
      <c r="C39" s="329">
        <v>0</v>
      </c>
      <c r="D39" s="329">
        <v>0</v>
      </c>
      <c r="E39" s="329">
        <v>0</v>
      </c>
      <c r="F39" s="329">
        <v>0</v>
      </c>
      <c r="G39" s="329">
        <v>0</v>
      </c>
      <c r="H39" s="329">
        <v>0</v>
      </c>
      <c r="I39" s="329">
        <v>3353</v>
      </c>
      <c r="J39" s="329">
        <v>1111</v>
      </c>
      <c r="K39" s="329">
        <v>4464</v>
      </c>
      <c r="L39" s="329">
        <v>12202</v>
      </c>
      <c r="M39" s="329">
        <v>8014</v>
      </c>
      <c r="N39" s="329">
        <v>20216</v>
      </c>
      <c r="O39" s="329">
        <v>1006</v>
      </c>
      <c r="P39" s="329">
        <v>463</v>
      </c>
      <c r="Q39" s="329">
        <v>1469</v>
      </c>
      <c r="R39" s="329">
        <v>575</v>
      </c>
      <c r="S39" s="329">
        <v>427</v>
      </c>
      <c r="T39" s="329">
        <v>1002</v>
      </c>
      <c r="U39" s="329">
        <v>0</v>
      </c>
      <c r="V39" s="329">
        <v>0</v>
      </c>
      <c r="W39" s="329">
        <v>0</v>
      </c>
      <c r="X39" s="330">
        <v>17136</v>
      </c>
      <c r="Y39" s="330">
        <v>10015</v>
      </c>
      <c r="Z39" s="330">
        <v>27151</v>
      </c>
    </row>
    <row r="40" spans="2:26" collapsed="1" x14ac:dyDescent="0.25">
      <c r="B40" s="304">
        <v>40148</v>
      </c>
      <c r="C40" s="329">
        <v>0</v>
      </c>
      <c r="D40" s="329">
        <v>0</v>
      </c>
      <c r="E40" s="329">
        <v>0</v>
      </c>
      <c r="F40" s="329">
        <v>0</v>
      </c>
      <c r="G40" s="329">
        <v>0</v>
      </c>
      <c r="H40" s="329">
        <v>0</v>
      </c>
      <c r="I40" s="329">
        <v>3114</v>
      </c>
      <c r="J40" s="329">
        <v>944</v>
      </c>
      <c r="K40" s="329">
        <v>4058</v>
      </c>
      <c r="L40" s="329">
        <v>9838</v>
      </c>
      <c r="M40" s="329">
        <v>5480</v>
      </c>
      <c r="N40" s="329">
        <v>15318</v>
      </c>
      <c r="O40" s="329">
        <v>937</v>
      </c>
      <c r="P40" s="329">
        <v>455</v>
      </c>
      <c r="Q40" s="329">
        <v>1392</v>
      </c>
      <c r="R40" s="329">
        <v>580</v>
      </c>
      <c r="S40" s="329">
        <v>502</v>
      </c>
      <c r="T40" s="329">
        <v>1082</v>
      </c>
      <c r="U40" s="329">
        <v>0</v>
      </c>
      <c r="V40" s="329">
        <v>0</v>
      </c>
      <c r="W40" s="329">
        <v>0</v>
      </c>
      <c r="X40" s="330">
        <v>14469</v>
      </c>
      <c r="Y40" s="330">
        <v>7381</v>
      </c>
      <c r="Z40" s="330">
        <v>21850</v>
      </c>
    </row>
    <row r="41" spans="2:26" hidden="1" outlineLevel="1" x14ac:dyDescent="0.25">
      <c r="B41" s="304">
        <v>40179</v>
      </c>
      <c r="C41" s="329">
        <v>0</v>
      </c>
      <c r="D41" s="329">
        <v>0</v>
      </c>
      <c r="E41" s="329">
        <v>0</v>
      </c>
      <c r="F41" s="329">
        <v>0</v>
      </c>
      <c r="G41" s="329">
        <v>0</v>
      </c>
      <c r="H41" s="329">
        <v>0</v>
      </c>
      <c r="I41" s="329">
        <v>2797</v>
      </c>
      <c r="J41" s="329">
        <v>900</v>
      </c>
      <c r="K41" s="329">
        <v>3697</v>
      </c>
      <c r="L41" s="329">
        <v>8083</v>
      </c>
      <c r="M41" s="329">
        <v>4617</v>
      </c>
      <c r="N41" s="329">
        <v>12700</v>
      </c>
      <c r="O41" s="329">
        <v>924</v>
      </c>
      <c r="P41" s="329">
        <v>458</v>
      </c>
      <c r="Q41" s="329">
        <v>1382</v>
      </c>
      <c r="R41" s="329">
        <v>544</v>
      </c>
      <c r="S41" s="329">
        <v>351</v>
      </c>
      <c r="T41" s="329">
        <v>895</v>
      </c>
      <c r="U41" s="329">
        <v>0</v>
      </c>
      <c r="V41" s="329">
        <v>0</v>
      </c>
      <c r="W41" s="329">
        <v>0</v>
      </c>
      <c r="X41" s="330">
        <v>12348</v>
      </c>
      <c r="Y41" s="330">
        <v>6326</v>
      </c>
      <c r="Z41" s="330">
        <v>18674</v>
      </c>
    </row>
    <row r="42" spans="2:26" hidden="1" outlineLevel="1" x14ac:dyDescent="0.25">
      <c r="B42" s="304">
        <v>40210</v>
      </c>
      <c r="C42" s="329">
        <v>0</v>
      </c>
      <c r="D42" s="329">
        <v>0</v>
      </c>
      <c r="E42" s="329">
        <v>0</v>
      </c>
      <c r="F42" s="329">
        <v>0</v>
      </c>
      <c r="G42" s="329">
        <v>0</v>
      </c>
      <c r="H42" s="329">
        <v>0</v>
      </c>
      <c r="I42" s="329">
        <v>2157</v>
      </c>
      <c r="J42" s="329">
        <v>789</v>
      </c>
      <c r="K42" s="329">
        <v>2946</v>
      </c>
      <c r="L42" s="329">
        <v>6075</v>
      </c>
      <c r="M42" s="329">
        <v>3599</v>
      </c>
      <c r="N42" s="329">
        <v>9674</v>
      </c>
      <c r="O42" s="329">
        <v>796</v>
      </c>
      <c r="P42" s="329">
        <v>370</v>
      </c>
      <c r="Q42" s="329">
        <v>1166</v>
      </c>
      <c r="R42" s="329">
        <v>521</v>
      </c>
      <c r="S42" s="329">
        <v>352</v>
      </c>
      <c r="T42" s="329">
        <v>873</v>
      </c>
      <c r="U42" s="329">
        <v>0</v>
      </c>
      <c r="V42" s="329">
        <v>0</v>
      </c>
      <c r="W42" s="329">
        <v>0</v>
      </c>
      <c r="X42" s="330">
        <v>9549</v>
      </c>
      <c r="Y42" s="330">
        <v>5110</v>
      </c>
      <c r="Z42" s="330">
        <v>14659</v>
      </c>
    </row>
    <row r="43" spans="2:26" hidden="1" outlineLevel="1" x14ac:dyDescent="0.25">
      <c r="B43" s="304">
        <v>40238</v>
      </c>
      <c r="C43" s="329">
        <v>0</v>
      </c>
      <c r="D43" s="329">
        <v>0</v>
      </c>
      <c r="E43" s="329">
        <v>0</v>
      </c>
      <c r="F43" s="329">
        <v>0</v>
      </c>
      <c r="G43" s="329">
        <v>0</v>
      </c>
      <c r="H43" s="329">
        <v>0</v>
      </c>
      <c r="I43" s="329">
        <v>2334</v>
      </c>
      <c r="J43" s="329">
        <v>836</v>
      </c>
      <c r="K43" s="329">
        <v>3170</v>
      </c>
      <c r="L43" s="329">
        <v>4788</v>
      </c>
      <c r="M43" s="329">
        <v>3255</v>
      </c>
      <c r="N43" s="329">
        <v>8043</v>
      </c>
      <c r="O43" s="329">
        <v>772</v>
      </c>
      <c r="P43" s="329">
        <v>373</v>
      </c>
      <c r="Q43" s="329">
        <v>1145</v>
      </c>
      <c r="R43" s="329">
        <v>607</v>
      </c>
      <c r="S43" s="329">
        <v>429</v>
      </c>
      <c r="T43" s="329">
        <v>1036</v>
      </c>
      <c r="U43" s="329">
        <v>0</v>
      </c>
      <c r="V43" s="329">
        <v>0</v>
      </c>
      <c r="W43" s="329">
        <v>0</v>
      </c>
      <c r="X43" s="330">
        <v>8501</v>
      </c>
      <c r="Y43" s="330">
        <v>4893</v>
      </c>
      <c r="Z43" s="330">
        <v>13394</v>
      </c>
    </row>
    <row r="44" spans="2:26" hidden="1" outlineLevel="1" x14ac:dyDescent="0.25">
      <c r="B44" s="304">
        <v>40269</v>
      </c>
      <c r="C44" s="329">
        <v>0</v>
      </c>
      <c r="D44" s="329">
        <v>0</v>
      </c>
      <c r="E44" s="329">
        <v>0</v>
      </c>
      <c r="F44" s="329">
        <v>0</v>
      </c>
      <c r="G44" s="329">
        <v>0</v>
      </c>
      <c r="H44" s="329">
        <v>0</v>
      </c>
      <c r="I44" s="329">
        <v>2367</v>
      </c>
      <c r="J44" s="329">
        <v>771</v>
      </c>
      <c r="K44" s="329">
        <v>3138</v>
      </c>
      <c r="L44" s="329">
        <v>5583</v>
      </c>
      <c r="M44" s="329">
        <v>4887</v>
      </c>
      <c r="N44" s="329">
        <v>10470</v>
      </c>
      <c r="O44" s="329">
        <v>815</v>
      </c>
      <c r="P44" s="329">
        <v>436</v>
      </c>
      <c r="Q44" s="329">
        <v>1251</v>
      </c>
      <c r="R44" s="329">
        <v>578</v>
      </c>
      <c r="S44" s="329">
        <v>482</v>
      </c>
      <c r="T44" s="329">
        <v>1060</v>
      </c>
      <c r="U44" s="329">
        <v>0</v>
      </c>
      <c r="V44" s="329">
        <v>0</v>
      </c>
      <c r="W44" s="329">
        <v>0</v>
      </c>
      <c r="X44" s="330">
        <v>9343</v>
      </c>
      <c r="Y44" s="330">
        <v>6576</v>
      </c>
      <c r="Z44" s="330">
        <v>15919</v>
      </c>
    </row>
    <row r="45" spans="2:26" hidden="1" outlineLevel="1" x14ac:dyDescent="0.25">
      <c r="B45" s="304">
        <v>40299</v>
      </c>
      <c r="C45" s="329">
        <v>0</v>
      </c>
      <c r="D45" s="329">
        <v>0</v>
      </c>
      <c r="E45" s="329">
        <v>0</v>
      </c>
      <c r="F45" s="329">
        <v>0</v>
      </c>
      <c r="G45" s="329">
        <v>0</v>
      </c>
      <c r="H45" s="329">
        <v>0</v>
      </c>
      <c r="I45" s="329">
        <v>2149</v>
      </c>
      <c r="J45" s="329">
        <v>790</v>
      </c>
      <c r="K45" s="329">
        <v>2939</v>
      </c>
      <c r="L45" s="329">
        <v>4670</v>
      </c>
      <c r="M45" s="329">
        <v>4644</v>
      </c>
      <c r="N45" s="329">
        <v>9314</v>
      </c>
      <c r="O45" s="329">
        <v>803</v>
      </c>
      <c r="P45" s="329">
        <v>394</v>
      </c>
      <c r="Q45" s="329">
        <v>1197</v>
      </c>
      <c r="R45" s="329">
        <v>539</v>
      </c>
      <c r="S45" s="329">
        <v>414</v>
      </c>
      <c r="T45" s="329">
        <v>953</v>
      </c>
      <c r="U45" s="329">
        <v>0</v>
      </c>
      <c r="V45" s="329">
        <v>0</v>
      </c>
      <c r="W45" s="329">
        <v>0</v>
      </c>
      <c r="X45" s="330">
        <v>8161</v>
      </c>
      <c r="Y45" s="330">
        <v>6242</v>
      </c>
      <c r="Z45" s="330">
        <v>14403</v>
      </c>
    </row>
    <row r="46" spans="2:26" hidden="1" outlineLevel="1" x14ac:dyDescent="0.25">
      <c r="B46" s="304">
        <v>40330</v>
      </c>
      <c r="C46" s="329">
        <v>0</v>
      </c>
      <c r="D46" s="329">
        <v>0</v>
      </c>
      <c r="E46" s="329">
        <v>0</v>
      </c>
      <c r="F46" s="329">
        <v>0</v>
      </c>
      <c r="G46" s="329">
        <v>0</v>
      </c>
      <c r="H46" s="329">
        <v>0</v>
      </c>
      <c r="I46" s="329">
        <v>2217</v>
      </c>
      <c r="J46" s="329">
        <v>833</v>
      </c>
      <c r="K46" s="329">
        <v>3050</v>
      </c>
      <c r="L46" s="329">
        <v>8772</v>
      </c>
      <c r="M46" s="329">
        <v>6826</v>
      </c>
      <c r="N46" s="329">
        <v>15598</v>
      </c>
      <c r="O46" s="329">
        <v>804</v>
      </c>
      <c r="P46" s="329">
        <v>376</v>
      </c>
      <c r="Q46" s="329">
        <v>1180</v>
      </c>
      <c r="R46" s="329">
        <v>467</v>
      </c>
      <c r="S46" s="329">
        <v>361</v>
      </c>
      <c r="T46" s="329">
        <v>828</v>
      </c>
      <c r="U46" s="329">
        <v>0</v>
      </c>
      <c r="V46" s="329">
        <v>0</v>
      </c>
      <c r="W46" s="329">
        <v>0</v>
      </c>
      <c r="X46" s="330">
        <v>12260</v>
      </c>
      <c r="Y46" s="330">
        <v>8396</v>
      </c>
      <c r="Z46" s="330">
        <v>20656</v>
      </c>
    </row>
    <row r="47" spans="2:26" hidden="1" outlineLevel="1" x14ac:dyDescent="0.25">
      <c r="B47" s="304">
        <v>40360</v>
      </c>
      <c r="C47" s="329">
        <v>0</v>
      </c>
      <c r="D47" s="329">
        <v>0</v>
      </c>
      <c r="E47" s="329">
        <v>0</v>
      </c>
      <c r="F47" s="329">
        <v>0</v>
      </c>
      <c r="G47" s="329">
        <v>0</v>
      </c>
      <c r="H47" s="329">
        <v>0</v>
      </c>
      <c r="I47" s="329">
        <v>2313</v>
      </c>
      <c r="J47" s="329">
        <v>848</v>
      </c>
      <c r="K47" s="329">
        <v>3161</v>
      </c>
      <c r="L47" s="329">
        <v>11683</v>
      </c>
      <c r="M47" s="329">
        <v>10170</v>
      </c>
      <c r="N47" s="329">
        <v>21853</v>
      </c>
      <c r="O47" s="329">
        <v>765</v>
      </c>
      <c r="P47" s="329">
        <v>318</v>
      </c>
      <c r="Q47" s="329">
        <v>1083</v>
      </c>
      <c r="R47" s="329">
        <v>415</v>
      </c>
      <c r="S47" s="329">
        <v>289</v>
      </c>
      <c r="T47" s="329">
        <v>704</v>
      </c>
      <c r="U47" s="329">
        <v>0</v>
      </c>
      <c r="V47" s="329">
        <v>0</v>
      </c>
      <c r="W47" s="329">
        <v>0</v>
      </c>
      <c r="X47" s="330">
        <v>15176</v>
      </c>
      <c r="Y47" s="330">
        <v>11625</v>
      </c>
      <c r="Z47" s="330">
        <v>26801</v>
      </c>
    </row>
    <row r="48" spans="2:26" hidden="1" outlineLevel="1" x14ac:dyDescent="0.25">
      <c r="B48" s="304">
        <v>40391</v>
      </c>
      <c r="C48" s="329">
        <v>0</v>
      </c>
      <c r="D48" s="329">
        <v>0</v>
      </c>
      <c r="E48" s="329">
        <v>0</v>
      </c>
      <c r="F48" s="329">
        <v>0</v>
      </c>
      <c r="G48" s="329">
        <v>0</v>
      </c>
      <c r="H48" s="329">
        <v>0</v>
      </c>
      <c r="I48" s="329">
        <v>2365</v>
      </c>
      <c r="J48" s="329">
        <v>899</v>
      </c>
      <c r="K48" s="329">
        <v>3264</v>
      </c>
      <c r="L48" s="329">
        <v>9759</v>
      </c>
      <c r="M48" s="329">
        <v>8132</v>
      </c>
      <c r="N48" s="329">
        <v>17891</v>
      </c>
      <c r="O48" s="329">
        <v>810</v>
      </c>
      <c r="P48" s="329">
        <v>398</v>
      </c>
      <c r="Q48" s="329">
        <v>1208</v>
      </c>
      <c r="R48" s="329">
        <v>462</v>
      </c>
      <c r="S48" s="329">
        <v>325</v>
      </c>
      <c r="T48" s="329">
        <v>787</v>
      </c>
      <c r="U48" s="329">
        <v>0</v>
      </c>
      <c r="V48" s="329">
        <v>0</v>
      </c>
      <c r="W48" s="329">
        <v>0</v>
      </c>
      <c r="X48" s="330">
        <v>13396</v>
      </c>
      <c r="Y48" s="330">
        <v>9754</v>
      </c>
      <c r="Z48" s="330">
        <v>23150</v>
      </c>
    </row>
    <row r="49" spans="2:26" hidden="1" outlineLevel="1" x14ac:dyDescent="0.25">
      <c r="B49" s="304">
        <v>40422</v>
      </c>
      <c r="C49" s="329">
        <v>0</v>
      </c>
      <c r="D49" s="329">
        <v>0</v>
      </c>
      <c r="E49" s="329">
        <v>0</v>
      </c>
      <c r="F49" s="329">
        <v>0</v>
      </c>
      <c r="G49" s="329">
        <v>0</v>
      </c>
      <c r="H49" s="329">
        <v>0</v>
      </c>
      <c r="I49" s="329">
        <v>2158</v>
      </c>
      <c r="J49" s="329">
        <v>751</v>
      </c>
      <c r="K49" s="329">
        <v>2909</v>
      </c>
      <c r="L49" s="329">
        <v>5901</v>
      </c>
      <c r="M49" s="329">
        <v>4226</v>
      </c>
      <c r="N49" s="329">
        <v>10127</v>
      </c>
      <c r="O49" s="329">
        <v>681</v>
      </c>
      <c r="P49" s="329">
        <v>336</v>
      </c>
      <c r="Q49" s="329">
        <v>1017</v>
      </c>
      <c r="R49" s="329">
        <v>383</v>
      </c>
      <c r="S49" s="329">
        <v>260</v>
      </c>
      <c r="T49" s="329">
        <v>643</v>
      </c>
      <c r="U49" s="329">
        <v>0</v>
      </c>
      <c r="V49" s="329">
        <v>0</v>
      </c>
      <c r="W49" s="329">
        <v>0</v>
      </c>
      <c r="X49" s="330">
        <v>9123</v>
      </c>
      <c r="Y49" s="330">
        <v>5573</v>
      </c>
      <c r="Z49" s="330">
        <v>14696</v>
      </c>
    </row>
    <row r="50" spans="2:26" hidden="1" outlineLevel="1" x14ac:dyDescent="0.25">
      <c r="B50" s="304">
        <v>40452</v>
      </c>
      <c r="C50" s="329">
        <v>0</v>
      </c>
      <c r="D50" s="329">
        <v>0</v>
      </c>
      <c r="E50" s="329">
        <v>0</v>
      </c>
      <c r="F50" s="329">
        <v>0</v>
      </c>
      <c r="G50" s="329">
        <v>0</v>
      </c>
      <c r="H50" s="329">
        <v>0</v>
      </c>
      <c r="I50" s="329">
        <v>2218</v>
      </c>
      <c r="J50" s="329">
        <v>787</v>
      </c>
      <c r="K50" s="329">
        <v>3005</v>
      </c>
      <c r="L50" s="329">
        <v>5513</v>
      </c>
      <c r="M50" s="329">
        <v>3910</v>
      </c>
      <c r="N50" s="329">
        <v>9423</v>
      </c>
      <c r="O50" s="329">
        <v>707</v>
      </c>
      <c r="P50" s="329">
        <v>273</v>
      </c>
      <c r="Q50" s="329">
        <v>980</v>
      </c>
      <c r="R50" s="329">
        <v>423</v>
      </c>
      <c r="S50" s="329">
        <v>346</v>
      </c>
      <c r="T50" s="329">
        <v>769</v>
      </c>
      <c r="U50" s="329">
        <v>0</v>
      </c>
      <c r="V50" s="329">
        <v>0</v>
      </c>
      <c r="W50" s="329">
        <v>0</v>
      </c>
      <c r="X50" s="330">
        <v>8861</v>
      </c>
      <c r="Y50" s="330">
        <v>5316</v>
      </c>
      <c r="Z50" s="330">
        <v>14177</v>
      </c>
    </row>
    <row r="51" spans="2:26" hidden="1" outlineLevel="1" x14ac:dyDescent="0.25">
      <c r="B51" s="304">
        <v>40483</v>
      </c>
      <c r="C51" s="329">
        <v>0</v>
      </c>
      <c r="D51" s="329">
        <v>0</v>
      </c>
      <c r="E51" s="329">
        <v>0</v>
      </c>
      <c r="F51" s="329">
        <v>0</v>
      </c>
      <c r="G51" s="329">
        <v>0</v>
      </c>
      <c r="H51" s="329">
        <v>0</v>
      </c>
      <c r="I51" s="329">
        <v>2005</v>
      </c>
      <c r="J51" s="329">
        <v>720</v>
      </c>
      <c r="K51" s="329">
        <v>2725</v>
      </c>
      <c r="L51" s="329">
        <v>4587</v>
      </c>
      <c r="M51" s="329">
        <v>3066</v>
      </c>
      <c r="N51" s="329">
        <v>7653</v>
      </c>
      <c r="O51" s="329">
        <v>620</v>
      </c>
      <c r="P51" s="329">
        <v>302</v>
      </c>
      <c r="Q51" s="329">
        <v>922</v>
      </c>
      <c r="R51" s="329">
        <v>358</v>
      </c>
      <c r="S51" s="329">
        <v>250</v>
      </c>
      <c r="T51" s="329">
        <v>608</v>
      </c>
      <c r="U51" s="329">
        <v>0</v>
      </c>
      <c r="V51" s="329">
        <v>0</v>
      </c>
      <c r="W51" s="329">
        <v>0</v>
      </c>
      <c r="X51" s="330">
        <v>7570</v>
      </c>
      <c r="Y51" s="330">
        <v>4338</v>
      </c>
      <c r="Z51" s="330">
        <v>11908</v>
      </c>
    </row>
    <row r="52" spans="2:26" collapsed="1" x14ac:dyDescent="0.25">
      <c r="B52" s="304">
        <v>40513</v>
      </c>
      <c r="C52" s="329">
        <v>0</v>
      </c>
      <c r="D52" s="329">
        <v>0</v>
      </c>
      <c r="E52" s="329">
        <v>0</v>
      </c>
      <c r="F52" s="329">
        <v>0</v>
      </c>
      <c r="G52" s="329">
        <v>0</v>
      </c>
      <c r="H52" s="329">
        <v>0</v>
      </c>
      <c r="I52" s="329">
        <v>1541</v>
      </c>
      <c r="J52" s="329">
        <v>580</v>
      </c>
      <c r="K52" s="329">
        <v>2121</v>
      </c>
      <c r="L52" s="329">
        <v>2985</v>
      </c>
      <c r="M52" s="329">
        <v>2173</v>
      </c>
      <c r="N52" s="329">
        <v>5158</v>
      </c>
      <c r="O52" s="329">
        <v>456</v>
      </c>
      <c r="P52" s="329">
        <v>258</v>
      </c>
      <c r="Q52" s="329">
        <v>714</v>
      </c>
      <c r="R52" s="329">
        <v>407</v>
      </c>
      <c r="S52" s="329">
        <v>352</v>
      </c>
      <c r="T52" s="329">
        <v>759</v>
      </c>
      <c r="U52" s="329">
        <v>0</v>
      </c>
      <c r="V52" s="329">
        <v>0</v>
      </c>
      <c r="W52" s="329">
        <v>0</v>
      </c>
      <c r="X52" s="330">
        <v>5389</v>
      </c>
      <c r="Y52" s="330">
        <v>3363</v>
      </c>
      <c r="Z52" s="330">
        <v>8752</v>
      </c>
    </row>
    <row r="53" spans="2:26" hidden="1" outlineLevel="1" x14ac:dyDescent="0.25">
      <c r="B53" s="304">
        <v>40544</v>
      </c>
      <c r="C53" s="329">
        <v>0</v>
      </c>
      <c r="D53" s="329">
        <v>0</v>
      </c>
      <c r="E53" s="329">
        <v>0</v>
      </c>
      <c r="F53" s="329">
        <v>0</v>
      </c>
      <c r="G53" s="329">
        <v>0</v>
      </c>
      <c r="H53" s="329">
        <v>0</v>
      </c>
      <c r="I53" s="329">
        <v>1750</v>
      </c>
      <c r="J53" s="329">
        <v>770</v>
      </c>
      <c r="K53" s="329">
        <v>2520</v>
      </c>
      <c r="L53" s="329">
        <v>4444</v>
      </c>
      <c r="M53" s="329">
        <v>3405</v>
      </c>
      <c r="N53" s="329">
        <v>7849</v>
      </c>
      <c r="O53" s="329">
        <v>607</v>
      </c>
      <c r="P53" s="329">
        <v>327</v>
      </c>
      <c r="Q53" s="329">
        <v>934</v>
      </c>
      <c r="R53" s="329">
        <v>472</v>
      </c>
      <c r="S53" s="329">
        <v>385</v>
      </c>
      <c r="T53" s="329">
        <v>857</v>
      </c>
      <c r="U53" s="329">
        <v>0</v>
      </c>
      <c r="V53" s="329">
        <v>0</v>
      </c>
      <c r="W53" s="329">
        <v>0</v>
      </c>
      <c r="X53" s="330">
        <v>7273</v>
      </c>
      <c r="Y53" s="330">
        <v>4887</v>
      </c>
      <c r="Z53" s="330">
        <v>12160</v>
      </c>
    </row>
    <row r="54" spans="2:26" hidden="1" outlineLevel="1" x14ac:dyDescent="0.25">
      <c r="B54" s="304">
        <v>40575</v>
      </c>
      <c r="C54" s="329">
        <v>0</v>
      </c>
      <c r="D54" s="329">
        <v>0</v>
      </c>
      <c r="E54" s="329">
        <v>0</v>
      </c>
      <c r="F54" s="329">
        <v>0</v>
      </c>
      <c r="G54" s="329">
        <v>0</v>
      </c>
      <c r="H54" s="329">
        <v>0</v>
      </c>
      <c r="I54" s="329">
        <v>1639</v>
      </c>
      <c r="J54" s="329">
        <v>645</v>
      </c>
      <c r="K54" s="329">
        <v>2284</v>
      </c>
      <c r="L54" s="329">
        <v>3610</v>
      </c>
      <c r="M54" s="329">
        <v>2654</v>
      </c>
      <c r="N54" s="329">
        <v>6264</v>
      </c>
      <c r="O54" s="329">
        <v>456</v>
      </c>
      <c r="P54" s="329">
        <v>290</v>
      </c>
      <c r="Q54" s="329">
        <v>746</v>
      </c>
      <c r="R54" s="329">
        <v>379</v>
      </c>
      <c r="S54" s="329">
        <v>331</v>
      </c>
      <c r="T54" s="329">
        <v>710</v>
      </c>
      <c r="U54" s="329">
        <v>0</v>
      </c>
      <c r="V54" s="329">
        <v>0</v>
      </c>
      <c r="W54" s="329">
        <v>0</v>
      </c>
      <c r="X54" s="330">
        <v>6084</v>
      </c>
      <c r="Y54" s="330">
        <v>3920</v>
      </c>
      <c r="Z54" s="330">
        <v>10004</v>
      </c>
    </row>
    <row r="55" spans="2:26" hidden="1" outlineLevel="1" x14ac:dyDescent="0.25">
      <c r="B55" s="304">
        <v>40603</v>
      </c>
      <c r="C55" s="329">
        <v>0</v>
      </c>
      <c r="D55" s="329">
        <v>0</v>
      </c>
      <c r="E55" s="329">
        <v>0</v>
      </c>
      <c r="F55" s="329">
        <v>0</v>
      </c>
      <c r="G55" s="329">
        <v>0</v>
      </c>
      <c r="H55" s="329">
        <v>0</v>
      </c>
      <c r="I55" s="329">
        <v>1907</v>
      </c>
      <c r="J55" s="329">
        <v>705</v>
      </c>
      <c r="K55" s="329">
        <v>2612</v>
      </c>
      <c r="L55" s="329">
        <v>4242</v>
      </c>
      <c r="M55" s="329">
        <v>2789</v>
      </c>
      <c r="N55" s="329">
        <v>7031</v>
      </c>
      <c r="O55" s="329">
        <v>677</v>
      </c>
      <c r="P55" s="329">
        <v>376</v>
      </c>
      <c r="Q55" s="329">
        <v>1053</v>
      </c>
      <c r="R55" s="329">
        <v>524</v>
      </c>
      <c r="S55" s="329">
        <v>390</v>
      </c>
      <c r="T55" s="329">
        <v>914</v>
      </c>
      <c r="U55" s="329">
        <v>0</v>
      </c>
      <c r="V55" s="329">
        <v>0</v>
      </c>
      <c r="W55" s="329">
        <v>0</v>
      </c>
      <c r="X55" s="330">
        <v>7350</v>
      </c>
      <c r="Y55" s="330">
        <v>4260</v>
      </c>
      <c r="Z55" s="330">
        <v>11610</v>
      </c>
    </row>
    <row r="56" spans="2:26" hidden="1" outlineLevel="1" x14ac:dyDescent="0.25">
      <c r="B56" s="304">
        <v>40634</v>
      </c>
      <c r="C56" s="329">
        <v>0</v>
      </c>
      <c r="D56" s="329">
        <v>0</v>
      </c>
      <c r="E56" s="329">
        <v>0</v>
      </c>
      <c r="F56" s="329">
        <v>0</v>
      </c>
      <c r="G56" s="329">
        <v>0</v>
      </c>
      <c r="H56" s="329">
        <v>0</v>
      </c>
      <c r="I56" s="329">
        <v>1367</v>
      </c>
      <c r="J56" s="329">
        <v>558</v>
      </c>
      <c r="K56" s="329">
        <v>1925</v>
      </c>
      <c r="L56" s="329">
        <v>3162</v>
      </c>
      <c r="M56" s="329">
        <v>1969</v>
      </c>
      <c r="N56" s="329">
        <v>5131</v>
      </c>
      <c r="O56" s="329">
        <v>556</v>
      </c>
      <c r="P56" s="329">
        <v>304</v>
      </c>
      <c r="Q56" s="329">
        <v>860</v>
      </c>
      <c r="R56" s="329">
        <v>332</v>
      </c>
      <c r="S56" s="329">
        <v>292</v>
      </c>
      <c r="T56" s="329">
        <v>624</v>
      </c>
      <c r="U56" s="329">
        <v>0</v>
      </c>
      <c r="V56" s="329">
        <v>0</v>
      </c>
      <c r="W56" s="329">
        <v>0</v>
      </c>
      <c r="X56" s="330">
        <v>5417</v>
      </c>
      <c r="Y56" s="330">
        <v>3123</v>
      </c>
      <c r="Z56" s="330">
        <v>8540</v>
      </c>
    </row>
    <row r="57" spans="2:26" hidden="1" outlineLevel="1" x14ac:dyDescent="0.25">
      <c r="B57" s="304">
        <v>40664</v>
      </c>
      <c r="C57" s="329">
        <v>0</v>
      </c>
      <c r="D57" s="329">
        <v>0</v>
      </c>
      <c r="E57" s="329">
        <v>0</v>
      </c>
      <c r="F57" s="329">
        <v>0</v>
      </c>
      <c r="G57" s="329">
        <v>0</v>
      </c>
      <c r="H57" s="329">
        <v>0</v>
      </c>
      <c r="I57" s="329">
        <v>1645</v>
      </c>
      <c r="J57" s="329">
        <v>670</v>
      </c>
      <c r="K57" s="329">
        <v>2315</v>
      </c>
      <c r="L57" s="329">
        <v>3770</v>
      </c>
      <c r="M57" s="329">
        <v>2512</v>
      </c>
      <c r="N57" s="329">
        <v>6282</v>
      </c>
      <c r="O57" s="329">
        <v>608</v>
      </c>
      <c r="P57" s="329">
        <v>323</v>
      </c>
      <c r="Q57" s="329">
        <v>931</v>
      </c>
      <c r="R57" s="329">
        <v>376</v>
      </c>
      <c r="S57" s="329">
        <v>292</v>
      </c>
      <c r="T57" s="329">
        <v>668</v>
      </c>
      <c r="U57" s="329">
        <v>0</v>
      </c>
      <c r="V57" s="329">
        <v>0</v>
      </c>
      <c r="W57" s="329">
        <v>0</v>
      </c>
      <c r="X57" s="330">
        <v>6399</v>
      </c>
      <c r="Y57" s="330">
        <v>3797</v>
      </c>
      <c r="Z57" s="330">
        <v>10196</v>
      </c>
    </row>
    <row r="58" spans="2:26" hidden="1" outlineLevel="1" x14ac:dyDescent="0.25">
      <c r="B58" s="304">
        <v>40695</v>
      </c>
      <c r="C58" s="329">
        <v>0</v>
      </c>
      <c r="D58" s="329">
        <v>0</v>
      </c>
      <c r="E58" s="329">
        <v>0</v>
      </c>
      <c r="F58" s="329">
        <v>0</v>
      </c>
      <c r="G58" s="329">
        <v>0</v>
      </c>
      <c r="H58" s="329">
        <v>0</v>
      </c>
      <c r="I58" s="329">
        <v>1541</v>
      </c>
      <c r="J58" s="329">
        <v>610</v>
      </c>
      <c r="K58" s="329">
        <v>2151</v>
      </c>
      <c r="L58" s="329">
        <v>3223</v>
      </c>
      <c r="M58" s="329">
        <v>2318</v>
      </c>
      <c r="N58" s="329">
        <v>5541</v>
      </c>
      <c r="O58" s="329">
        <v>522</v>
      </c>
      <c r="P58" s="329">
        <v>288</v>
      </c>
      <c r="Q58" s="329">
        <v>810</v>
      </c>
      <c r="R58" s="329">
        <v>328</v>
      </c>
      <c r="S58" s="329">
        <v>270</v>
      </c>
      <c r="T58" s="329">
        <v>598</v>
      </c>
      <c r="U58" s="329">
        <v>0</v>
      </c>
      <c r="V58" s="329">
        <v>0</v>
      </c>
      <c r="W58" s="329">
        <v>0</v>
      </c>
      <c r="X58" s="330">
        <v>5614</v>
      </c>
      <c r="Y58" s="330">
        <v>3486</v>
      </c>
      <c r="Z58" s="330">
        <v>9100</v>
      </c>
    </row>
    <row r="59" spans="2:26" hidden="1" outlineLevel="1" x14ac:dyDescent="0.25">
      <c r="B59" s="304">
        <v>40725</v>
      </c>
      <c r="C59" s="329">
        <v>0</v>
      </c>
      <c r="D59" s="329">
        <v>0</v>
      </c>
      <c r="E59" s="329">
        <v>0</v>
      </c>
      <c r="F59" s="329">
        <v>0</v>
      </c>
      <c r="G59" s="329">
        <v>0</v>
      </c>
      <c r="H59" s="329">
        <v>0</v>
      </c>
      <c r="I59" s="329">
        <v>1883</v>
      </c>
      <c r="J59" s="329">
        <v>670</v>
      </c>
      <c r="K59" s="329">
        <v>2553</v>
      </c>
      <c r="L59" s="329">
        <v>5198</v>
      </c>
      <c r="M59" s="329">
        <v>4905</v>
      </c>
      <c r="N59" s="329">
        <v>10103</v>
      </c>
      <c r="O59" s="329">
        <v>539</v>
      </c>
      <c r="P59" s="329">
        <v>327</v>
      </c>
      <c r="Q59" s="329">
        <v>866</v>
      </c>
      <c r="R59" s="329">
        <v>420</v>
      </c>
      <c r="S59" s="329">
        <v>336</v>
      </c>
      <c r="T59" s="329">
        <v>756</v>
      </c>
      <c r="U59" s="329">
        <v>0</v>
      </c>
      <c r="V59" s="329">
        <v>0</v>
      </c>
      <c r="W59" s="329">
        <v>0</v>
      </c>
      <c r="X59" s="330">
        <v>8040</v>
      </c>
      <c r="Y59" s="330">
        <v>6238</v>
      </c>
      <c r="Z59" s="330">
        <v>14278</v>
      </c>
    </row>
    <row r="60" spans="2:26" hidden="1" outlineLevel="1" x14ac:dyDescent="0.25">
      <c r="B60" s="304">
        <v>40756</v>
      </c>
      <c r="C60" s="329">
        <v>0</v>
      </c>
      <c r="D60" s="329">
        <v>0</v>
      </c>
      <c r="E60" s="329">
        <v>0</v>
      </c>
      <c r="F60" s="329">
        <v>0</v>
      </c>
      <c r="G60" s="329">
        <v>0</v>
      </c>
      <c r="H60" s="329">
        <v>0</v>
      </c>
      <c r="I60" s="329">
        <v>2034</v>
      </c>
      <c r="J60" s="329">
        <v>691</v>
      </c>
      <c r="K60" s="329">
        <v>2725</v>
      </c>
      <c r="L60" s="329">
        <v>5030</v>
      </c>
      <c r="M60" s="329">
        <v>4099</v>
      </c>
      <c r="N60" s="329">
        <v>9129</v>
      </c>
      <c r="O60" s="329">
        <v>573</v>
      </c>
      <c r="P60" s="329">
        <v>318</v>
      </c>
      <c r="Q60" s="329">
        <v>891</v>
      </c>
      <c r="R60" s="329">
        <v>421</v>
      </c>
      <c r="S60" s="329">
        <v>295</v>
      </c>
      <c r="T60" s="329">
        <v>716</v>
      </c>
      <c r="U60" s="329">
        <v>0</v>
      </c>
      <c r="V60" s="329">
        <v>0</v>
      </c>
      <c r="W60" s="329">
        <v>0</v>
      </c>
      <c r="X60" s="330">
        <v>8058</v>
      </c>
      <c r="Y60" s="330">
        <v>5403</v>
      </c>
      <c r="Z60" s="330">
        <v>13461</v>
      </c>
    </row>
    <row r="61" spans="2:26" hidden="1" outlineLevel="1" x14ac:dyDescent="0.25">
      <c r="B61" s="304">
        <v>40787</v>
      </c>
      <c r="C61" s="329">
        <v>0</v>
      </c>
      <c r="D61" s="329">
        <v>0</v>
      </c>
      <c r="E61" s="329">
        <v>0</v>
      </c>
      <c r="F61" s="329">
        <v>0</v>
      </c>
      <c r="G61" s="329">
        <v>0</v>
      </c>
      <c r="H61" s="329">
        <v>0</v>
      </c>
      <c r="I61" s="329">
        <v>2199</v>
      </c>
      <c r="J61" s="329">
        <v>779</v>
      </c>
      <c r="K61" s="329">
        <v>2978</v>
      </c>
      <c r="L61" s="329">
        <v>4057</v>
      </c>
      <c r="M61" s="329">
        <v>2913</v>
      </c>
      <c r="N61" s="329">
        <v>6970</v>
      </c>
      <c r="O61" s="329">
        <v>494</v>
      </c>
      <c r="P61" s="329">
        <v>294</v>
      </c>
      <c r="Q61" s="329">
        <v>788</v>
      </c>
      <c r="R61" s="329">
        <v>329</v>
      </c>
      <c r="S61" s="329">
        <v>249</v>
      </c>
      <c r="T61" s="329">
        <v>578</v>
      </c>
      <c r="U61" s="329">
        <v>0</v>
      </c>
      <c r="V61" s="329">
        <v>0</v>
      </c>
      <c r="W61" s="329">
        <v>0</v>
      </c>
      <c r="X61" s="330">
        <v>7079</v>
      </c>
      <c r="Y61" s="330">
        <v>4235</v>
      </c>
      <c r="Z61" s="330">
        <v>11314</v>
      </c>
    </row>
    <row r="62" spans="2:26" hidden="1" outlineLevel="1" x14ac:dyDescent="0.25">
      <c r="B62" s="304">
        <v>40817</v>
      </c>
      <c r="C62" s="329">
        <v>0</v>
      </c>
      <c r="D62" s="329">
        <v>0</v>
      </c>
      <c r="E62" s="329">
        <v>0</v>
      </c>
      <c r="F62" s="329">
        <v>0</v>
      </c>
      <c r="G62" s="329">
        <v>0</v>
      </c>
      <c r="H62" s="329">
        <v>0</v>
      </c>
      <c r="I62" s="329">
        <v>1749</v>
      </c>
      <c r="J62" s="329">
        <v>631</v>
      </c>
      <c r="K62" s="329">
        <v>2380</v>
      </c>
      <c r="L62" s="329">
        <v>4305</v>
      </c>
      <c r="M62" s="329">
        <v>2830</v>
      </c>
      <c r="N62" s="329">
        <v>7135</v>
      </c>
      <c r="O62" s="329">
        <v>544</v>
      </c>
      <c r="P62" s="329">
        <v>293</v>
      </c>
      <c r="Q62" s="329">
        <v>837</v>
      </c>
      <c r="R62" s="329">
        <v>416</v>
      </c>
      <c r="S62" s="329">
        <v>296</v>
      </c>
      <c r="T62" s="329">
        <v>712</v>
      </c>
      <c r="U62" s="329">
        <v>0</v>
      </c>
      <c r="V62" s="329">
        <v>0</v>
      </c>
      <c r="W62" s="329">
        <v>0</v>
      </c>
      <c r="X62" s="330">
        <v>7014</v>
      </c>
      <c r="Y62" s="330">
        <v>4050</v>
      </c>
      <c r="Z62" s="330">
        <v>11064</v>
      </c>
    </row>
    <row r="63" spans="2:26" hidden="1" outlineLevel="1" x14ac:dyDescent="0.25">
      <c r="B63" s="304">
        <v>40848</v>
      </c>
      <c r="C63" s="329">
        <v>0</v>
      </c>
      <c r="D63" s="329">
        <v>0</v>
      </c>
      <c r="E63" s="329">
        <v>0</v>
      </c>
      <c r="F63" s="329">
        <v>0</v>
      </c>
      <c r="G63" s="329">
        <v>0</v>
      </c>
      <c r="H63" s="329">
        <v>0</v>
      </c>
      <c r="I63" s="329">
        <v>2318</v>
      </c>
      <c r="J63" s="329">
        <v>824</v>
      </c>
      <c r="K63" s="329">
        <v>3142</v>
      </c>
      <c r="L63" s="329">
        <v>5748</v>
      </c>
      <c r="M63" s="329">
        <v>4581</v>
      </c>
      <c r="N63" s="329">
        <v>10329</v>
      </c>
      <c r="O63" s="329">
        <v>633</v>
      </c>
      <c r="P63" s="329">
        <v>289</v>
      </c>
      <c r="Q63" s="329">
        <v>922</v>
      </c>
      <c r="R63" s="329">
        <v>483</v>
      </c>
      <c r="S63" s="329">
        <v>410</v>
      </c>
      <c r="T63" s="329">
        <v>893</v>
      </c>
      <c r="U63" s="329">
        <v>0</v>
      </c>
      <c r="V63" s="329">
        <v>0</v>
      </c>
      <c r="W63" s="329">
        <v>0</v>
      </c>
      <c r="X63" s="330">
        <v>9182</v>
      </c>
      <c r="Y63" s="330">
        <v>6104</v>
      </c>
      <c r="Z63" s="330">
        <v>15286</v>
      </c>
    </row>
    <row r="64" spans="2:26" collapsed="1" x14ac:dyDescent="0.25">
      <c r="B64" s="304">
        <v>40878</v>
      </c>
      <c r="C64" s="329">
        <v>0</v>
      </c>
      <c r="D64" s="329">
        <v>0</v>
      </c>
      <c r="E64" s="329">
        <v>0</v>
      </c>
      <c r="F64" s="329">
        <v>0</v>
      </c>
      <c r="G64" s="329">
        <v>0</v>
      </c>
      <c r="H64" s="329">
        <v>0</v>
      </c>
      <c r="I64" s="329">
        <v>1756</v>
      </c>
      <c r="J64" s="329">
        <v>635</v>
      </c>
      <c r="K64" s="329">
        <v>2391</v>
      </c>
      <c r="L64" s="329">
        <v>4752</v>
      </c>
      <c r="M64" s="329">
        <v>3756</v>
      </c>
      <c r="N64" s="329">
        <v>8508</v>
      </c>
      <c r="O64" s="329">
        <v>452</v>
      </c>
      <c r="P64" s="329">
        <v>274</v>
      </c>
      <c r="Q64" s="329">
        <v>726</v>
      </c>
      <c r="R64" s="329">
        <v>369</v>
      </c>
      <c r="S64" s="329">
        <v>302</v>
      </c>
      <c r="T64" s="329">
        <v>671</v>
      </c>
      <c r="U64" s="329">
        <v>0</v>
      </c>
      <c r="V64" s="329">
        <v>0</v>
      </c>
      <c r="W64" s="329">
        <v>0</v>
      </c>
      <c r="X64" s="330">
        <v>7329</v>
      </c>
      <c r="Y64" s="330">
        <v>4967</v>
      </c>
      <c r="Z64" s="330">
        <v>12296</v>
      </c>
    </row>
    <row r="65" spans="2:26" hidden="1" outlineLevel="1" x14ac:dyDescent="0.25">
      <c r="B65" s="304">
        <v>40909</v>
      </c>
      <c r="C65" s="329">
        <v>0</v>
      </c>
      <c r="D65" s="329">
        <v>0</v>
      </c>
      <c r="E65" s="329">
        <v>0</v>
      </c>
      <c r="F65" s="329">
        <v>0</v>
      </c>
      <c r="G65" s="329">
        <v>0</v>
      </c>
      <c r="H65" s="329">
        <v>0</v>
      </c>
      <c r="I65" s="329">
        <v>1922</v>
      </c>
      <c r="J65" s="329">
        <v>715</v>
      </c>
      <c r="K65" s="329">
        <v>2637</v>
      </c>
      <c r="L65" s="329">
        <v>5060</v>
      </c>
      <c r="M65" s="329">
        <v>3875</v>
      </c>
      <c r="N65" s="329">
        <v>8935</v>
      </c>
      <c r="O65" s="329">
        <v>532</v>
      </c>
      <c r="P65" s="329">
        <v>285</v>
      </c>
      <c r="Q65" s="329">
        <v>817</v>
      </c>
      <c r="R65" s="329">
        <v>394</v>
      </c>
      <c r="S65" s="329">
        <v>294</v>
      </c>
      <c r="T65" s="329">
        <v>688</v>
      </c>
      <c r="U65" s="329">
        <v>0</v>
      </c>
      <c r="V65" s="329">
        <v>0</v>
      </c>
      <c r="W65" s="329">
        <v>0</v>
      </c>
      <c r="X65" s="330">
        <v>7908</v>
      </c>
      <c r="Y65" s="330">
        <v>5169</v>
      </c>
      <c r="Z65" s="330">
        <v>13077</v>
      </c>
    </row>
    <row r="66" spans="2:26" hidden="1" outlineLevel="1" x14ac:dyDescent="0.25">
      <c r="B66" s="304">
        <v>40940</v>
      </c>
      <c r="C66" s="329">
        <v>0</v>
      </c>
      <c r="D66" s="329">
        <v>0</v>
      </c>
      <c r="E66" s="329">
        <v>0</v>
      </c>
      <c r="F66" s="329">
        <v>0</v>
      </c>
      <c r="G66" s="329">
        <v>0</v>
      </c>
      <c r="H66" s="329">
        <v>0</v>
      </c>
      <c r="I66" s="329">
        <v>1555</v>
      </c>
      <c r="J66" s="329">
        <v>583</v>
      </c>
      <c r="K66" s="329">
        <v>2138</v>
      </c>
      <c r="L66" s="329">
        <v>4530</v>
      </c>
      <c r="M66" s="329">
        <v>2984</v>
      </c>
      <c r="N66" s="329">
        <v>7514</v>
      </c>
      <c r="O66" s="329">
        <v>427</v>
      </c>
      <c r="P66" s="329">
        <v>251</v>
      </c>
      <c r="Q66" s="329">
        <v>678</v>
      </c>
      <c r="R66" s="329">
        <v>381</v>
      </c>
      <c r="S66" s="329">
        <v>310</v>
      </c>
      <c r="T66" s="329">
        <v>691</v>
      </c>
      <c r="U66" s="329">
        <v>0</v>
      </c>
      <c r="V66" s="329">
        <v>0</v>
      </c>
      <c r="W66" s="329">
        <v>0</v>
      </c>
      <c r="X66" s="330">
        <v>6893</v>
      </c>
      <c r="Y66" s="330">
        <v>4128</v>
      </c>
      <c r="Z66" s="330">
        <v>11021</v>
      </c>
    </row>
    <row r="67" spans="2:26" hidden="1" outlineLevel="1" x14ac:dyDescent="0.25">
      <c r="B67" s="304">
        <v>40969</v>
      </c>
      <c r="C67" s="329">
        <v>0</v>
      </c>
      <c r="D67" s="329">
        <v>0</v>
      </c>
      <c r="E67" s="329">
        <v>0</v>
      </c>
      <c r="F67" s="329">
        <v>0</v>
      </c>
      <c r="G67" s="329">
        <v>0</v>
      </c>
      <c r="H67" s="329">
        <v>0</v>
      </c>
      <c r="I67" s="329">
        <v>1779</v>
      </c>
      <c r="J67" s="329">
        <v>635</v>
      </c>
      <c r="K67" s="329">
        <v>2414</v>
      </c>
      <c r="L67" s="329">
        <v>4788</v>
      </c>
      <c r="M67" s="329">
        <v>3353</v>
      </c>
      <c r="N67" s="329">
        <v>8141</v>
      </c>
      <c r="O67" s="329">
        <v>535</v>
      </c>
      <c r="P67" s="329">
        <v>279</v>
      </c>
      <c r="Q67" s="329">
        <v>814</v>
      </c>
      <c r="R67" s="329">
        <v>373</v>
      </c>
      <c r="S67" s="329">
        <v>316</v>
      </c>
      <c r="T67" s="329">
        <v>689</v>
      </c>
      <c r="U67" s="329">
        <v>0</v>
      </c>
      <c r="V67" s="329">
        <v>0</v>
      </c>
      <c r="W67" s="329">
        <v>0</v>
      </c>
      <c r="X67" s="330">
        <v>7475</v>
      </c>
      <c r="Y67" s="330">
        <v>4583</v>
      </c>
      <c r="Z67" s="330">
        <v>12058</v>
      </c>
    </row>
    <row r="68" spans="2:26" hidden="1" outlineLevel="1" x14ac:dyDescent="0.25">
      <c r="B68" s="304">
        <v>41000</v>
      </c>
      <c r="C68" s="329">
        <v>0</v>
      </c>
      <c r="D68" s="329">
        <v>0</v>
      </c>
      <c r="E68" s="329">
        <v>0</v>
      </c>
      <c r="F68" s="329">
        <v>0</v>
      </c>
      <c r="G68" s="329">
        <v>0</v>
      </c>
      <c r="H68" s="329">
        <v>0</v>
      </c>
      <c r="I68" s="329">
        <v>1468</v>
      </c>
      <c r="J68" s="329">
        <v>586</v>
      </c>
      <c r="K68" s="329">
        <v>2054</v>
      </c>
      <c r="L68" s="329">
        <v>3891</v>
      </c>
      <c r="M68" s="329">
        <v>2702</v>
      </c>
      <c r="N68" s="329">
        <v>6593</v>
      </c>
      <c r="O68" s="329">
        <v>554</v>
      </c>
      <c r="P68" s="329">
        <v>275</v>
      </c>
      <c r="Q68" s="329">
        <v>829</v>
      </c>
      <c r="R68" s="329">
        <v>314</v>
      </c>
      <c r="S68" s="329">
        <v>259</v>
      </c>
      <c r="T68" s="329">
        <v>573</v>
      </c>
      <c r="U68" s="329">
        <v>0</v>
      </c>
      <c r="V68" s="329">
        <v>0</v>
      </c>
      <c r="W68" s="329">
        <v>0</v>
      </c>
      <c r="X68" s="330">
        <v>6227</v>
      </c>
      <c r="Y68" s="330">
        <v>3822</v>
      </c>
      <c r="Z68" s="330">
        <v>10049</v>
      </c>
    </row>
    <row r="69" spans="2:26" hidden="1" outlineLevel="1" x14ac:dyDescent="0.25">
      <c r="B69" s="304">
        <v>41030</v>
      </c>
      <c r="C69" s="329">
        <v>0</v>
      </c>
      <c r="D69" s="329">
        <v>0</v>
      </c>
      <c r="E69" s="329">
        <v>0</v>
      </c>
      <c r="F69" s="329">
        <v>0</v>
      </c>
      <c r="G69" s="329">
        <v>0</v>
      </c>
      <c r="H69" s="329">
        <v>0</v>
      </c>
      <c r="I69" s="329">
        <v>1806</v>
      </c>
      <c r="J69" s="329">
        <v>642</v>
      </c>
      <c r="K69" s="329">
        <v>2448</v>
      </c>
      <c r="L69" s="329">
        <v>4149</v>
      </c>
      <c r="M69" s="329">
        <v>3154</v>
      </c>
      <c r="N69" s="329">
        <v>7303</v>
      </c>
      <c r="O69" s="329">
        <v>664</v>
      </c>
      <c r="P69" s="329">
        <v>381</v>
      </c>
      <c r="Q69" s="329">
        <v>1045</v>
      </c>
      <c r="R69" s="329">
        <v>316</v>
      </c>
      <c r="S69" s="329">
        <v>258</v>
      </c>
      <c r="T69" s="329">
        <v>574</v>
      </c>
      <c r="U69" s="329">
        <v>0</v>
      </c>
      <c r="V69" s="329">
        <v>0</v>
      </c>
      <c r="W69" s="329">
        <v>0</v>
      </c>
      <c r="X69" s="330">
        <v>6935</v>
      </c>
      <c r="Y69" s="330">
        <v>4435</v>
      </c>
      <c r="Z69" s="330">
        <v>11370</v>
      </c>
    </row>
    <row r="70" spans="2:26" hidden="1" outlineLevel="1" x14ac:dyDescent="0.25">
      <c r="B70" s="304">
        <v>41061</v>
      </c>
      <c r="C70" s="329">
        <v>0</v>
      </c>
      <c r="D70" s="329">
        <v>0</v>
      </c>
      <c r="E70" s="329">
        <v>0</v>
      </c>
      <c r="F70" s="329">
        <v>0</v>
      </c>
      <c r="G70" s="329">
        <v>0</v>
      </c>
      <c r="H70" s="329">
        <v>0</v>
      </c>
      <c r="I70" s="329">
        <v>1631</v>
      </c>
      <c r="J70" s="329">
        <v>608</v>
      </c>
      <c r="K70" s="329">
        <v>2239</v>
      </c>
      <c r="L70" s="329">
        <v>3789</v>
      </c>
      <c r="M70" s="329">
        <v>3089</v>
      </c>
      <c r="N70" s="329">
        <v>6878</v>
      </c>
      <c r="O70" s="329">
        <v>624</v>
      </c>
      <c r="P70" s="329">
        <v>380</v>
      </c>
      <c r="Q70" s="329">
        <v>1004</v>
      </c>
      <c r="R70" s="329">
        <v>246</v>
      </c>
      <c r="S70" s="329">
        <v>228</v>
      </c>
      <c r="T70" s="329">
        <v>474</v>
      </c>
      <c r="U70" s="329">
        <v>0</v>
      </c>
      <c r="V70" s="329">
        <v>0</v>
      </c>
      <c r="W70" s="329">
        <v>0</v>
      </c>
      <c r="X70" s="330">
        <v>6290</v>
      </c>
      <c r="Y70" s="330">
        <v>4305</v>
      </c>
      <c r="Z70" s="330">
        <v>10595</v>
      </c>
    </row>
    <row r="71" spans="2:26" hidden="1" outlineLevel="1" x14ac:dyDescent="0.25">
      <c r="B71" s="304">
        <v>41091</v>
      </c>
      <c r="C71" s="329">
        <v>0</v>
      </c>
      <c r="D71" s="329">
        <v>0</v>
      </c>
      <c r="E71" s="329">
        <v>0</v>
      </c>
      <c r="F71" s="329">
        <v>0</v>
      </c>
      <c r="G71" s="329">
        <v>0</v>
      </c>
      <c r="H71" s="329">
        <v>0</v>
      </c>
      <c r="I71" s="329">
        <v>1930</v>
      </c>
      <c r="J71" s="329">
        <v>640</v>
      </c>
      <c r="K71" s="329">
        <v>2570</v>
      </c>
      <c r="L71" s="329">
        <v>4865</v>
      </c>
      <c r="M71" s="329">
        <v>3765</v>
      </c>
      <c r="N71" s="329">
        <v>8630</v>
      </c>
      <c r="O71" s="329">
        <v>589</v>
      </c>
      <c r="P71" s="329">
        <v>360</v>
      </c>
      <c r="Q71" s="329">
        <v>949</v>
      </c>
      <c r="R71" s="329">
        <v>353</v>
      </c>
      <c r="S71" s="329">
        <v>257</v>
      </c>
      <c r="T71" s="329">
        <v>610</v>
      </c>
      <c r="U71" s="329">
        <v>0</v>
      </c>
      <c r="V71" s="329">
        <v>0</v>
      </c>
      <c r="W71" s="329">
        <v>0</v>
      </c>
      <c r="X71" s="330">
        <v>7737</v>
      </c>
      <c r="Y71" s="330">
        <v>5022</v>
      </c>
      <c r="Z71" s="330">
        <v>12759</v>
      </c>
    </row>
    <row r="72" spans="2:26" hidden="1" outlineLevel="1" x14ac:dyDescent="0.25">
      <c r="B72" s="304">
        <v>41122</v>
      </c>
      <c r="C72" s="329">
        <v>0</v>
      </c>
      <c r="D72" s="329">
        <v>0</v>
      </c>
      <c r="E72" s="329">
        <v>0</v>
      </c>
      <c r="F72" s="329">
        <v>0</v>
      </c>
      <c r="G72" s="329">
        <v>0</v>
      </c>
      <c r="H72" s="329">
        <v>0</v>
      </c>
      <c r="I72" s="329">
        <v>1948</v>
      </c>
      <c r="J72" s="329">
        <v>700</v>
      </c>
      <c r="K72" s="329">
        <v>2648</v>
      </c>
      <c r="L72" s="329">
        <v>8973</v>
      </c>
      <c r="M72" s="329">
        <v>7408</v>
      </c>
      <c r="N72" s="329">
        <v>16381</v>
      </c>
      <c r="O72" s="329">
        <v>677</v>
      </c>
      <c r="P72" s="329">
        <v>388</v>
      </c>
      <c r="Q72" s="329">
        <v>1065</v>
      </c>
      <c r="R72" s="329">
        <v>355</v>
      </c>
      <c r="S72" s="329">
        <v>270</v>
      </c>
      <c r="T72" s="329">
        <v>625</v>
      </c>
      <c r="U72" s="329">
        <v>0</v>
      </c>
      <c r="V72" s="329">
        <v>0</v>
      </c>
      <c r="W72" s="329">
        <v>0</v>
      </c>
      <c r="X72" s="330">
        <v>11953</v>
      </c>
      <c r="Y72" s="330">
        <v>8766</v>
      </c>
      <c r="Z72" s="330">
        <v>20719</v>
      </c>
    </row>
    <row r="73" spans="2:26" hidden="1" outlineLevel="1" x14ac:dyDescent="0.25">
      <c r="B73" s="304">
        <v>41153</v>
      </c>
      <c r="C73" s="329">
        <v>0</v>
      </c>
      <c r="D73" s="329">
        <v>0</v>
      </c>
      <c r="E73" s="329">
        <v>0</v>
      </c>
      <c r="F73" s="329">
        <v>0</v>
      </c>
      <c r="G73" s="329">
        <v>0</v>
      </c>
      <c r="H73" s="329">
        <v>0</v>
      </c>
      <c r="I73" s="329">
        <v>1634</v>
      </c>
      <c r="J73" s="329">
        <v>597</v>
      </c>
      <c r="K73" s="329">
        <v>2231</v>
      </c>
      <c r="L73" s="329">
        <v>10421</v>
      </c>
      <c r="M73" s="329">
        <v>7599</v>
      </c>
      <c r="N73" s="329">
        <v>18020</v>
      </c>
      <c r="O73" s="329">
        <v>421</v>
      </c>
      <c r="P73" s="329">
        <v>264</v>
      </c>
      <c r="Q73" s="329">
        <v>685</v>
      </c>
      <c r="R73" s="329">
        <v>251</v>
      </c>
      <c r="S73" s="329">
        <v>203</v>
      </c>
      <c r="T73" s="329">
        <v>454</v>
      </c>
      <c r="U73" s="329">
        <v>0</v>
      </c>
      <c r="V73" s="329">
        <v>0</v>
      </c>
      <c r="W73" s="329">
        <v>0</v>
      </c>
      <c r="X73" s="330">
        <v>12727</v>
      </c>
      <c r="Y73" s="330">
        <v>8663</v>
      </c>
      <c r="Z73" s="330">
        <v>21390</v>
      </c>
    </row>
    <row r="74" spans="2:26" hidden="1" outlineLevel="1" x14ac:dyDescent="0.25">
      <c r="B74" s="304">
        <v>41183</v>
      </c>
      <c r="C74" s="329">
        <v>0</v>
      </c>
      <c r="D74" s="329">
        <v>0</v>
      </c>
      <c r="E74" s="329">
        <v>0</v>
      </c>
      <c r="F74" s="329">
        <v>0</v>
      </c>
      <c r="G74" s="329">
        <v>0</v>
      </c>
      <c r="H74" s="329">
        <v>0</v>
      </c>
      <c r="I74" s="329">
        <v>2284</v>
      </c>
      <c r="J74" s="329">
        <v>745</v>
      </c>
      <c r="K74" s="329">
        <v>3029</v>
      </c>
      <c r="L74" s="329">
        <v>6173</v>
      </c>
      <c r="M74" s="329">
        <v>4643</v>
      </c>
      <c r="N74" s="329">
        <v>10816</v>
      </c>
      <c r="O74" s="329">
        <v>602</v>
      </c>
      <c r="P74" s="329">
        <v>364</v>
      </c>
      <c r="Q74" s="329">
        <v>966</v>
      </c>
      <c r="R74" s="329">
        <v>342</v>
      </c>
      <c r="S74" s="329">
        <v>282</v>
      </c>
      <c r="T74" s="329">
        <v>624</v>
      </c>
      <c r="U74" s="329">
        <v>0</v>
      </c>
      <c r="V74" s="329">
        <v>0</v>
      </c>
      <c r="W74" s="329">
        <v>0</v>
      </c>
      <c r="X74" s="330">
        <v>9401</v>
      </c>
      <c r="Y74" s="330">
        <v>6034</v>
      </c>
      <c r="Z74" s="330">
        <v>15435</v>
      </c>
    </row>
    <row r="75" spans="2:26" hidden="1" outlineLevel="1" x14ac:dyDescent="0.25">
      <c r="B75" s="304">
        <v>41214</v>
      </c>
      <c r="C75" s="329">
        <v>0</v>
      </c>
      <c r="D75" s="329">
        <v>0</v>
      </c>
      <c r="E75" s="329">
        <v>0</v>
      </c>
      <c r="F75" s="329">
        <v>0</v>
      </c>
      <c r="G75" s="329">
        <v>0</v>
      </c>
      <c r="H75" s="329">
        <v>0</v>
      </c>
      <c r="I75" s="329">
        <v>2021</v>
      </c>
      <c r="J75" s="329">
        <v>667</v>
      </c>
      <c r="K75" s="329">
        <v>2688</v>
      </c>
      <c r="L75" s="329">
        <v>3890</v>
      </c>
      <c r="M75" s="329">
        <v>3976</v>
      </c>
      <c r="N75" s="329">
        <v>7866</v>
      </c>
      <c r="O75" s="329">
        <v>514</v>
      </c>
      <c r="P75" s="329">
        <v>273</v>
      </c>
      <c r="Q75" s="329">
        <v>787</v>
      </c>
      <c r="R75" s="329">
        <v>287</v>
      </c>
      <c r="S75" s="329">
        <v>230</v>
      </c>
      <c r="T75" s="329">
        <v>517</v>
      </c>
      <c r="U75" s="329">
        <v>0</v>
      </c>
      <c r="V75" s="329">
        <v>0</v>
      </c>
      <c r="W75" s="329">
        <v>0</v>
      </c>
      <c r="X75" s="330">
        <v>6712</v>
      </c>
      <c r="Y75" s="330">
        <v>5146</v>
      </c>
      <c r="Z75" s="330">
        <v>11858</v>
      </c>
    </row>
    <row r="76" spans="2:26" collapsed="1" x14ac:dyDescent="0.25">
      <c r="B76" s="304">
        <v>41244</v>
      </c>
      <c r="C76" s="329">
        <v>0</v>
      </c>
      <c r="D76" s="329">
        <v>0</v>
      </c>
      <c r="E76" s="329">
        <v>0</v>
      </c>
      <c r="F76" s="329">
        <v>0</v>
      </c>
      <c r="G76" s="329">
        <v>0</v>
      </c>
      <c r="H76" s="329">
        <v>0</v>
      </c>
      <c r="I76" s="329">
        <v>1730</v>
      </c>
      <c r="J76" s="329">
        <v>543</v>
      </c>
      <c r="K76" s="329">
        <v>2273</v>
      </c>
      <c r="L76" s="329">
        <v>3040</v>
      </c>
      <c r="M76" s="329">
        <v>3252</v>
      </c>
      <c r="N76" s="329">
        <v>6292</v>
      </c>
      <c r="O76" s="329">
        <v>452</v>
      </c>
      <c r="P76" s="329">
        <v>289</v>
      </c>
      <c r="Q76" s="329">
        <v>741</v>
      </c>
      <c r="R76" s="329">
        <v>274</v>
      </c>
      <c r="S76" s="329">
        <v>221</v>
      </c>
      <c r="T76" s="329">
        <v>495</v>
      </c>
      <c r="U76" s="329">
        <v>0</v>
      </c>
      <c r="V76" s="329">
        <v>0</v>
      </c>
      <c r="W76" s="329">
        <v>0</v>
      </c>
      <c r="X76" s="330">
        <v>5496</v>
      </c>
      <c r="Y76" s="330">
        <v>4305</v>
      </c>
      <c r="Z76" s="330">
        <v>9801</v>
      </c>
    </row>
    <row r="77" spans="2:26" hidden="1" outlineLevel="1" x14ac:dyDescent="0.25">
      <c r="B77" s="304">
        <v>41275</v>
      </c>
      <c r="C77" s="329">
        <v>0</v>
      </c>
      <c r="D77" s="329">
        <v>0</v>
      </c>
      <c r="E77" s="329">
        <v>0</v>
      </c>
      <c r="F77" s="329">
        <v>0</v>
      </c>
      <c r="G77" s="329">
        <v>0</v>
      </c>
      <c r="H77" s="329">
        <v>0</v>
      </c>
      <c r="I77" s="329">
        <v>2059</v>
      </c>
      <c r="J77" s="329">
        <v>694</v>
      </c>
      <c r="K77" s="329">
        <v>2753</v>
      </c>
      <c r="L77" s="329">
        <v>3488</v>
      </c>
      <c r="M77" s="329">
        <v>2876</v>
      </c>
      <c r="N77" s="329">
        <v>6364</v>
      </c>
      <c r="O77" s="329">
        <v>554</v>
      </c>
      <c r="P77" s="329">
        <v>313</v>
      </c>
      <c r="Q77" s="329">
        <v>867</v>
      </c>
      <c r="R77" s="329">
        <v>290</v>
      </c>
      <c r="S77" s="329">
        <v>232</v>
      </c>
      <c r="T77" s="329">
        <v>522</v>
      </c>
      <c r="U77" s="329">
        <v>0</v>
      </c>
      <c r="V77" s="329">
        <v>0</v>
      </c>
      <c r="W77" s="329">
        <v>0</v>
      </c>
      <c r="X77" s="330">
        <v>6391</v>
      </c>
      <c r="Y77" s="330">
        <v>4115</v>
      </c>
      <c r="Z77" s="330">
        <v>10506</v>
      </c>
    </row>
    <row r="78" spans="2:26" hidden="1" outlineLevel="1" x14ac:dyDescent="0.25">
      <c r="B78" s="304">
        <v>41306</v>
      </c>
      <c r="C78" s="329">
        <v>0</v>
      </c>
      <c r="D78" s="329">
        <v>0</v>
      </c>
      <c r="E78" s="329">
        <v>0</v>
      </c>
      <c r="F78" s="329">
        <v>0</v>
      </c>
      <c r="G78" s="329">
        <v>0</v>
      </c>
      <c r="H78" s="329">
        <v>0</v>
      </c>
      <c r="I78" s="329">
        <v>1485</v>
      </c>
      <c r="J78" s="329">
        <v>535</v>
      </c>
      <c r="K78" s="329">
        <v>2020</v>
      </c>
      <c r="L78" s="329">
        <v>2527</v>
      </c>
      <c r="M78" s="329">
        <v>2274</v>
      </c>
      <c r="N78" s="329">
        <v>4801</v>
      </c>
      <c r="O78" s="329">
        <v>459</v>
      </c>
      <c r="P78" s="329">
        <v>245</v>
      </c>
      <c r="Q78" s="329">
        <v>704</v>
      </c>
      <c r="R78" s="329">
        <v>217</v>
      </c>
      <c r="S78" s="329">
        <v>209</v>
      </c>
      <c r="T78" s="329">
        <v>426</v>
      </c>
      <c r="U78" s="329">
        <v>0</v>
      </c>
      <c r="V78" s="329">
        <v>0</v>
      </c>
      <c r="W78" s="329">
        <v>0</v>
      </c>
      <c r="X78" s="330">
        <v>4688</v>
      </c>
      <c r="Y78" s="330">
        <v>3263</v>
      </c>
      <c r="Z78" s="330">
        <v>7951</v>
      </c>
    </row>
    <row r="79" spans="2:26" hidden="1" outlineLevel="1" x14ac:dyDescent="0.25">
      <c r="B79" s="304">
        <v>41334</v>
      </c>
      <c r="C79" s="329">
        <v>0</v>
      </c>
      <c r="D79" s="329">
        <v>0</v>
      </c>
      <c r="E79" s="329">
        <v>0</v>
      </c>
      <c r="F79" s="329">
        <v>0</v>
      </c>
      <c r="G79" s="329">
        <v>0</v>
      </c>
      <c r="H79" s="329">
        <v>0</v>
      </c>
      <c r="I79" s="329">
        <v>1726</v>
      </c>
      <c r="J79" s="329">
        <v>522</v>
      </c>
      <c r="K79" s="329">
        <v>2248</v>
      </c>
      <c r="L79" s="329">
        <v>2713</v>
      </c>
      <c r="M79" s="329">
        <v>2211</v>
      </c>
      <c r="N79" s="329">
        <v>4924</v>
      </c>
      <c r="O79" s="329">
        <v>512</v>
      </c>
      <c r="P79" s="329">
        <v>297</v>
      </c>
      <c r="Q79" s="329">
        <v>809</v>
      </c>
      <c r="R79" s="329">
        <v>278</v>
      </c>
      <c r="S79" s="329">
        <v>228</v>
      </c>
      <c r="T79" s="329">
        <v>506</v>
      </c>
      <c r="U79" s="329">
        <v>0</v>
      </c>
      <c r="V79" s="329">
        <v>0</v>
      </c>
      <c r="W79" s="329">
        <v>0</v>
      </c>
      <c r="X79" s="330">
        <v>5229</v>
      </c>
      <c r="Y79" s="330">
        <v>3258</v>
      </c>
      <c r="Z79" s="330">
        <v>8487</v>
      </c>
    </row>
    <row r="80" spans="2:26" hidden="1" outlineLevel="1" x14ac:dyDescent="0.25">
      <c r="B80" s="304">
        <v>41365</v>
      </c>
      <c r="C80" s="329">
        <v>0</v>
      </c>
      <c r="D80" s="329">
        <v>0</v>
      </c>
      <c r="E80" s="329">
        <v>0</v>
      </c>
      <c r="F80" s="329">
        <v>0</v>
      </c>
      <c r="G80" s="329">
        <v>0</v>
      </c>
      <c r="H80" s="329">
        <v>0</v>
      </c>
      <c r="I80" s="329">
        <v>1696</v>
      </c>
      <c r="J80" s="329">
        <v>572</v>
      </c>
      <c r="K80" s="329">
        <v>2268</v>
      </c>
      <c r="L80" s="329">
        <v>2708</v>
      </c>
      <c r="M80" s="329">
        <v>2634</v>
      </c>
      <c r="N80" s="329">
        <v>5342</v>
      </c>
      <c r="O80" s="329">
        <v>542</v>
      </c>
      <c r="P80" s="329">
        <v>269</v>
      </c>
      <c r="Q80" s="329">
        <v>811</v>
      </c>
      <c r="R80" s="329">
        <v>300</v>
      </c>
      <c r="S80" s="329">
        <v>214</v>
      </c>
      <c r="T80" s="329">
        <v>514</v>
      </c>
      <c r="U80" s="329">
        <v>0</v>
      </c>
      <c r="V80" s="329">
        <v>0</v>
      </c>
      <c r="W80" s="329">
        <v>0</v>
      </c>
      <c r="X80" s="330">
        <v>5246</v>
      </c>
      <c r="Y80" s="330">
        <v>3689</v>
      </c>
      <c r="Z80" s="330">
        <v>8935</v>
      </c>
    </row>
    <row r="81" spans="2:26" hidden="1" outlineLevel="1" x14ac:dyDescent="0.25">
      <c r="B81" s="304">
        <v>41395</v>
      </c>
      <c r="C81" s="329">
        <v>0</v>
      </c>
      <c r="D81" s="329">
        <v>0</v>
      </c>
      <c r="E81" s="329">
        <v>0</v>
      </c>
      <c r="F81" s="329">
        <v>0</v>
      </c>
      <c r="G81" s="329">
        <v>0</v>
      </c>
      <c r="H81" s="329">
        <v>0</v>
      </c>
      <c r="I81" s="329">
        <v>1595</v>
      </c>
      <c r="J81" s="329">
        <v>550</v>
      </c>
      <c r="K81" s="329">
        <v>2145</v>
      </c>
      <c r="L81" s="329">
        <v>2545</v>
      </c>
      <c r="M81" s="329">
        <v>2948</v>
      </c>
      <c r="N81" s="329">
        <v>5493</v>
      </c>
      <c r="O81" s="329">
        <v>471</v>
      </c>
      <c r="P81" s="329">
        <v>277</v>
      </c>
      <c r="Q81" s="329">
        <v>748</v>
      </c>
      <c r="R81" s="329">
        <v>268</v>
      </c>
      <c r="S81" s="329">
        <v>227</v>
      </c>
      <c r="T81" s="329">
        <v>495</v>
      </c>
      <c r="U81" s="329">
        <v>0</v>
      </c>
      <c r="V81" s="329">
        <v>0</v>
      </c>
      <c r="W81" s="329">
        <v>0</v>
      </c>
      <c r="X81" s="330">
        <v>4879</v>
      </c>
      <c r="Y81" s="330">
        <v>4002</v>
      </c>
      <c r="Z81" s="330">
        <v>8881</v>
      </c>
    </row>
    <row r="82" spans="2:26" hidden="1" outlineLevel="1" x14ac:dyDescent="0.25">
      <c r="B82" s="304">
        <v>41426</v>
      </c>
      <c r="C82" s="329">
        <v>0</v>
      </c>
      <c r="D82" s="329">
        <v>0</v>
      </c>
      <c r="E82" s="329">
        <v>0</v>
      </c>
      <c r="F82" s="329">
        <v>0</v>
      </c>
      <c r="G82" s="329">
        <v>0</v>
      </c>
      <c r="H82" s="329">
        <v>0</v>
      </c>
      <c r="I82" s="329">
        <v>1552</v>
      </c>
      <c r="J82" s="329">
        <v>503</v>
      </c>
      <c r="K82" s="329">
        <v>2055</v>
      </c>
      <c r="L82" s="329">
        <v>2446</v>
      </c>
      <c r="M82" s="329">
        <v>2553</v>
      </c>
      <c r="N82" s="329">
        <v>4999</v>
      </c>
      <c r="O82" s="329">
        <v>488</v>
      </c>
      <c r="P82" s="329">
        <v>261</v>
      </c>
      <c r="Q82" s="329">
        <v>749</v>
      </c>
      <c r="R82" s="329">
        <v>266</v>
      </c>
      <c r="S82" s="329">
        <v>221</v>
      </c>
      <c r="T82" s="329">
        <v>487</v>
      </c>
      <c r="U82" s="329">
        <v>0</v>
      </c>
      <c r="V82" s="329">
        <v>0</v>
      </c>
      <c r="W82" s="329">
        <v>0</v>
      </c>
      <c r="X82" s="330">
        <v>4752</v>
      </c>
      <c r="Y82" s="330">
        <v>3538</v>
      </c>
      <c r="Z82" s="330">
        <v>8290</v>
      </c>
    </row>
    <row r="83" spans="2:26" hidden="1" outlineLevel="1" x14ac:dyDescent="0.25">
      <c r="B83" s="304">
        <v>41456</v>
      </c>
      <c r="C83" s="329">
        <v>0</v>
      </c>
      <c r="D83" s="329">
        <v>0</v>
      </c>
      <c r="E83" s="329">
        <v>0</v>
      </c>
      <c r="F83" s="329">
        <v>0</v>
      </c>
      <c r="G83" s="329">
        <v>0</v>
      </c>
      <c r="H83" s="329">
        <v>0</v>
      </c>
      <c r="I83" s="329">
        <v>1978</v>
      </c>
      <c r="J83" s="329">
        <v>592</v>
      </c>
      <c r="K83" s="329">
        <v>2570</v>
      </c>
      <c r="L83" s="329">
        <v>2734</v>
      </c>
      <c r="M83" s="329">
        <v>2580</v>
      </c>
      <c r="N83" s="329">
        <v>5314</v>
      </c>
      <c r="O83" s="329">
        <v>484</v>
      </c>
      <c r="P83" s="329">
        <v>273</v>
      </c>
      <c r="Q83" s="329">
        <v>757</v>
      </c>
      <c r="R83" s="329">
        <v>288</v>
      </c>
      <c r="S83" s="329">
        <v>228</v>
      </c>
      <c r="T83" s="329">
        <v>516</v>
      </c>
      <c r="U83" s="329">
        <v>0</v>
      </c>
      <c r="V83" s="329">
        <v>0</v>
      </c>
      <c r="W83" s="329">
        <v>0</v>
      </c>
      <c r="X83" s="330">
        <v>5484</v>
      </c>
      <c r="Y83" s="330">
        <v>3673</v>
      </c>
      <c r="Z83" s="330">
        <v>9157</v>
      </c>
    </row>
    <row r="84" spans="2:26" hidden="1" outlineLevel="1" x14ac:dyDescent="0.25">
      <c r="B84" s="304">
        <v>41487</v>
      </c>
      <c r="C84" s="329">
        <v>0</v>
      </c>
      <c r="D84" s="329">
        <v>0</v>
      </c>
      <c r="E84" s="329">
        <v>0</v>
      </c>
      <c r="F84" s="329">
        <v>0</v>
      </c>
      <c r="G84" s="329">
        <v>0</v>
      </c>
      <c r="H84" s="329">
        <v>0</v>
      </c>
      <c r="I84" s="329">
        <v>2083</v>
      </c>
      <c r="J84" s="329">
        <v>695</v>
      </c>
      <c r="K84" s="329">
        <v>2778</v>
      </c>
      <c r="L84" s="329">
        <v>3057</v>
      </c>
      <c r="M84" s="329">
        <v>2657</v>
      </c>
      <c r="N84" s="329">
        <v>5714</v>
      </c>
      <c r="O84" s="329">
        <v>508</v>
      </c>
      <c r="P84" s="329">
        <v>246</v>
      </c>
      <c r="Q84" s="329">
        <v>754</v>
      </c>
      <c r="R84" s="329">
        <v>329</v>
      </c>
      <c r="S84" s="329">
        <v>273</v>
      </c>
      <c r="T84" s="329">
        <v>602</v>
      </c>
      <c r="U84" s="329">
        <v>0</v>
      </c>
      <c r="V84" s="329">
        <v>0</v>
      </c>
      <c r="W84" s="329">
        <v>0</v>
      </c>
      <c r="X84" s="330">
        <v>5977</v>
      </c>
      <c r="Y84" s="330">
        <v>3871</v>
      </c>
      <c r="Z84" s="330">
        <v>9848</v>
      </c>
    </row>
    <row r="85" spans="2:26" hidden="1" outlineLevel="1" x14ac:dyDescent="0.25">
      <c r="B85" s="304">
        <v>41518</v>
      </c>
      <c r="C85" s="329">
        <v>0</v>
      </c>
      <c r="D85" s="329">
        <v>0</v>
      </c>
      <c r="E85" s="329">
        <v>0</v>
      </c>
      <c r="F85" s="329">
        <v>0</v>
      </c>
      <c r="G85" s="329">
        <v>0</v>
      </c>
      <c r="H85" s="329">
        <v>0</v>
      </c>
      <c r="I85" s="329">
        <v>1961</v>
      </c>
      <c r="J85" s="329">
        <v>604</v>
      </c>
      <c r="K85" s="329">
        <v>2565</v>
      </c>
      <c r="L85" s="329">
        <v>2703</v>
      </c>
      <c r="M85" s="329">
        <v>2501</v>
      </c>
      <c r="N85" s="329">
        <v>5204</v>
      </c>
      <c r="O85" s="329">
        <v>436</v>
      </c>
      <c r="P85" s="329">
        <v>217</v>
      </c>
      <c r="Q85" s="329">
        <v>653</v>
      </c>
      <c r="R85" s="329">
        <v>214</v>
      </c>
      <c r="S85" s="329">
        <v>224</v>
      </c>
      <c r="T85" s="329">
        <v>438</v>
      </c>
      <c r="U85" s="329">
        <v>0</v>
      </c>
      <c r="V85" s="329">
        <v>0</v>
      </c>
      <c r="W85" s="329">
        <v>0</v>
      </c>
      <c r="X85" s="330">
        <v>5314</v>
      </c>
      <c r="Y85" s="330">
        <v>3546</v>
      </c>
      <c r="Z85" s="330">
        <v>8860</v>
      </c>
    </row>
    <row r="86" spans="2:26" hidden="1" outlineLevel="1" x14ac:dyDescent="0.25">
      <c r="B86" s="304">
        <v>41548</v>
      </c>
      <c r="C86" s="329">
        <v>0</v>
      </c>
      <c r="D86" s="329">
        <v>0</v>
      </c>
      <c r="E86" s="329">
        <v>0</v>
      </c>
      <c r="F86" s="329">
        <v>0</v>
      </c>
      <c r="G86" s="329">
        <v>0</v>
      </c>
      <c r="H86" s="329">
        <v>0</v>
      </c>
      <c r="I86" s="329">
        <v>2200</v>
      </c>
      <c r="J86" s="329">
        <v>630</v>
      </c>
      <c r="K86" s="329">
        <v>2830</v>
      </c>
      <c r="L86" s="329">
        <v>3609</v>
      </c>
      <c r="M86" s="329">
        <v>3178</v>
      </c>
      <c r="N86" s="329">
        <v>6787</v>
      </c>
      <c r="O86" s="329">
        <v>476</v>
      </c>
      <c r="P86" s="329">
        <v>290</v>
      </c>
      <c r="Q86" s="329">
        <v>766</v>
      </c>
      <c r="R86" s="329">
        <v>305</v>
      </c>
      <c r="S86" s="329">
        <v>252</v>
      </c>
      <c r="T86" s="329">
        <v>557</v>
      </c>
      <c r="U86" s="329">
        <v>0</v>
      </c>
      <c r="V86" s="329">
        <v>0</v>
      </c>
      <c r="W86" s="329">
        <v>0</v>
      </c>
      <c r="X86" s="330">
        <v>6590</v>
      </c>
      <c r="Y86" s="330">
        <v>4350</v>
      </c>
      <c r="Z86" s="330">
        <v>10940</v>
      </c>
    </row>
    <row r="87" spans="2:26" hidden="1" outlineLevel="1" x14ac:dyDescent="0.25">
      <c r="B87" s="304">
        <v>41579</v>
      </c>
      <c r="C87" s="329">
        <v>0</v>
      </c>
      <c r="D87" s="329">
        <v>0</v>
      </c>
      <c r="E87" s="329">
        <v>0</v>
      </c>
      <c r="F87" s="329">
        <v>0</v>
      </c>
      <c r="G87" s="329">
        <v>0</v>
      </c>
      <c r="H87" s="329">
        <v>0</v>
      </c>
      <c r="I87" s="329">
        <v>1534</v>
      </c>
      <c r="J87" s="329">
        <v>407</v>
      </c>
      <c r="K87" s="329">
        <v>1941</v>
      </c>
      <c r="L87" s="329">
        <v>2269</v>
      </c>
      <c r="M87" s="329">
        <v>1993</v>
      </c>
      <c r="N87" s="329">
        <v>4262</v>
      </c>
      <c r="O87" s="329">
        <v>318</v>
      </c>
      <c r="P87" s="329">
        <v>183</v>
      </c>
      <c r="Q87" s="329">
        <v>501</v>
      </c>
      <c r="R87" s="329">
        <v>237</v>
      </c>
      <c r="S87" s="329">
        <v>194</v>
      </c>
      <c r="T87" s="329">
        <v>431</v>
      </c>
      <c r="U87" s="329">
        <v>0</v>
      </c>
      <c r="V87" s="329">
        <v>0</v>
      </c>
      <c r="W87" s="329">
        <v>0</v>
      </c>
      <c r="X87" s="330">
        <v>4358</v>
      </c>
      <c r="Y87" s="330">
        <v>2777</v>
      </c>
      <c r="Z87" s="330">
        <v>7135</v>
      </c>
    </row>
    <row r="88" spans="2:26" collapsed="1" x14ac:dyDescent="0.25">
      <c r="B88" s="304">
        <v>41609</v>
      </c>
      <c r="C88" s="329">
        <v>0</v>
      </c>
      <c r="D88" s="329">
        <v>0</v>
      </c>
      <c r="E88" s="329">
        <v>0</v>
      </c>
      <c r="F88" s="329">
        <v>0</v>
      </c>
      <c r="G88" s="329">
        <v>0</v>
      </c>
      <c r="H88" s="329">
        <v>0</v>
      </c>
      <c r="I88" s="329">
        <v>2568</v>
      </c>
      <c r="J88" s="329">
        <v>738</v>
      </c>
      <c r="K88" s="329">
        <v>3306</v>
      </c>
      <c r="L88" s="329">
        <v>3426</v>
      </c>
      <c r="M88" s="329">
        <v>2937</v>
      </c>
      <c r="N88" s="329">
        <v>6363</v>
      </c>
      <c r="O88" s="329">
        <v>552</v>
      </c>
      <c r="P88" s="329">
        <v>343</v>
      </c>
      <c r="Q88" s="329">
        <v>895</v>
      </c>
      <c r="R88" s="329">
        <v>294</v>
      </c>
      <c r="S88" s="329">
        <v>260</v>
      </c>
      <c r="T88" s="329">
        <v>554</v>
      </c>
      <c r="U88" s="329">
        <v>0</v>
      </c>
      <c r="V88" s="329">
        <v>0</v>
      </c>
      <c r="W88" s="329">
        <v>0</v>
      </c>
      <c r="X88" s="330">
        <v>6840</v>
      </c>
      <c r="Y88" s="330">
        <v>4278</v>
      </c>
      <c r="Z88" s="330">
        <v>11118</v>
      </c>
    </row>
    <row r="89" spans="2:26" hidden="1" outlineLevel="1" x14ac:dyDescent="0.25">
      <c r="B89" s="304">
        <v>41640</v>
      </c>
      <c r="C89" s="329">
        <v>0</v>
      </c>
      <c r="D89" s="329">
        <v>0</v>
      </c>
      <c r="E89" s="329">
        <v>0</v>
      </c>
      <c r="F89" s="329">
        <v>0</v>
      </c>
      <c r="G89" s="329">
        <v>0</v>
      </c>
      <c r="H89" s="329">
        <v>0</v>
      </c>
      <c r="I89" s="329">
        <v>2156</v>
      </c>
      <c r="J89" s="329">
        <v>697</v>
      </c>
      <c r="K89" s="329">
        <v>2853</v>
      </c>
      <c r="L89" s="329">
        <v>3023</v>
      </c>
      <c r="M89" s="329">
        <v>2752</v>
      </c>
      <c r="N89" s="329">
        <v>5775</v>
      </c>
      <c r="O89" s="329">
        <v>499</v>
      </c>
      <c r="P89" s="329">
        <v>271</v>
      </c>
      <c r="Q89" s="329">
        <v>770</v>
      </c>
      <c r="R89" s="329">
        <v>326</v>
      </c>
      <c r="S89" s="329">
        <v>256</v>
      </c>
      <c r="T89" s="329">
        <v>582</v>
      </c>
      <c r="U89" s="329">
        <v>0</v>
      </c>
      <c r="V89" s="329">
        <v>0</v>
      </c>
      <c r="W89" s="329">
        <v>0</v>
      </c>
      <c r="X89" s="330">
        <v>6004</v>
      </c>
      <c r="Y89" s="330">
        <v>3976</v>
      </c>
      <c r="Z89" s="330">
        <v>9980</v>
      </c>
    </row>
    <row r="90" spans="2:26" hidden="1" outlineLevel="1" x14ac:dyDescent="0.25">
      <c r="B90" s="304">
        <v>41671</v>
      </c>
      <c r="C90" s="329">
        <v>0</v>
      </c>
      <c r="D90" s="329">
        <v>0</v>
      </c>
      <c r="E90" s="329">
        <v>0</v>
      </c>
      <c r="F90" s="329">
        <v>0</v>
      </c>
      <c r="G90" s="329">
        <v>0</v>
      </c>
      <c r="H90" s="329">
        <v>0</v>
      </c>
      <c r="I90" s="329">
        <v>1795</v>
      </c>
      <c r="J90" s="329">
        <v>577</v>
      </c>
      <c r="K90" s="329">
        <v>2372</v>
      </c>
      <c r="L90" s="329">
        <v>2452</v>
      </c>
      <c r="M90" s="329">
        <v>2289</v>
      </c>
      <c r="N90" s="329">
        <v>4741</v>
      </c>
      <c r="O90" s="329">
        <v>453</v>
      </c>
      <c r="P90" s="329">
        <v>238</v>
      </c>
      <c r="Q90" s="329">
        <v>691</v>
      </c>
      <c r="R90" s="329">
        <v>229</v>
      </c>
      <c r="S90" s="329">
        <v>192</v>
      </c>
      <c r="T90" s="329">
        <v>421</v>
      </c>
      <c r="U90" s="329">
        <v>0</v>
      </c>
      <c r="V90" s="329">
        <v>0</v>
      </c>
      <c r="W90" s="329">
        <v>0</v>
      </c>
      <c r="X90" s="330">
        <v>4929</v>
      </c>
      <c r="Y90" s="330">
        <v>3296</v>
      </c>
      <c r="Z90" s="330">
        <v>8225</v>
      </c>
    </row>
    <row r="91" spans="2:26" hidden="1" outlineLevel="1" x14ac:dyDescent="0.25">
      <c r="B91" s="304">
        <v>41699</v>
      </c>
      <c r="C91" s="329">
        <v>0</v>
      </c>
      <c r="D91" s="329">
        <v>0</v>
      </c>
      <c r="E91" s="329">
        <v>0</v>
      </c>
      <c r="F91" s="329">
        <v>0</v>
      </c>
      <c r="G91" s="329">
        <v>0</v>
      </c>
      <c r="H91" s="329">
        <v>0</v>
      </c>
      <c r="I91" s="329">
        <v>2273</v>
      </c>
      <c r="J91" s="329">
        <v>694</v>
      </c>
      <c r="K91" s="329">
        <v>2967</v>
      </c>
      <c r="L91" s="329">
        <v>2708</v>
      </c>
      <c r="M91" s="329">
        <v>2645</v>
      </c>
      <c r="N91" s="329">
        <v>5353</v>
      </c>
      <c r="O91" s="329">
        <v>578</v>
      </c>
      <c r="P91" s="329">
        <v>322</v>
      </c>
      <c r="Q91" s="329">
        <v>900</v>
      </c>
      <c r="R91" s="329">
        <v>325</v>
      </c>
      <c r="S91" s="329">
        <v>228</v>
      </c>
      <c r="T91" s="329">
        <v>553</v>
      </c>
      <c r="U91" s="329">
        <v>0</v>
      </c>
      <c r="V91" s="329">
        <v>0</v>
      </c>
      <c r="W91" s="329">
        <v>0</v>
      </c>
      <c r="X91" s="330">
        <v>5884</v>
      </c>
      <c r="Y91" s="330">
        <v>3889</v>
      </c>
      <c r="Z91" s="330">
        <v>9773</v>
      </c>
    </row>
    <row r="92" spans="2:26" hidden="1" outlineLevel="1" x14ac:dyDescent="0.25">
      <c r="B92" s="304">
        <v>41730</v>
      </c>
      <c r="C92" s="329">
        <v>0</v>
      </c>
      <c r="D92" s="329">
        <v>0</v>
      </c>
      <c r="E92" s="329">
        <v>0</v>
      </c>
      <c r="F92" s="329">
        <v>0</v>
      </c>
      <c r="G92" s="329">
        <v>0</v>
      </c>
      <c r="H92" s="329">
        <v>0</v>
      </c>
      <c r="I92" s="329">
        <v>1889</v>
      </c>
      <c r="J92" s="329">
        <v>623</v>
      </c>
      <c r="K92" s="329">
        <v>2512</v>
      </c>
      <c r="L92" s="329">
        <v>2487</v>
      </c>
      <c r="M92" s="329">
        <v>2472</v>
      </c>
      <c r="N92" s="329">
        <v>4959</v>
      </c>
      <c r="O92" s="329">
        <v>527</v>
      </c>
      <c r="P92" s="329">
        <v>269</v>
      </c>
      <c r="Q92" s="329">
        <v>796</v>
      </c>
      <c r="R92" s="329">
        <v>319</v>
      </c>
      <c r="S92" s="329">
        <v>258</v>
      </c>
      <c r="T92" s="329">
        <v>577</v>
      </c>
      <c r="U92" s="329">
        <v>0</v>
      </c>
      <c r="V92" s="329">
        <v>0</v>
      </c>
      <c r="W92" s="329">
        <v>0</v>
      </c>
      <c r="X92" s="330">
        <v>5222</v>
      </c>
      <c r="Y92" s="330">
        <v>3622</v>
      </c>
      <c r="Z92" s="330">
        <v>8844</v>
      </c>
    </row>
    <row r="93" spans="2:26" hidden="1" outlineLevel="1" x14ac:dyDescent="0.25">
      <c r="B93" s="304">
        <v>41760</v>
      </c>
      <c r="C93" s="329">
        <v>0</v>
      </c>
      <c r="D93" s="329">
        <v>0</v>
      </c>
      <c r="E93" s="329">
        <v>0</v>
      </c>
      <c r="F93" s="329">
        <v>0</v>
      </c>
      <c r="G93" s="329">
        <v>0</v>
      </c>
      <c r="H93" s="329">
        <v>0</v>
      </c>
      <c r="I93" s="329">
        <v>2328</v>
      </c>
      <c r="J93" s="329">
        <v>687</v>
      </c>
      <c r="K93" s="329">
        <v>3015</v>
      </c>
      <c r="L93" s="329">
        <v>3027</v>
      </c>
      <c r="M93" s="329">
        <v>3865</v>
      </c>
      <c r="N93" s="329">
        <v>6892</v>
      </c>
      <c r="O93" s="329">
        <v>526</v>
      </c>
      <c r="P93" s="329">
        <v>292</v>
      </c>
      <c r="Q93" s="329">
        <v>818</v>
      </c>
      <c r="R93" s="329">
        <v>255</v>
      </c>
      <c r="S93" s="329">
        <v>228</v>
      </c>
      <c r="T93" s="329">
        <v>483</v>
      </c>
      <c r="U93" s="329">
        <v>0</v>
      </c>
      <c r="V93" s="329">
        <v>0</v>
      </c>
      <c r="W93" s="329">
        <v>0</v>
      </c>
      <c r="X93" s="330">
        <v>6136</v>
      </c>
      <c r="Y93" s="330">
        <v>5072</v>
      </c>
      <c r="Z93" s="330">
        <v>11208</v>
      </c>
    </row>
    <row r="94" spans="2:26" hidden="1" outlineLevel="1" x14ac:dyDescent="0.25">
      <c r="B94" s="304">
        <v>41791</v>
      </c>
      <c r="C94" s="329">
        <v>0</v>
      </c>
      <c r="D94" s="329">
        <v>0</v>
      </c>
      <c r="E94" s="329">
        <v>0</v>
      </c>
      <c r="F94" s="329">
        <v>0</v>
      </c>
      <c r="G94" s="329">
        <v>0</v>
      </c>
      <c r="H94" s="329">
        <v>0</v>
      </c>
      <c r="I94" s="329">
        <v>1952</v>
      </c>
      <c r="J94" s="329">
        <v>621</v>
      </c>
      <c r="K94" s="329">
        <v>2573</v>
      </c>
      <c r="L94" s="329">
        <v>2836</v>
      </c>
      <c r="M94" s="329">
        <v>3047</v>
      </c>
      <c r="N94" s="329">
        <v>5883</v>
      </c>
      <c r="O94" s="329">
        <v>491</v>
      </c>
      <c r="P94" s="329">
        <v>308</v>
      </c>
      <c r="Q94" s="329">
        <v>799</v>
      </c>
      <c r="R94" s="329">
        <v>216</v>
      </c>
      <c r="S94" s="329">
        <v>190</v>
      </c>
      <c r="T94" s="329">
        <v>406</v>
      </c>
      <c r="U94" s="329">
        <v>0</v>
      </c>
      <c r="V94" s="329">
        <v>0</v>
      </c>
      <c r="W94" s="329">
        <v>0</v>
      </c>
      <c r="X94" s="330">
        <v>5495</v>
      </c>
      <c r="Y94" s="330">
        <v>4166</v>
      </c>
      <c r="Z94" s="330">
        <v>9661</v>
      </c>
    </row>
    <row r="95" spans="2:26" hidden="1" outlineLevel="1" x14ac:dyDescent="0.25">
      <c r="B95" s="304">
        <v>41821</v>
      </c>
      <c r="C95" s="329">
        <v>0</v>
      </c>
      <c r="D95" s="329">
        <v>0</v>
      </c>
      <c r="E95" s="329">
        <v>0</v>
      </c>
      <c r="F95" s="329">
        <v>0</v>
      </c>
      <c r="G95" s="329">
        <v>0</v>
      </c>
      <c r="H95" s="329">
        <v>0</v>
      </c>
      <c r="I95" s="329">
        <v>1965</v>
      </c>
      <c r="J95" s="329">
        <v>610</v>
      </c>
      <c r="K95" s="329">
        <v>2575</v>
      </c>
      <c r="L95" s="329">
        <v>3164</v>
      </c>
      <c r="M95" s="329">
        <v>2761</v>
      </c>
      <c r="N95" s="329">
        <v>5925</v>
      </c>
      <c r="O95" s="329">
        <v>565</v>
      </c>
      <c r="P95" s="329">
        <v>328</v>
      </c>
      <c r="Q95" s="329">
        <v>893</v>
      </c>
      <c r="R95" s="329">
        <v>212</v>
      </c>
      <c r="S95" s="329">
        <v>191</v>
      </c>
      <c r="T95" s="329">
        <v>403</v>
      </c>
      <c r="U95" s="329">
        <v>0</v>
      </c>
      <c r="V95" s="329">
        <v>0</v>
      </c>
      <c r="W95" s="329">
        <v>0</v>
      </c>
      <c r="X95" s="330">
        <v>5906</v>
      </c>
      <c r="Y95" s="330">
        <v>3890</v>
      </c>
      <c r="Z95" s="330">
        <v>9796</v>
      </c>
    </row>
    <row r="96" spans="2:26" hidden="1" outlineLevel="1" x14ac:dyDescent="0.25">
      <c r="B96" s="304">
        <v>41852</v>
      </c>
      <c r="C96" s="329">
        <v>0</v>
      </c>
      <c r="D96" s="329">
        <v>0</v>
      </c>
      <c r="E96" s="329">
        <v>0</v>
      </c>
      <c r="F96" s="329">
        <v>0</v>
      </c>
      <c r="G96" s="329">
        <v>0</v>
      </c>
      <c r="H96" s="329">
        <v>0</v>
      </c>
      <c r="I96" s="329">
        <v>2211</v>
      </c>
      <c r="J96" s="329">
        <v>729</v>
      </c>
      <c r="K96" s="329">
        <v>2940</v>
      </c>
      <c r="L96" s="329">
        <v>3364</v>
      </c>
      <c r="M96" s="329">
        <v>2904</v>
      </c>
      <c r="N96" s="329">
        <v>6268</v>
      </c>
      <c r="O96" s="329">
        <v>559</v>
      </c>
      <c r="P96" s="329">
        <v>353</v>
      </c>
      <c r="Q96" s="329">
        <v>912</v>
      </c>
      <c r="R96" s="329">
        <v>215</v>
      </c>
      <c r="S96" s="329">
        <v>216</v>
      </c>
      <c r="T96" s="329">
        <v>431</v>
      </c>
      <c r="U96" s="329">
        <v>0</v>
      </c>
      <c r="V96" s="329">
        <v>0</v>
      </c>
      <c r="W96" s="329">
        <v>0</v>
      </c>
      <c r="X96" s="330">
        <v>6349</v>
      </c>
      <c r="Y96" s="330">
        <v>4202</v>
      </c>
      <c r="Z96" s="330">
        <v>10551</v>
      </c>
    </row>
    <row r="97" spans="2:26" hidden="1" outlineLevel="1" x14ac:dyDescent="0.25">
      <c r="B97" s="304">
        <v>41883</v>
      </c>
      <c r="C97" s="329">
        <v>0</v>
      </c>
      <c r="D97" s="329">
        <v>0</v>
      </c>
      <c r="E97" s="329">
        <v>0</v>
      </c>
      <c r="F97" s="329">
        <v>0</v>
      </c>
      <c r="G97" s="329">
        <v>0</v>
      </c>
      <c r="H97" s="329">
        <v>0</v>
      </c>
      <c r="I97" s="329">
        <v>2074</v>
      </c>
      <c r="J97" s="329">
        <v>662</v>
      </c>
      <c r="K97" s="329">
        <v>2736</v>
      </c>
      <c r="L97" s="329">
        <v>3296</v>
      </c>
      <c r="M97" s="329">
        <v>2831</v>
      </c>
      <c r="N97" s="329">
        <v>6127</v>
      </c>
      <c r="O97" s="329">
        <v>461</v>
      </c>
      <c r="P97" s="329">
        <v>341</v>
      </c>
      <c r="Q97" s="329">
        <v>802</v>
      </c>
      <c r="R97" s="329">
        <v>182</v>
      </c>
      <c r="S97" s="329">
        <v>174</v>
      </c>
      <c r="T97" s="329">
        <v>356</v>
      </c>
      <c r="U97" s="329">
        <v>0</v>
      </c>
      <c r="V97" s="329">
        <v>0</v>
      </c>
      <c r="W97" s="329">
        <v>0</v>
      </c>
      <c r="X97" s="330">
        <v>6013</v>
      </c>
      <c r="Y97" s="330">
        <v>4008</v>
      </c>
      <c r="Z97" s="330">
        <v>10021</v>
      </c>
    </row>
    <row r="98" spans="2:26" hidden="1" outlineLevel="1" x14ac:dyDescent="0.25">
      <c r="B98" s="304">
        <v>41913</v>
      </c>
      <c r="C98" s="329">
        <v>0</v>
      </c>
      <c r="D98" s="329">
        <v>0</v>
      </c>
      <c r="E98" s="329">
        <v>0</v>
      </c>
      <c r="F98" s="329">
        <v>0</v>
      </c>
      <c r="G98" s="329">
        <v>0</v>
      </c>
      <c r="H98" s="329">
        <v>0</v>
      </c>
      <c r="I98" s="329">
        <v>2227</v>
      </c>
      <c r="J98" s="329">
        <v>707</v>
      </c>
      <c r="K98" s="329">
        <v>2934</v>
      </c>
      <c r="L98" s="329">
        <v>3729</v>
      </c>
      <c r="M98" s="329">
        <v>3307</v>
      </c>
      <c r="N98" s="329">
        <v>7036</v>
      </c>
      <c r="O98" s="329">
        <v>623</v>
      </c>
      <c r="P98" s="329">
        <v>348</v>
      </c>
      <c r="Q98" s="329">
        <v>971</v>
      </c>
      <c r="R98" s="329">
        <v>202</v>
      </c>
      <c r="S98" s="329">
        <v>172</v>
      </c>
      <c r="T98" s="329">
        <v>374</v>
      </c>
      <c r="U98" s="329">
        <v>0</v>
      </c>
      <c r="V98" s="329">
        <v>0</v>
      </c>
      <c r="W98" s="329">
        <v>0</v>
      </c>
      <c r="X98" s="330">
        <v>6781</v>
      </c>
      <c r="Y98" s="330">
        <v>4534</v>
      </c>
      <c r="Z98" s="330">
        <v>11315</v>
      </c>
    </row>
    <row r="99" spans="2:26" hidden="1" outlineLevel="1" x14ac:dyDescent="0.25">
      <c r="B99" s="304">
        <v>41944</v>
      </c>
      <c r="C99" s="329">
        <v>0</v>
      </c>
      <c r="D99" s="329">
        <v>0</v>
      </c>
      <c r="E99" s="329">
        <v>0</v>
      </c>
      <c r="F99" s="329">
        <v>0</v>
      </c>
      <c r="G99" s="329">
        <v>0</v>
      </c>
      <c r="H99" s="329">
        <v>0</v>
      </c>
      <c r="I99" s="329">
        <v>1985</v>
      </c>
      <c r="J99" s="329">
        <v>631</v>
      </c>
      <c r="K99" s="329">
        <v>2616</v>
      </c>
      <c r="L99" s="329">
        <v>3340</v>
      </c>
      <c r="M99" s="329">
        <v>2748</v>
      </c>
      <c r="N99" s="329">
        <v>6088</v>
      </c>
      <c r="O99" s="329">
        <v>519</v>
      </c>
      <c r="P99" s="329">
        <v>323</v>
      </c>
      <c r="Q99" s="329">
        <v>842</v>
      </c>
      <c r="R99" s="329">
        <v>202</v>
      </c>
      <c r="S99" s="329">
        <v>153</v>
      </c>
      <c r="T99" s="329">
        <v>355</v>
      </c>
      <c r="U99" s="329">
        <v>0</v>
      </c>
      <c r="V99" s="329">
        <v>0</v>
      </c>
      <c r="W99" s="329">
        <v>0</v>
      </c>
      <c r="X99" s="330">
        <v>6046</v>
      </c>
      <c r="Y99" s="330">
        <v>3855</v>
      </c>
      <c r="Z99" s="330">
        <v>9901</v>
      </c>
    </row>
    <row r="100" spans="2:26" collapsed="1" x14ac:dyDescent="0.25">
      <c r="B100" s="304">
        <v>41974</v>
      </c>
      <c r="C100" s="329">
        <v>0</v>
      </c>
      <c r="D100" s="329">
        <v>0</v>
      </c>
      <c r="E100" s="329">
        <v>0</v>
      </c>
      <c r="F100" s="329">
        <v>0</v>
      </c>
      <c r="G100" s="329">
        <v>0</v>
      </c>
      <c r="H100" s="329">
        <v>0</v>
      </c>
      <c r="I100" s="329">
        <v>1910</v>
      </c>
      <c r="J100" s="329">
        <v>564</v>
      </c>
      <c r="K100" s="329">
        <v>2474</v>
      </c>
      <c r="L100" s="329">
        <v>2672</v>
      </c>
      <c r="M100" s="329">
        <v>2341</v>
      </c>
      <c r="N100" s="329">
        <v>5013</v>
      </c>
      <c r="O100" s="329">
        <v>486</v>
      </c>
      <c r="P100" s="329">
        <v>308</v>
      </c>
      <c r="Q100" s="329">
        <v>794</v>
      </c>
      <c r="R100" s="329">
        <v>171</v>
      </c>
      <c r="S100" s="329">
        <v>158</v>
      </c>
      <c r="T100" s="329">
        <v>329</v>
      </c>
      <c r="U100" s="329">
        <v>0</v>
      </c>
      <c r="V100" s="329">
        <v>0</v>
      </c>
      <c r="W100" s="329">
        <v>0</v>
      </c>
      <c r="X100" s="330">
        <v>5239</v>
      </c>
      <c r="Y100" s="330">
        <v>3371</v>
      </c>
      <c r="Z100" s="330">
        <v>8610</v>
      </c>
    </row>
    <row r="101" spans="2:26" hidden="1" outlineLevel="1" x14ac:dyDescent="0.25">
      <c r="B101" s="304">
        <v>42005</v>
      </c>
      <c r="C101" s="329">
        <v>0</v>
      </c>
      <c r="D101" s="329">
        <v>0</v>
      </c>
      <c r="E101" s="329">
        <v>0</v>
      </c>
      <c r="F101" s="329">
        <v>0</v>
      </c>
      <c r="G101" s="329">
        <v>0</v>
      </c>
      <c r="H101" s="329">
        <v>0</v>
      </c>
      <c r="I101" s="329">
        <v>1869</v>
      </c>
      <c r="J101" s="329">
        <v>570</v>
      </c>
      <c r="K101" s="329">
        <v>2439</v>
      </c>
      <c r="L101" s="329">
        <v>2831</v>
      </c>
      <c r="M101" s="329">
        <v>2278</v>
      </c>
      <c r="N101" s="329">
        <v>5109</v>
      </c>
      <c r="O101" s="329">
        <v>591</v>
      </c>
      <c r="P101" s="329">
        <v>397</v>
      </c>
      <c r="Q101" s="329">
        <v>988</v>
      </c>
      <c r="R101" s="329">
        <v>88</v>
      </c>
      <c r="S101" s="329">
        <v>85</v>
      </c>
      <c r="T101" s="329">
        <v>173</v>
      </c>
      <c r="U101" s="329">
        <v>0</v>
      </c>
      <c r="V101" s="329">
        <v>0</v>
      </c>
      <c r="W101" s="329">
        <v>0</v>
      </c>
      <c r="X101" s="330">
        <v>5379</v>
      </c>
      <c r="Y101" s="330">
        <v>3330</v>
      </c>
      <c r="Z101" s="330">
        <v>8709</v>
      </c>
    </row>
    <row r="102" spans="2:26" hidden="1" outlineLevel="1" x14ac:dyDescent="0.25">
      <c r="B102" s="304">
        <v>42036</v>
      </c>
      <c r="C102" s="329">
        <v>0</v>
      </c>
      <c r="D102" s="329">
        <v>0</v>
      </c>
      <c r="E102" s="329">
        <v>0</v>
      </c>
      <c r="F102" s="329">
        <v>0</v>
      </c>
      <c r="G102" s="329">
        <v>0</v>
      </c>
      <c r="H102" s="329">
        <v>0</v>
      </c>
      <c r="I102" s="329">
        <v>1678</v>
      </c>
      <c r="J102" s="329">
        <v>503</v>
      </c>
      <c r="K102" s="329">
        <v>2181</v>
      </c>
      <c r="L102" s="329">
        <v>2746</v>
      </c>
      <c r="M102" s="329">
        <v>2325</v>
      </c>
      <c r="N102" s="329">
        <v>5071</v>
      </c>
      <c r="O102" s="329">
        <v>531</v>
      </c>
      <c r="P102" s="329">
        <v>338</v>
      </c>
      <c r="Q102" s="329">
        <v>869</v>
      </c>
      <c r="R102" s="329">
        <v>69</v>
      </c>
      <c r="S102" s="329">
        <v>76</v>
      </c>
      <c r="T102" s="329">
        <v>145</v>
      </c>
      <c r="U102" s="329">
        <v>0</v>
      </c>
      <c r="V102" s="329">
        <v>0</v>
      </c>
      <c r="W102" s="329">
        <v>0</v>
      </c>
      <c r="X102" s="330">
        <v>5024</v>
      </c>
      <c r="Y102" s="330">
        <v>3242</v>
      </c>
      <c r="Z102" s="330">
        <v>8266</v>
      </c>
    </row>
    <row r="103" spans="2:26" hidden="1" outlineLevel="1" x14ac:dyDescent="0.25">
      <c r="B103" s="304">
        <v>42064</v>
      </c>
      <c r="C103" s="329">
        <v>0</v>
      </c>
      <c r="D103" s="329">
        <v>0</v>
      </c>
      <c r="E103" s="329">
        <v>0</v>
      </c>
      <c r="F103" s="329">
        <v>0</v>
      </c>
      <c r="G103" s="329">
        <v>0</v>
      </c>
      <c r="H103" s="329">
        <v>0</v>
      </c>
      <c r="I103" s="329">
        <v>1862</v>
      </c>
      <c r="J103" s="329">
        <v>572</v>
      </c>
      <c r="K103" s="329">
        <v>2434</v>
      </c>
      <c r="L103" s="329">
        <v>3232</v>
      </c>
      <c r="M103" s="329">
        <v>2846</v>
      </c>
      <c r="N103" s="329">
        <v>6078</v>
      </c>
      <c r="O103" s="329">
        <v>683</v>
      </c>
      <c r="P103" s="329">
        <v>432</v>
      </c>
      <c r="Q103" s="329">
        <v>1115</v>
      </c>
      <c r="R103" s="329">
        <v>91</v>
      </c>
      <c r="S103" s="329">
        <v>100</v>
      </c>
      <c r="T103" s="329">
        <v>191</v>
      </c>
      <c r="U103" s="329">
        <v>0</v>
      </c>
      <c r="V103" s="329">
        <v>0</v>
      </c>
      <c r="W103" s="329">
        <v>0</v>
      </c>
      <c r="X103" s="330">
        <v>5868</v>
      </c>
      <c r="Y103" s="330">
        <v>3950</v>
      </c>
      <c r="Z103" s="330">
        <v>9818</v>
      </c>
    </row>
    <row r="104" spans="2:26" hidden="1" outlineLevel="1" x14ac:dyDescent="0.25">
      <c r="B104" s="304">
        <v>42095</v>
      </c>
      <c r="C104" s="329">
        <v>0</v>
      </c>
      <c r="D104" s="329">
        <v>0</v>
      </c>
      <c r="E104" s="329">
        <v>0</v>
      </c>
      <c r="F104" s="329">
        <v>0</v>
      </c>
      <c r="G104" s="329">
        <v>0</v>
      </c>
      <c r="H104" s="329">
        <v>0</v>
      </c>
      <c r="I104" s="329">
        <v>1566</v>
      </c>
      <c r="J104" s="329">
        <v>509</v>
      </c>
      <c r="K104" s="329">
        <v>2075</v>
      </c>
      <c r="L104" s="329">
        <v>2827</v>
      </c>
      <c r="M104" s="329">
        <v>2372</v>
      </c>
      <c r="N104" s="329">
        <v>5199</v>
      </c>
      <c r="O104" s="329">
        <v>569</v>
      </c>
      <c r="P104" s="329">
        <v>383</v>
      </c>
      <c r="Q104" s="329">
        <v>952</v>
      </c>
      <c r="R104" s="329">
        <v>73</v>
      </c>
      <c r="S104" s="329">
        <v>81</v>
      </c>
      <c r="T104" s="329">
        <v>154</v>
      </c>
      <c r="U104" s="329">
        <v>0</v>
      </c>
      <c r="V104" s="329">
        <v>0</v>
      </c>
      <c r="W104" s="329">
        <v>0</v>
      </c>
      <c r="X104" s="330">
        <v>5035</v>
      </c>
      <c r="Y104" s="330">
        <v>3345</v>
      </c>
      <c r="Z104" s="330">
        <v>8380</v>
      </c>
    </row>
    <row r="105" spans="2:26" hidden="1" outlineLevel="1" x14ac:dyDescent="0.25">
      <c r="B105" s="304">
        <v>42125</v>
      </c>
      <c r="C105" s="329">
        <v>0</v>
      </c>
      <c r="D105" s="329">
        <v>0</v>
      </c>
      <c r="E105" s="329">
        <v>0</v>
      </c>
      <c r="F105" s="329">
        <v>0</v>
      </c>
      <c r="G105" s="329">
        <v>0</v>
      </c>
      <c r="H105" s="329">
        <v>0</v>
      </c>
      <c r="I105" s="329">
        <v>1453</v>
      </c>
      <c r="J105" s="329">
        <v>555</v>
      </c>
      <c r="K105" s="329">
        <v>2008</v>
      </c>
      <c r="L105" s="329">
        <v>3346</v>
      </c>
      <c r="M105" s="329">
        <v>3920</v>
      </c>
      <c r="N105" s="329">
        <v>7266</v>
      </c>
      <c r="O105" s="329">
        <v>550</v>
      </c>
      <c r="P105" s="329">
        <v>312</v>
      </c>
      <c r="Q105" s="329">
        <v>862</v>
      </c>
      <c r="R105" s="329">
        <v>113</v>
      </c>
      <c r="S105" s="329">
        <v>102</v>
      </c>
      <c r="T105" s="329">
        <v>215</v>
      </c>
      <c r="U105" s="329">
        <v>0</v>
      </c>
      <c r="V105" s="329">
        <v>0</v>
      </c>
      <c r="W105" s="329">
        <v>0</v>
      </c>
      <c r="X105" s="330">
        <v>5462</v>
      </c>
      <c r="Y105" s="330">
        <v>4889</v>
      </c>
      <c r="Z105" s="330">
        <v>10351</v>
      </c>
    </row>
    <row r="106" spans="2:26" hidden="1" outlineLevel="1" x14ac:dyDescent="0.25">
      <c r="B106" s="304">
        <v>42156</v>
      </c>
      <c r="C106" s="329">
        <v>0</v>
      </c>
      <c r="D106" s="329">
        <v>0</v>
      </c>
      <c r="E106" s="329">
        <v>0</v>
      </c>
      <c r="F106" s="329">
        <v>0</v>
      </c>
      <c r="G106" s="329">
        <v>0</v>
      </c>
      <c r="H106" s="329">
        <v>0</v>
      </c>
      <c r="I106" s="329">
        <v>1526</v>
      </c>
      <c r="J106" s="329">
        <v>513</v>
      </c>
      <c r="K106" s="329">
        <v>2039</v>
      </c>
      <c r="L106" s="329">
        <v>3250</v>
      </c>
      <c r="M106" s="329">
        <v>3086</v>
      </c>
      <c r="N106" s="329">
        <v>6336</v>
      </c>
      <c r="O106" s="329">
        <v>569</v>
      </c>
      <c r="P106" s="329">
        <v>360</v>
      </c>
      <c r="Q106" s="329">
        <v>929</v>
      </c>
      <c r="R106" s="329">
        <v>89</v>
      </c>
      <c r="S106" s="329">
        <v>102</v>
      </c>
      <c r="T106" s="329">
        <v>191</v>
      </c>
      <c r="U106" s="329">
        <v>0</v>
      </c>
      <c r="V106" s="329">
        <v>0</v>
      </c>
      <c r="W106" s="329">
        <v>0</v>
      </c>
      <c r="X106" s="330">
        <v>5434</v>
      </c>
      <c r="Y106" s="330">
        <v>4061</v>
      </c>
      <c r="Z106" s="330">
        <v>9495</v>
      </c>
    </row>
    <row r="107" spans="2:26" hidden="1" outlineLevel="1" x14ac:dyDescent="0.25">
      <c r="B107" s="304">
        <v>42186</v>
      </c>
      <c r="C107" s="329">
        <v>0</v>
      </c>
      <c r="D107" s="329">
        <v>0</v>
      </c>
      <c r="E107" s="329">
        <v>0</v>
      </c>
      <c r="F107" s="329">
        <v>0</v>
      </c>
      <c r="G107" s="329">
        <v>0</v>
      </c>
      <c r="H107" s="329">
        <v>0</v>
      </c>
      <c r="I107" s="329">
        <v>1648</v>
      </c>
      <c r="J107" s="329">
        <v>612</v>
      </c>
      <c r="K107" s="329">
        <v>2260</v>
      </c>
      <c r="L107" s="329">
        <v>3606</v>
      </c>
      <c r="M107" s="329">
        <v>2785</v>
      </c>
      <c r="N107" s="329">
        <v>6391</v>
      </c>
      <c r="O107" s="329">
        <v>597</v>
      </c>
      <c r="P107" s="329">
        <v>390</v>
      </c>
      <c r="Q107" s="329">
        <v>987</v>
      </c>
      <c r="R107" s="329">
        <v>82</v>
      </c>
      <c r="S107" s="329">
        <v>84</v>
      </c>
      <c r="T107" s="329">
        <v>166</v>
      </c>
      <c r="U107" s="329">
        <v>0</v>
      </c>
      <c r="V107" s="329">
        <v>0</v>
      </c>
      <c r="W107" s="329">
        <v>0</v>
      </c>
      <c r="X107" s="330">
        <v>5933</v>
      </c>
      <c r="Y107" s="330">
        <v>3871</v>
      </c>
      <c r="Z107" s="330">
        <v>9804</v>
      </c>
    </row>
    <row r="108" spans="2:26" hidden="1" outlineLevel="1" x14ac:dyDescent="0.25">
      <c r="B108" s="304">
        <v>42217</v>
      </c>
      <c r="C108" s="329">
        <v>0</v>
      </c>
      <c r="D108" s="329">
        <v>0</v>
      </c>
      <c r="E108" s="329">
        <v>0</v>
      </c>
      <c r="F108" s="329">
        <v>0</v>
      </c>
      <c r="G108" s="329">
        <v>0</v>
      </c>
      <c r="H108" s="329">
        <v>0</v>
      </c>
      <c r="I108" s="329">
        <v>1725</v>
      </c>
      <c r="J108" s="329">
        <v>577</v>
      </c>
      <c r="K108" s="329">
        <v>2302</v>
      </c>
      <c r="L108" s="329">
        <v>3420</v>
      </c>
      <c r="M108" s="329">
        <v>2802</v>
      </c>
      <c r="N108" s="329">
        <v>6222</v>
      </c>
      <c r="O108" s="329">
        <v>613</v>
      </c>
      <c r="P108" s="329">
        <v>373</v>
      </c>
      <c r="Q108" s="329">
        <v>986</v>
      </c>
      <c r="R108" s="329">
        <v>92</v>
      </c>
      <c r="S108" s="329">
        <v>86</v>
      </c>
      <c r="T108" s="329">
        <v>178</v>
      </c>
      <c r="U108" s="329">
        <v>0</v>
      </c>
      <c r="V108" s="329">
        <v>0</v>
      </c>
      <c r="W108" s="329">
        <v>0</v>
      </c>
      <c r="X108" s="330">
        <v>5850</v>
      </c>
      <c r="Y108" s="330">
        <v>3838</v>
      </c>
      <c r="Z108" s="330">
        <v>9688</v>
      </c>
    </row>
    <row r="109" spans="2:26" hidden="1" outlineLevel="1" x14ac:dyDescent="0.25">
      <c r="B109" s="304">
        <v>42248</v>
      </c>
      <c r="C109" s="329">
        <v>0</v>
      </c>
      <c r="D109" s="329">
        <v>0</v>
      </c>
      <c r="E109" s="329">
        <v>0</v>
      </c>
      <c r="F109" s="329">
        <v>0</v>
      </c>
      <c r="G109" s="329">
        <v>0</v>
      </c>
      <c r="H109" s="329">
        <v>0</v>
      </c>
      <c r="I109" s="329">
        <v>1650</v>
      </c>
      <c r="J109" s="329">
        <v>551</v>
      </c>
      <c r="K109" s="329">
        <v>2201</v>
      </c>
      <c r="L109" s="329">
        <v>3305</v>
      </c>
      <c r="M109" s="329">
        <v>2743</v>
      </c>
      <c r="N109" s="329">
        <v>6048</v>
      </c>
      <c r="O109" s="329">
        <v>629</v>
      </c>
      <c r="P109" s="329">
        <v>421</v>
      </c>
      <c r="Q109" s="329">
        <v>1050</v>
      </c>
      <c r="R109" s="329">
        <v>69</v>
      </c>
      <c r="S109" s="329">
        <v>68</v>
      </c>
      <c r="T109" s="329">
        <v>137</v>
      </c>
      <c r="U109" s="329">
        <v>0</v>
      </c>
      <c r="V109" s="329">
        <v>0</v>
      </c>
      <c r="W109" s="329">
        <v>0</v>
      </c>
      <c r="X109" s="330">
        <v>5653</v>
      </c>
      <c r="Y109" s="330">
        <v>3783</v>
      </c>
      <c r="Z109" s="330">
        <v>9436</v>
      </c>
    </row>
    <row r="110" spans="2:26" hidden="1" outlineLevel="1" x14ac:dyDescent="0.25">
      <c r="B110" s="304">
        <v>42278</v>
      </c>
      <c r="C110" s="329">
        <v>0</v>
      </c>
      <c r="D110" s="329">
        <v>0</v>
      </c>
      <c r="E110" s="329">
        <v>0</v>
      </c>
      <c r="F110" s="329">
        <v>0</v>
      </c>
      <c r="G110" s="329">
        <v>0</v>
      </c>
      <c r="H110" s="329">
        <v>0</v>
      </c>
      <c r="I110" s="329">
        <v>1687</v>
      </c>
      <c r="J110" s="329">
        <v>604</v>
      </c>
      <c r="K110" s="329">
        <v>2291</v>
      </c>
      <c r="L110" s="329">
        <v>3263</v>
      </c>
      <c r="M110" s="329">
        <v>2668</v>
      </c>
      <c r="N110" s="329">
        <v>5931</v>
      </c>
      <c r="O110" s="329">
        <v>623</v>
      </c>
      <c r="P110" s="329">
        <v>370</v>
      </c>
      <c r="Q110" s="329">
        <v>993</v>
      </c>
      <c r="R110" s="329">
        <v>96</v>
      </c>
      <c r="S110" s="329">
        <v>86</v>
      </c>
      <c r="T110" s="329">
        <v>182</v>
      </c>
      <c r="U110" s="329">
        <v>0</v>
      </c>
      <c r="V110" s="329">
        <v>0</v>
      </c>
      <c r="W110" s="329">
        <v>0</v>
      </c>
      <c r="X110" s="330">
        <v>5669</v>
      </c>
      <c r="Y110" s="330">
        <v>3728</v>
      </c>
      <c r="Z110" s="330">
        <v>9397</v>
      </c>
    </row>
    <row r="111" spans="2:26" hidden="1" outlineLevel="1" x14ac:dyDescent="0.25">
      <c r="B111" s="304">
        <v>42309</v>
      </c>
      <c r="C111" s="329">
        <v>0</v>
      </c>
      <c r="D111" s="329">
        <v>0</v>
      </c>
      <c r="E111" s="329">
        <v>0</v>
      </c>
      <c r="F111" s="329">
        <v>0</v>
      </c>
      <c r="G111" s="329">
        <v>0</v>
      </c>
      <c r="H111" s="329">
        <v>0</v>
      </c>
      <c r="I111" s="329">
        <v>1608</v>
      </c>
      <c r="J111" s="329">
        <v>615</v>
      </c>
      <c r="K111" s="329">
        <v>2223</v>
      </c>
      <c r="L111" s="329">
        <v>3536</v>
      </c>
      <c r="M111" s="329">
        <v>3021</v>
      </c>
      <c r="N111" s="329">
        <v>6557</v>
      </c>
      <c r="O111" s="329">
        <v>637</v>
      </c>
      <c r="P111" s="329">
        <v>380</v>
      </c>
      <c r="Q111" s="329">
        <v>1017</v>
      </c>
      <c r="R111" s="329">
        <v>87</v>
      </c>
      <c r="S111" s="329">
        <v>99</v>
      </c>
      <c r="T111" s="329">
        <v>186</v>
      </c>
      <c r="U111" s="329">
        <v>0</v>
      </c>
      <c r="V111" s="329">
        <v>0</v>
      </c>
      <c r="W111" s="329">
        <v>0</v>
      </c>
      <c r="X111" s="330">
        <v>5868</v>
      </c>
      <c r="Y111" s="330">
        <v>4115</v>
      </c>
      <c r="Z111" s="330">
        <v>9983</v>
      </c>
    </row>
    <row r="112" spans="2:26" collapsed="1" x14ac:dyDescent="0.25">
      <c r="B112" s="304">
        <v>42339</v>
      </c>
      <c r="C112" s="329">
        <v>0</v>
      </c>
      <c r="D112" s="329">
        <v>0</v>
      </c>
      <c r="E112" s="329">
        <v>0</v>
      </c>
      <c r="F112" s="329">
        <v>0</v>
      </c>
      <c r="G112" s="329">
        <v>0</v>
      </c>
      <c r="H112" s="329">
        <v>0</v>
      </c>
      <c r="I112" s="329">
        <v>1427</v>
      </c>
      <c r="J112" s="329">
        <v>483</v>
      </c>
      <c r="K112" s="329">
        <v>1910</v>
      </c>
      <c r="L112" s="329">
        <v>2714</v>
      </c>
      <c r="M112" s="329">
        <v>2268</v>
      </c>
      <c r="N112" s="329">
        <v>4982</v>
      </c>
      <c r="O112" s="329">
        <v>588</v>
      </c>
      <c r="P112" s="329">
        <v>375</v>
      </c>
      <c r="Q112" s="329">
        <v>963</v>
      </c>
      <c r="R112" s="329">
        <v>86</v>
      </c>
      <c r="S112" s="329">
        <v>77</v>
      </c>
      <c r="T112" s="329">
        <v>163</v>
      </c>
      <c r="U112" s="329">
        <v>0</v>
      </c>
      <c r="V112" s="329">
        <v>0</v>
      </c>
      <c r="W112" s="329">
        <v>0</v>
      </c>
      <c r="X112" s="330">
        <v>4815</v>
      </c>
      <c r="Y112" s="330">
        <v>3203</v>
      </c>
      <c r="Z112" s="330">
        <v>8018</v>
      </c>
    </row>
    <row r="113" spans="2:26" hidden="1" outlineLevel="1" x14ac:dyDescent="0.25">
      <c r="B113" s="304">
        <v>42370</v>
      </c>
      <c r="C113" s="329">
        <v>0</v>
      </c>
      <c r="D113" s="329">
        <v>0</v>
      </c>
      <c r="E113" s="329">
        <v>0</v>
      </c>
      <c r="F113" s="329">
        <v>0</v>
      </c>
      <c r="G113" s="329">
        <v>0</v>
      </c>
      <c r="H113" s="329">
        <v>0</v>
      </c>
      <c r="I113" s="329">
        <v>1359</v>
      </c>
      <c r="J113" s="329">
        <v>417</v>
      </c>
      <c r="K113" s="329">
        <v>1776</v>
      </c>
      <c r="L113" s="329">
        <v>2549</v>
      </c>
      <c r="M113" s="329">
        <v>2080</v>
      </c>
      <c r="N113" s="329">
        <v>4629</v>
      </c>
      <c r="O113" s="329">
        <v>611</v>
      </c>
      <c r="P113" s="329">
        <v>380</v>
      </c>
      <c r="Q113" s="329">
        <v>991</v>
      </c>
      <c r="R113" s="329">
        <v>96</v>
      </c>
      <c r="S113" s="329">
        <v>88</v>
      </c>
      <c r="T113" s="329">
        <v>184</v>
      </c>
      <c r="U113" s="329">
        <v>0</v>
      </c>
      <c r="V113" s="329">
        <v>0</v>
      </c>
      <c r="W113" s="329">
        <v>0</v>
      </c>
      <c r="X113" s="330">
        <v>4615</v>
      </c>
      <c r="Y113" s="330">
        <v>2965</v>
      </c>
      <c r="Z113" s="330">
        <v>7580</v>
      </c>
    </row>
    <row r="114" spans="2:26" hidden="1" outlineLevel="1" x14ac:dyDescent="0.25">
      <c r="B114" s="304">
        <v>42401</v>
      </c>
      <c r="C114" s="329">
        <v>0</v>
      </c>
      <c r="D114" s="329">
        <v>0</v>
      </c>
      <c r="E114" s="329">
        <v>0</v>
      </c>
      <c r="F114" s="329">
        <v>0</v>
      </c>
      <c r="G114" s="329">
        <v>0</v>
      </c>
      <c r="H114" s="329">
        <v>0</v>
      </c>
      <c r="I114" s="329">
        <v>1332</v>
      </c>
      <c r="J114" s="329">
        <v>441</v>
      </c>
      <c r="K114" s="329">
        <v>1773</v>
      </c>
      <c r="L114" s="329">
        <v>2855</v>
      </c>
      <c r="M114" s="329">
        <v>2182</v>
      </c>
      <c r="N114" s="329">
        <v>5037</v>
      </c>
      <c r="O114" s="329">
        <v>556</v>
      </c>
      <c r="P114" s="329">
        <v>332</v>
      </c>
      <c r="Q114" s="329">
        <v>888</v>
      </c>
      <c r="R114" s="329">
        <v>104</v>
      </c>
      <c r="S114" s="329">
        <v>81</v>
      </c>
      <c r="T114" s="329">
        <v>185</v>
      </c>
      <c r="U114" s="329">
        <v>0</v>
      </c>
      <c r="V114" s="329">
        <v>0</v>
      </c>
      <c r="W114" s="329">
        <v>0</v>
      </c>
      <c r="X114" s="330">
        <v>4847</v>
      </c>
      <c r="Y114" s="330">
        <v>3036</v>
      </c>
      <c r="Z114" s="330">
        <v>7883</v>
      </c>
    </row>
    <row r="115" spans="2:26" hidden="1" outlineLevel="1" x14ac:dyDescent="0.25">
      <c r="B115" s="304">
        <v>42430</v>
      </c>
      <c r="C115" s="329">
        <v>0</v>
      </c>
      <c r="D115" s="329">
        <v>0</v>
      </c>
      <c r="E115" s="329">
        <v>0</v>
      </c>
      <c r="F115" s="329">
        <v>0</v>
      </c>
      <c r="G115" s="329">
        <v>0</v>
      </c>
      <c r="H115" s="329">
        <v>0</v>
      </c>
      <c r="I115" s="329">
        <v>1448</v>
      </c>
      <c r="J115" s="329">
        <v>469</v>
      </c>
      <c r="K115" s="329">
        <v>1917</v>
      </c>
      <c r="L115" s="329">
        <v>3013</v>
      </c>
      <c r="M115" s="329">
        <v>2392</v>
      </c>
      <c r="N115" s="329">
        <v>5405</v>
      </c>
      <c r="O115" s="329">
        <v>693</v>
      </c>
      <c r="P115" s="329">
        <v>384</v>
      </c>
      <c r="Q115" s="329">
        <v>1077</v>
      </c>
      <c r="R115" s="329">
        <v>97</v>
      </c>
      <c r="S115" s="329">
        <v>82</v>
      </c>
      <c r="T115" s="329">
        <v>179</v>
      </c>
      <c r="U115" s="329">
        <v>0</v>
      </c>
      <c r="V115" s="329">
        <v>0</v>
      </c>
      <c r="W115" s="329">
        <v>0</v>
      </c>
      <c r="X115" s="330">
        <v>5251</v>
      </c>
      <c r="Y115" s="330">
        <v>3327</v>
      </c>
      <c r="Z115" s="330">
        <v>8578</v>
      </c>
    </row>
    <row r="116" spans="2:26" hidden="1" outlineLevel="1" x14ac:dyDescent="0.25">
      <c r="B116" s="304">
        <v>42461</v>
      </c>
      <c r="C116" s="329">
        <v>0</v>
      </c>
      <c r="D116" s="329">
        <v>0</v>
      </c>
      <c r="E116" s="329">
        <v>0</v>
      </c>
      <c r="F116" s="329">
        <v>0</v>
      </c>
      <c r="G116" s="329">
        <v>0</v>
      </c>
      <c r="H116" s="329">
        <v>0</v>
      </c>
      <c r="I116" s="329">
        <v>2011</v>
      </c>
      <c r="J116" s="329">
        <v>736</v>
      </c>
      <c r="K116" s="329">
        <v>2747</v>
      </c>
      <c r="L116" s="329">
        <v>3185</v>
      </c>
      <c r="M116" s="329">
        <v>2615</v>
      </c>
      <c r="N116" s="329">
        <v>5800</v>
      </c>
      <c r="O116" s="329">
        <v>572</v>
      </c>
      <c r="P116" s="329">
        <v>381</v>
      </c>
      <c r="Q116" s="329">
        <v>953</v>
      </c>
      <c r="R116" s="329">
        <v>84</v>
      </c>
      <c r="S116" s="329">
        <v>87</v>
      </c>
      <c r="T116" s="329">
        <v>171</v>
      </c>
      <c r="U116" s="329">
        <v>0</v>
      </c>
      <c r="V116" s="329">
        <v>0</v>
      </c>
      <c r="W116" s="329">
        <v>0</v>
      </c>
      <c r="X116" s="330">
        <v>5852</v>
      </c>
      <c r="Y116" s="330">
        <v>3819</v>
      </c>
      <c r="Z116" s="330">
        <v>9671</v>
      </c>
    </row>
    <row r="117" spans="2:26" hidden="1" outlineLevel="1" x14ac:dyDescent="0.25">
      <c r="B117" s="304">
        <v>42491</v>
      </c>
      <c r="C117" s="329">
        <v>0</v>
      </c>
      <c r="D117" s="329">
        <v>0</v>
      </c>
      <c r="E117" s="329">
        <v>0</v>
      </c>
      <c r="F117" s="329">
        <v>0</v>
      </c>
      <c r="G117" s="329">
        <v>0</v>
      </c>
      <c r="H117" s="329">
        <v>0</v>
      </c>
      <c r="I117" s="329">
        <v>1625</v>
      </c>
      <c r="J117" s="329">
        <v>575</v>
      </c>
      <c r="K117" s="329">
        <v>2200</v>
      </c>
      <c r="L117" s="329">
        <v>3504</v>
      </c>
      <c r="M117" s="329">
        <v>3633</v>
      </c>
      <c r="N117" s="329">
        <v>7137</v>
      </c>
      <c r="O117" s="329">
        <v>632</v>
      </c>
      <c r="P117" s="329">
        <v>372</v>
      </c>
      <c r="Q117" s="329">
        <v>1004</v>
      </c>
      <c r="R117" s="329">
        <v>104</v>
      </c>
      <c r="S117" s="329">
        <v>92</v>
      </c>
      <c r="T117" s="329">
        <v>196</v>
      </c>
      <c r="U117" s="329">
        <v>0</v>
      </c>
      <c r="V117" s="329">
        <v>0</v>
      </c>
      <c r="W117" s="329">
        <v>0</v>
      </c>
      <c r="X117" s="330">
        <v>5865</v>
      </c>
      <c r="Y117" s="330">
        <v>4672</v>
      </c>
      <c r="Z117" s="330">
        <v>10537</v>
      </c>
    </row>
    <row r="118" spans="2:26" hidden="1" outlineLevel="1" x14ac:dyDescent="0.25">
      <c r="B118" s="304">
        <v>42522</v>
      </c>
      <c r="C118" s="329">
        <v>0</v>
      </c>
      <c r="D118" s="329">
        <v>0</v>
      </c>
      <c r="E118" s="329">
        <v>0</v>
      </c>
      <c r="F118" s="329">
        <v>0</v>
      </c>
      <c r="G118" s="329">
        <v>0</v>
      </c>
      <c r="H118" s="329">
        <v>0</v>
      </c>
      <c r="I118" s="329">
        <v>1420</v>
      </c>
      <c r="J118" s="329">
        <v>542</v>
      </c>
      <c r="K118" s="329">
        <v>1962</v>
      </c>
      <c r="L118" s="329">
        <v>2912</v>
      </c>
      <c r="M118" s="329">
        <v>2301</v>
      </c>
      <c r="N118" s="329">
        <v>5213</v>
      </c>
      <c r="O118" s="329">
        <v>546</v>
      </c>
      <c r="P118" s="329">
        <v>376</v>
      </c>
      <c r="Q118" s="329">
        <v>922</v>
      </c>
      <c r="R118" s="329">
        <v>59</v>
      </c>
      <c r="S118" s="329">
        <v>76</v>
      </c>
      <c r="T118" s="329">
        <v>135</v>
      </c>
      <c r="U118" s="329">
        <v>0</v>
      </c>
      <c r="V118" s="329">
        <v>0</v>
      </c>
      <c r="W118" s="329">
        <v>0</v>
      </c>
      <c r="X118" s="330">
        <v>4937</v>
      </c>
      <c r="Y118" s="330">
        <v>3295</v>
      </c>
      <c r="Z118" s="330">
        <v>8232</v>
      </c>
    </row>
    <row r="119" spans="2:26" hidden="1" outlineLevel="1" x14ac:dyDescent="0.25">
      <c r="B119" s="304">
        <v>42552</v>
      </c>
      <c r="C119" s="329">
        <v>0</v>
      </c>
      <c r="D119" s="329">
        <v>0</v>
      </c>
      <c r="E119" s="329">
        <v>0</v>
      </c>
      <c r="F119" s="329">
        <v>0</v>
      </c>
      <c r="G119" s="329">
        <v>0</v>
      </c>
      <c r="H119" s="329">
        <v>0</v>
      </c>
      <c r="I119" s="329">
        <v>1536</v>
      </c>
      <c r="J119" s="329">
        <v>532</v>
      </c>
      <c r="K119" s="329">
        <v>2068</v>
      </c>
      <c r="L119" s="329">
        <v>3072</v>
      </c>
      <c r="M119" s="329">
        <v>2417</v>
      </c>
      <c r="N119" s="329">
        <v>5489</v>
      </c>
      <c r="O119" s="329">
        <v>611</v>
      </c>
      <c r="P119" s="329">
        <v>406</v>
      </c>
      <c r="Q119" s="329">
        <v>1017</v>
      </c>
      <c r="R119" s="329">
        <v>83</v>
      </c>
      <c r="S119" s="329">
        <v>93</v>
      </c>
      <c r="T119" s="329">
        <v>176</v>
      </c>
      <c r="U119" s="329">
        <v>0</v>
      </c>
      <c r="V119" s="329">
        <v>0</v>
      </c>
      <c r="W119" s="329">
        <v>0</v>
      </c>
      <c r="X119" s="330">
        <v>5302</v>
      </c>
      <c r="Y119" s="330">
        <v>3448</v>
      </c>
      <c r="Z119" s="330">
        <v>8750</v>
      </c>
    </row>
    <row r="120" spans="2:26" hidden="1" outlineLevel="1" x14ac:dyDescent="0.25">
      <c r="B120" s="304">
        <v>42583</v>
      </c>
      <c r="C120" s="329">
        <v>0</v>
      </c>
      <c r="D120" s="329">
        <v>0</v>
      </c>
      <c r="E120" s="329">
        <v>0</v>
      </c>
      <c r="F120" s="329">
        <v>0</v>
      </c>
      <c r="G120" s="329">
        <v>0</v>
      </c>
      <c r="H120" s="329">
        <v>0</v>
      </c>
      <c r="I120" s="329">
        <v>1680</v>
      </c>
      <c r="J120" s="329">
        <v>602</v>
      </c>
      <c r="K120" s="329">
        <v>2282</v>
      </c>
      <c r="L120" s="329">
        <v>3891</v>
      </c>
      <c r="M120" s="329">
        <v>3039</v>
      </c>
      <c r="N120" s="329">
        <v>6930</v>
      </c>
      <c r="O120" s="329">
        <v>678</v>
      </c>
      <c r="P120" s="329">
        <v>485</v>
      </c>
      <c r="Q120" s="329">
        <v>1163</v>
      </c>
      <c r="R120" s="329">
        <v>108</v>
      </c>
      <c r="S120" s="329">
        <v>96</v>
      </c>
      <c r="T120" s="329">
        <v>204</v>
      </c>
      <c r="U120" s="329">
        <v>0</v>
      </c>
      <c r="V120" s="329">
        <v>0</v>
      </c>
      <c r="W120" s="329">
        <v>0</v>
      </c>
      <c r="X120" s="330">
        <v>6357</v>
      </c>
      <c r="Y120" s="330">
        <v>4222</v>
      </c>
      <c r="Z120" s="330">
        <v>10579</v>
      </c>
    </row>
    <row r="121" spans="2:26" hidden="1" outlineLevel="1" x14ac:dyDescent="0.25">
      <c r="B121" s="304">
        <v>42614</v>
      </c>
      <c r="C121" s="329">
        <v>0</v>
      </c>
      <c r="D121" s="329">
        <v>0</v>
      </c>
      <c r="E121" s="329">
        <v>0</v>
      </c>
      <c r="F121" s="329">
        <v>0</v>
      </c>
      <c r="G121" s="329">
        <v>0</v>
      </c>
      <c r="H121" s="329">
        <v>0</v>
      </c>
      <c r="I121" s="329">
        <v>1670</v>
      </c>
      <c r="J121" s="329">
        <v>584</v>
      </c>
      <c r="K121" s="329">
        <v>2254</v>
      </c>
      <c r="L121" s="329">
        <v>3573</v>
      </c>
      <c r="M121" s="329">
        <v>2597</v>
      </c>
      <c r="N121" s="329">
        <v>6170</v>
      </c>
      <c r="O121" s="329">
        <v>625</v>
      </c>
      <c r="P121" s="329">
        <v>424</v>
      </c>
      <c r="Q121" s="329">
        <v>1049</v>
      </c>
      <c r="R121" s="329">
        <v>91</v>
      </c>
      <c r="S121" s="329">
        <v>97</v>
      </c>
      <c r="T121" s="329">
        <v>188</v>
      </c>
      <c r="U121" s="329">
        <v>0</v>
      </c>
      <c r="V121" s="329">
        <v>0</v>
      </c>
      <c r="W121" s="329">
        <v>0</v>
      </c>
      <c r="X121" s="330">
        <v>5959</v>
      </c>
      <c r="Y121" s="330">
        <v>3702</v>
      </c>
      <c r="Z121" s="330">
        <v>9661</v>
      </c>
    </row>
    <row r="122" spans="2:26" hidden="1" outlineLevel="1" x14ac:dyDescent="0.25">
      <c r="B122" s="304">
        <v>42644</v>
      </c>
      <c r="C122" s="329">
        <v>0</v>
      </c>
      <c r="D122" s="329">
        <v>0</v>
      </c>
      <c r="E122" s="329">
        <v>0</v>
      </c>
      <c r="F122" s="329">
        <v>0</v>
      </c>
      <c r="G122" s="329">
        <v>0</v>
      </c>
      <c r="H122" s="329">
        <v>0</v>
      </c>
      <c r="I122" s="329">
        <v>1395</v>
      </c>
      <c r="J122" s="329">
        <v>500</v>
      </c>
      <c r="K122" s="329">
        <v>1895</v>
      </c>
      <c r="L122" s="329">
        <v>3029</v>
      </c>
      <c r="M122" s="329">
        <v>2324</v>
      </c>
      <c r="N122" s="329">
        <v>5353</v>
      </c>
      <c r="O122" s="329">
        <v>548</v>
      </c>
      <c r="P122" s="329">
        <v>361</v>
      </c>
      <c r="Q122" s="329">
        <v>909</v>
      </c>
      <c r="R122" s="329">
        <v>92</v>
      </c>
      <c r="S122" s="329">
        <v>101</v>
      </c>
      <c r="T122" s="329">
        <v>193</v>
      </c>
      <c r="U122" s="329">
        <v>0</v>
      </c>
      <c r="V122" s="329">
        <v>0</v>
      </c>
      <c r="W122" s="329">
        <v>0</v>
      </c>
      <c r="X122" s="330">
        <v>5064</v>
      </c>
      <c r="Y122" s="330">
        <v>3286</v>
      </c>
      <c r="Z122" s="330">
        <v>8350</v>
      </c>
    </row>
    <row r="123" spans="2:26" hidden="1" outlineLevel="1" x14ac:dyDescent="0.25">
      <c r="B123" s="304">
        <v>42675</v>
      </c>
      <c r="C123" s="329">
        <v>0</v>
      </c>
      <c r="D123" s="329">
        <v>0</v>
      </c>
      <c r="E123" s="329">
        <v>0</v>
      </c>
      <c r="F123" s="329">
        <v>0</v>
      </c>
      <c r="G123" s="329">
        <v>0</v>
      </c>
      <c r="H123" s="329">
        <v>0</v>
      </c>
      <c r="I123" s="329">
        <v>1566</v>
      </c>
      <c r="J123" s="329">
        <v>489</v>
      </c>
      <c r="K123" s="329">
        <v>2055</v>
      </c>
      <c r="L123" s="329">
        <v>3181</v>
      </c>
      <c r="M123" s="329">
        <v>2313</v>
      </c>
      <c r="N123" s="329">
        <v>5494</v>
      </c>
      <c r="O123" s="329">
        <v>504</v>
      </c>
      <c r="P123" s="329">
        <v>354</v>
      </c>
      <c r="Q123" s="329">
        <v>858</v>
      </c>
      <c r="R123" s="329">
        <v>104</v>
      </c>
      <c r="S123" s="329">
        <v>95</v>
      </c>
      <c r="T123" s="329">
        <v>199</v>
      </c>
      <c r="U123" s="329">
        <v>0</v>
      </c>
      <c r="V123" s="329">
        <v>0</v>
      </c>
      <c r="W123" s="329">
        <v>0</v>
      </c>
      <c r="X123" s="330">
        <v>5355</v>
      </c>
      <c r="Y123" s="330">
        <v>3251</v>
      </c>
      <c r="Z123" s="330">
        <v>8606</v>
      </c>
    </row>
    <row r="124" spans="2:26" collapsed="1" x14ac:dyDescent="0.25">
      <c r="B124" s="304">
        <v>42705</v>
      </c>
      <c r="C124" s="329">
        <v>0</v>
      </c>
      <c r="D124" s="329">
        <v>0</v>
      </c>
      <c r="E124" s="329">
        <v>0</v>
      </c>
      <c r="F124" s="329">
        <v>0</v>
      </c>
      <c r="G124" s="329">
        <v>0</v>
      </c>
      <c r="H124" s="329">
        <v>0</v>
      </c>
      <c r="I124" s="329">
        <v>1516</v>
      </c>
      <c r="J124" s="329">
        <v>513</v>
      </c>
      <c r="K124" s="329">
        <v>2029</v>
      </c>
      <c r="L124" s="329">
        <v>2967</v>
      </c>
      <c r="M124" s="329">
        <v>2185</v>
      </c>
      <c r="N124" s="329">
        <v>5152</v>
      </c>
      <c r="O124" s="329">
        <v>599</v>
      </c>
      <c r="P124" s="329">
        <v>380</v>
      </c>
      <c r="Q124" s="329">
        <v>979</v>
      </c>
      <c r="R124" s="329">
        <v>97</v>
      </c>
      <c r="S124" s="329">
        <v>111</v>
      </c>
      <c r="T124" s="329">
        <v>208</v>
      </c>
      <c r="U124" s="329">
        <v>0</v>
      </c>
      <c r="V124" s="329">
        <v>0</v>
      </c>
      <c r="W124" s="329">
        <v>0</v>
      </c>
      <c r="X124" s="330">
        <v>5179</v>
      </c>
      <c r="Y124" s="330">
        <v>3189</v>
      </c>
      <c r="Z124" s="330">
        <v>8368</v>
      </c>
    </row>
    <row r="125" spans="2:26" hidden="1" outlineLevel="1" x14ac:dyDescent="0.25">
      <c r="B125" s="304">
        <v>42736</v>
      </c>
      <c r="C125" s="329">
        <v>0</v>
      </c>
      <c r="D125" s="329">
        <v>0</v>
      </c>
      <c r="E125" s="329">
        <v>0</v>
      </c>
      <c r="F125" s="329">
        <v>0</v>
      </c>
      <c r="G125" s="329">
        <v>0</v>
      </c>
      <c r="H125" s="329">
        <v>0</v>
      </c>
      <c r="I125" s="329">
        <v>1982</v>
      </c>
      <c r="J125" s="329">
        <v>666</v>
      </c>
      <c r="K125" s="329">
        <v>2648</v>
      </c>
      <c r="L125" s="329">
        <v>3552</v>
      </c>
      <c r="M125" s="329">
        <v>2778</v>
      </c>
      <c r="N125" s="329">
        <v>6330</v>
      </c>
      <c r="O125" s="329">
        <v>586</v>
      </c>
      <c r="P125" s="329">
        <v>410</v>
      </c>
      <c r="Q125" s="329">
        <v>996</v>
      </c>
      <c r="R125" s="329">
        <v>119</v>
      </c>
      <c r="S125" s="329">
        <v>106</v>
      </c>
      <c r="T125" s="329">
        <v>225</v>
      </c>
      <c r="U125" s="329">
        <v>0</v>
      </c>
      <c r="V125" s="329">
        <v>0</v>
      </c>
      <c r="W125" s="329">
        <v>0</v>
      </c>
      <c r="X125" s="330">
        <v>6239</v>
      </c>
      <c r="Y125" s="330">
        <v>3960</v>
      </c>
      <c r="Z125" s="330">
        <v>10199</v>
      </c>
    </row>
    <row r="126" spans="2:26" hidden="1" outlineLevel="1" x14ac:dyDescent="0.25">
      <c r="B126" s="304">
        <v>42767</v>
      </c>
      <c r="C126" s="329">
        <v>0</v>
      </c>
      <c r="D126" s="329">
        <v>0</v>
      </c>
      <c r="E126" s="329">
        <v>0</v>
      </c>
      <c r="F126" s="329">
        <v>0</v>
      </c>
      <c r="G126" s="329">
        <v>0</v>
      </c>
      <c r="H126" s="329">
        <v>0</v>
      </c>
      <c r="I126" s="329">
        <v>1418</v>
      </c>
      <c r="J126" s="329">
        <v>503</v>
      </c>
      <c r="K126" s="329">
        <v>1921</v>
      </c>
      <c r="L126" s="329">
        <v>3161</v>
      </c>
      <c r="M126" s="329">
        <v>2524</v>
      </c>
      <c r="N126" s="329">
        <v>5685</v>
      </c>
      <c r="O126" s="329">
        <v>544</v>
      </c>
      <c r="P126" s="329">
        <v>366</v>
      </c>
      <c r="Q126" s="329">
        <v>910</v>
      </c>
      <c r="R126" s="329">
        <v>89</v>
      </c>
      <c r="S126" s="329">
        <v>95</v>
      </c>
      <c r="T126" s="329">
        <v>184</v>
      </c>
      <c r="U126" s="329">
        <v>0</v>
      </c>
      <c r="V126" s="329">
        <v>0</v>
      </c>
      <c r="W126" s="329">
        <v>0</v>
      </c>
      <c r="X126" s="330">
        <v>5212</v>
      </c>
      <c r="Y126" s="330">
        <v>3488</v>
      </c>
      <c r="Z126" s="330">
        <v>8700</v>
      </c>
    </row>
    <row r="127" spans="2:26" hidden="1" outlineLevel="1" x14ac:dyDescent="0.25">
      <c r="B127" s="304">
        <v>42795</v>
      </c>
      <c r="C127" s="329">
        <v>0</v>
      </c>
      <c r="D127" s="329">
        <v>0</v>
      </c>
      <c r="E127" s="329">
        <v>0</v>
      </c>
      <c r="F127" s="329">
        <v>0</v>
      </c>
      <c r="G127" s="329">
        <v>0</v>
      </c>
      <c r="H127" s="329">
        <v>0</v>
      </c>
      <c r="I127" s="329">
        <v>1301</v>
      </c>
      <c r="J127" s="329">
        <v>481</v>
      </c>
      <c r="K127" s="329">
        <v>1782</v>
      </c>
      <c r="L127" s="329">
        <v>3761</v>
      </c>
      <c r="M127" s="329">
        <v>3205</v>
      </c>
      <c r="N127" s="329">
        <v>6966</v>
      </c>
      <c r="O127" s="329">
        <v>708</v>
      </c>
      <c r="P127" s="329">
        <v>436</v>
      </c>
      <c r="Q127" s="329">
        <v>1144</v>
      </c>
      <c r="R127" s="329">
        <v>99</v>
      </c>
      <c r="S127" s="329">
        <v>96</v>
      </c>
      <c r="T127" s="329">
        <v>195</v>
      </c>
      <c r="U127" s="329">
        <v>0</v>
      </c>
      <c r="V127" s="329">
        <v>0</v>
      </c>
      <c r="W127" s="329">
        <v>0</v>
      </c>
      <c r="X127" s="330">
        <v>5869</v>
      </c>
      <c r="Y127" s="330">
        <v>4218</v>
      </c>
      <c r="Z127" s="330">
        <v>10087</v>
      </c>
    </row>
    <row r="128" spans="2:26" hidden="1" outlineLevel="1" x14ac:dyDescent="0.25">
      <c r="B128" s="304">
        <v>42826</v>
      </c>
      <c r="C128" s="329">
        <v>0</v>
      </c>
      <c r="D128" s="329">
        <v>0</v>
      </c>
      <c r="E128" s="329">
        <v>0</v>
      </c>
      <c r="F128" s="329">
        <v>0</v>
      </c>
      <c r="G128" s="329">
        <v>0</v>
      </c>
      <c r="H128" s="329">
        <v>0</v>
      </c>
      <c r="I128" s="329">
        <v>1398</v>
      </c>
      <c r="J128" s="329">
        <v>483</v>
      </c>
      <c r="K128" s="329">
        <v>1881</v>
      </c>
      <c r="L128" s="329">
        <v>3006</v>
      </c>
      <c r="M128" s="329">
        <v>2517</v>
      </c>
      <c r="N128" s="329">
        <v>5523</v>
      </c>
      <c r="O128" s="329">
        <v>571</v>
      </c>
      <c r="P128" s="329">
        <v>362</v>
      </c>
      <c r="Q128" s="329">
        <v>933</v>
      </c>
      <c r="R128" s="329">
        <v>94</v>
      </c>
      <c r="S128" s="329">
        <v>98</v>
      </c>
      <c r="T128" s="329">
        <v>192</v>
      </c>
      <c r="U128" s="329">
        <v>0</v>
      </c>
      <c r="V128" s="329">
        <v>0</v>
      </c>
      <c r="W128" s="329">
        <v>0</v>
      </c>
      <c r="X128" s="330">
        <v>5069</v>
      </c>
      <c r="Y128" s="330">
        <v>3460</v>
      </c>
      <c r="Z128" s="330">
        <v>8529</v>
      </c>
    </row>
    <row r="129" spans="2:26" hidden="1" outlineLevel="1" x14ac:dyDescent="0.25">
      <c r="B129" s="304">
        <v>42856</v>
      </c>
      <c r="C129" s="329">
        <v>0</v>
      </c>
      <c r="D129" s="329">
        <v>0</v>
      </c>
      <c r="E129" s="329">
        <v>0</v>
      </c>
      <c r="F129" s="329">
        <v>0</v>
      </c>
      <c r="G129" s="329">
        <v>0</v>
      </c>
      <c r="H129" s="329">
        <v>0</v>
      </c>
      <c r="I129" s="329">
        <v>1666</v>
      </c>
      <c r="J129" s="329">
        <v>565</v>
      </c>
      <c r="K129" s="329">
        <v>2231</v>
      </c>
      <c r="L129" s="329">
        <v>3774</v>
      </c>
      <c r="M129" s="329">
        <v>4029</v>
      </c>
      <c r="N129" s="329">
        <v>7803</v>
      </c>
      <c r="O129" s="329">
        <v>621</v>
      </c>
      <c r="P129" s="329">
        <v>364</v>
      </c>
      <c r="Q129" s="329">
        <v>985</v>
      </c>
      <c r="R129" s="329">
        <v>101</v>
      </c>
      <c r="S129" s="329">
        <v>132</v>
      </c>
      <c r="T129" s="329">
        <v>233</v>
      </c>
      <c r="U129" s="329">
        <v>0</v>
      </c>
      <c r="V129" s="329">
        <v>0</v>
      </c>
      <c r="W129" s="329">
        <v>0</v>
      </c>
      <c r="X129" s="330">
        <v>6162</v>
      </c>
      <c r="Y129" s="330">
        <v>5090</v>
      </c>
      <c r="Z129" s="330">
        <v>11252</v>
      </c>
    </row>
    <row r="130" spans="2:26" hidden="1" outlineLevel="1" x14ac:dyDescent="0.25">
      <c r="B130" s="304">
        <v>42887</v>
      </c>
      <c r="C130" s="329">
        <v>0</v>
      </c>
      <c r="D130" s="329">
        <v>0</v>
      </c>
      <c r="E130" s="329">
        <v>0</v>
      </c>
      <c r="F130" s="329">
        <v>0</v>
      </c>
      <c r="G130" s="329">
        <v>0</v>
      </c>
      <c r="H130" s="329">
        <v>0</v>
      </c>
      <c r="I130" s="329">
        <v>1485</v>
      </c>
      <c r="J130" s="329">
        <v>512</v>
      </c>
      <c r="K130" s="329">
        <v>1997</v>
      </c>
      <c r="L130" s="329">
        <v>3208</v>
      </c>
      <c r="M130" s="329">
        <v>2915</v>
      </c>
      <c r="N130" s="329">
        <v>6123</v>
      </c>
      <c r="O130" s="329">
        <v>526</v>
      </c>
      <c r="P130" s="329">
        <v>388</v>
      </c>
      <c r="Q130" s="329">
        <v>914</v>
      </c>
      <c r="R130" s="329">
        <v>83</v>
      </c>
      <c r="S130" s="329">
        <v>109</v>
      </c>
      <c r="T130" s="329">
        <v>192</v>
      </c>
      <c r="U130" s="329">
        <v>0</v>
      </c>
      <c r="V130" s="329">
        <v>0</v>
      </c>
      <c r="W130" s="329">
        <v>0</v>
      </c>
      <c r="X130" s="330">
        <v>5302</v>
      </c>
      <c r="Y130" s="330">
        <v>3924</v>
      </c>
      <c r="Z130" s="330">
        <v>9226</v>
      </c>
    </row>
    <row r="131" spans="2:26" hidden="1" outlineLevel="1" x14ac:dyDescent="0.25">
      <c r="B131" s="304">
        <v>42917</v>
      </c>
      <c r="C131" s="329">
        <v>0</v>
      </c>
      <c r="D131" s="329">
        <v>0</v>
      </c>
      <c r="E131" s="329">
        <v>0</v>
      </c>
      <c r="F131" s="329">
        <v>0</v>
      </c>
      <c r="G131" s="329">
        <v>0</v>
      </c>
      <c r="H131" s="329">
        <v>0</v>
      </c>
      <c r="I131" s="329">
        <v>1637</v>
      </c>
      <c r="J131" s="329">
        <v>616</v>
      </c>
      <c r="K131" s="329">
        <v>2253</v>
      </c>
      <c r="L131" s="329">
        <v>4109</v>
      </c>
      <c r="M131" s="329">
        <v>3391</v>
      </c>
      <c r="N131" s="329">
        <v>7500</v>
      </c>
      <c r="O131" s="329">
        <v>638</v>
      </c>
      <c r="P131" s="329">
        <v>408</v>
      </c>
      <c r="Q131" s="329">
        <v>1046</v>
      </c>
      <c r="R131" s="329">
        <v>144</v>
      </c>
      <c r="S131" s="329">
        <v>114</v>
      </c>
      <c r="T131" s="329">
        <v>258</v>
      </c>
      <c r="U131" s="329">
        <v>0</v>
      </c>
      <c r="V131" s="329">
        <v>0</v>
      </c>
      <c r="W131" s="329">
        <v>0</v>
      </c>
      <c r="X131" s="330">
        <v>6528</v>
      </c>
      <c r="Y131" s="330">
        <v>4529</v>
      </c>
      <c r="Z131" s="330">
        <v>11057</v>
      </c>
    </row>
    <row r="132" spans="2:26" hidden="1" outlineLevel="1" x14ac:dyDescent="0.25">
      <c r="B132" s="304">
        <v>42948</v>
      </c>
      <c r="C132" s="329">
        <v>0</v>
      </c>
      <c r="D132" s="329">
        <v>0</v>
      </c>
      <c r="E132" s="329">
        <v>0</v>
      </c>
      <c r="F132" s="329">
        <v>0</v>
      </c>
      <c r="G132" s="329">
        <v>0</v>
      </c>
      <c r="H132" s="329">
        <v>0</v>
      </c>
      <c r="I132" s="329">
        <v>1753</v>
      </c>
      <c r="J132" s="329">
        <v>602</v>
      </c>
      <c r="K132" s="329">
        <v>2355</v>
      </c>
      <c r="L132" s="329">
        <v>4217</v>
      </c>
      <c r="M132" s="329">
        <v>3463</v>
      </c>
      <c r="N132" s="329">
        <v>7680</v>
      </c>
      <c r="O132" s="329">
        <v>692</v>
      </c>
      <c r="P132" s="329">
        <v>408</v>
      </c>
      <c r="Q132" s="329">
        <v>1100</v>
      </c>
      <c r="R132" s="329">
        <v>126</v>
      </c>
      <c r="S132" s="329">
        <v>147</v>
      </c>
      <c r="T132" s="329">
        <v>273</v>
      </c>
      <c r="U132" s="329">
        <v>0</v>
      </c>
      <c r="V132" s="329">
        <v>0</v>
      </c>
      <c r="W132" s="329">
        <v>0</v>
      </c>
      <c r="X132" s="330">
        <v>6788</v>
      </c>
      <c r="Y132" s="330">
        <v>4620</v>
      </c>
      <c r="Z132" s="330">
        <v>11408</v>
      </c>
    </row>
    <row r="133" spans="2:26" hidden="1" outlineLevel="1" x14ac:dyDescent="0.25">
      <c r="B133" s="304">
        <v>42979</v>
      </c>
      <c r="C133" s="329">
        <v>0</v>
      </c>
      <c r="D133" s="329">
        <v>0</v>
      </c>
      <c r="E133" s="329">
        <v>0</v>
      </c>
      <c r="F133" s="329">
        <v>0</v>
      </c>
      <c r="G133" s="329">
        <v>0</v>
      </c>
      <c r="H133" s="329">
        <v>0</v>
      </c>
      <c r="I133" s="329">
        <v>1620</v>
      </c>
      <c r="J133" s="329">
        <v>571</v>
      </c>
      <c r="K133" s="329">
        <v>2191</v>
      </c>
      <c r="L133" s="329">
        <v>3488</v>
      </c>
      <c r="M133" s="329">
        <v>2945</v>
      </c>
      <c r="N133" s="329">
        <v>6433</v>
      </c>
      <c r="O133" s="329">
        <v>544</v>
      </c>
      <c r="P133" s="329">
        <v>365</v>
      </c>
      <c r="Q133" s="329">
        <v>909</v>
      </c>
      <c r="R133" s="329">
        <v>119</v>
      </c>
      <c r="S133" s="329">
        <v>117</v>
      </c>
      <c r="T133" s="329">
        <v>236</v>
      </c>
      <c r="U133" s="329">
        <v>0</v>
      </c>
      <c r="V133" s="329">
        <v>0</v>
      </c>
      <c r="W133" s="329">
        <v>0</v>
      </c>
      <c r="X133" s="330">
        <v>5771</v>
      </c>
      <c r="Y133" s="330">
        <v>3998</v>
      </c>
      <c r="Z133" s="330">
        <v>9769</v>
      </c>
    </row>
    <row r="134" spans="2:26" hidden="1" outlineLevel="1" x14ac:dyDescent="0.25">
      <c r="B134" s="304">
        <v>43009</v>
      </c>
      <c r="C134" s="329">
        <v>0</v>
      </c>
      <c r="D134" s="329">
        <v>0</v>
      </c>
      <c r="E134" s="329">
        <v>0</v>
      </c>
      <c r="F134" s="329">
        <v>0</v>
      </c>
      <c r="G134" s="329">
        <v>0</v>
      </c>
      <c r="H134" s="329">
        <v>0</v>
      </c>
      <c r="I134" s="329">
        <v>1861</v>
      </c>
      <c r="J134" s="329">
        <v>582</v>
      </c>
      <c r="K134" s="329">
        <v>2443</v>
      </c>
      <c r="L134" s="329">
        <v>4268</v>
      </c>
      <c r="M134" s="329">
        <v>3504</v>
      </c>
      <c r="N134" s="329">
        <v>7772</v>
      </c>
      <c r="O134" s="329">
        <v>583</v>
      </c>
      <c r="P134" s="329">
        <v>401</v>
      </c>
      <c r="Q134" s="329">
        <v>984</v>
      </c>
      <c r="R134" s="329">
        <v>139</v>
      </c>
      <c r="S134" s="329">
        <v>135</v>
      </c>
      <c r="T134" s="329">
        <v>274</v>
      </c>
      <c r="U134" s="329">
        <v>0</v>
      </c>
      <c r="V134" s="329">
        <v>0</v>
      </c>
      <c r="W134" s="329">
        <v>0</v>
      </c>
      <c r="X134" s="330">
        <v>6851</v>
      </c>
      <c r="Y134" s="330">
        <v>4622</v>
      </c>
      <c r="Z134" s="330">
        <v>11473</v>
      </c>
    </row>
    <row r="135" spans="2:26" hidden="1" outlineLevel="1" x14ac:dyDescent="0.25">
      <c r="B135" s="304">
        <v>43040</v>
      </c>
      <c r="C135" s="329">
        <v>0</v>
      </c>
      <c r="D135" s="329">
        <v>0</v>
      </c>
      <c r="E135" s="329">
        <v>0</v>
      </c>
      <c r="F135" s="329">
        <v>0</v>
      </c>
      <c r="G135" s="329">
        <v>0</v>
      </c>
      <c r="H135" s="329">
        <v>0</v>
      </c>
      <c r="I135" s="329">
        <v>1686</v>
      </c>
      <c r="J135" s="329">
        <v>552</v>
      </c>
      <c r="K135" s="329">
        <v>2238</v>
      </c>
      <c r="L135" s="329">
        <v>4011</v>
      </c>
      <c r="M135" s="329">
        <v>3278</v>
      </c>
      <c r="N135" s="329">
        <v>7289</v>
      </c>
      <c r="O135" s="329">
        <v>681</v>
      </c>
      <c r="P135" s="329">
        <v>426</v>
      </c>
      <c r="Q135" s="329">
        <v>1107</v>
      </c>
      <c r="R135" s="329">
        <v>128</v>
      </c>
      <c r="S135" s="329">
        <v>160</v>
      </c>
      <c r="T135" s="329">
        <v>288</v>
      </c>
      <c r="U135" s="329">
        <v>0</v>
      </c>
      <c r="V135" s="329">
        <v>0</v>
      </c>
      <c r="W135" s="329">
        <v>0</v>
      </c>
      <c r="X135" s="330">
        <v>6506</v>
      </c>
      <c r="Y135" s="330">
        <v>4416</v>
      </c>
      <c r="Z135" s="330">
        <v>10922</v>
      </c>
    </row>
    <row r="136" spans="2:26" collapsed="1" x14ac:dyDescent="0.25">
      <c r="B136" s="304">
        <v>43070</v>
      </c>
      <c r="C136" s="329">
        <v>0</v>
      </c>
      <c r="D136" s="329">
        <v>0</v>
      </c>
      <c r="E136" s="329">
        <v>0</v>
      </c>
      <c r="F136" s="329">
        <v>0</v>
      </c>
      <c r="G136" s="329">
        <v>0</v>
      </c>
      <c r="H136" s="329">
        <v>0</v>
      </c>
      <c r="I136" s="329">
        <v>1604</v>
      </c>
      <c r="J136" s="329">
        <v>572</v>
      </c>
      <c r="K136" s="329">
        <v>2176</v>
      </c>
      <c r="L136" s="329">
        <v>3720</v>
      </c>
      <c r="M136" s="329">
        <v>3362</v>
      </c>
      <c r="N136" s="329">
        <v>7082</v>
      </c>
      <c r="O136" s="329">
        <v>555</v>
      </c>
      <c r="P136" s="329">
        <v>327</v>
      </c>
      <c r="Q136" s="329">
        <v>882</v>
      </c>
      <c r="R136" s="329">
        <v>121</v>
      </c>
      <c r="S136" s="329">
        <v>131</v>
      </c>
      <c r="T136" s="329">
        <v>252</v>
      </c>
      <c r="U136" s="329">
        <v>0</v>
      </c>
      <c r="V136" s="329">
        <v>0</v>
      </c>
      <c r="W136" s="329">
        <v>0</v>
      </c>
      <c r="X136" s="330">
        <v>6000</v>
      </c>
      <c r="Y136" s="330">
        <v>4392</v>
      </c>
      <c r="Z136" s="330">
        <v>10392</v>
      </c>
    </row>
    <row r="137" spans="2:26" hidden="1" outlineLevel="1" x14ac:dyDescent="0.25">
      <c r="B137" s="304">
        <v>43101</v>
      </c>
      <c r="C137" s="329">
        <v>0</v>
      </c>
      <c r="D137" s="329">
        <v>0</v>
      </c>
      <c r="E137" s="329">
        <v>0</v>
      </c>
      <c r="F137" s="329">
        <v>0</v>
      </c>
      <c r="G137" s="329">
        <v>0</v>
      </c>
      <c r="H137" s="329">
        <v>0</v>
      </c>
      <c r="I137" s="329">
        <v>1864</v>
      </c>
      <c r="J137" s="329">
        <v>602</v>
      </c>
      <c r="K137" s="329">
        <v>2466</v>
      </c>
      <c r="L137" s="329">
        <v>5739</v>
      </c>
      <c r="M137" s="329">
        <v>4471</v>
      </c>
      <c r="N137" s="329">
        <v>10210</v>
      </c>
      <c r="O137" s="329">
        <v>568</v>
      </c>
      <c r="P137" s="329">
        <v>379</v>
      </c>
      <c r="Q137" s="329">
        <v>947</v>
      </c>
      <c r="R137" s="329">
        <v>183</v>
      </c>
      <c r="S137" s="329">
        <v>179</v>
      </c>
      <c r="T137" s="329">
        <v>362</v>
      </c>
      <c r="U137" s="329">
        <v>0</v>
      </c>
      <c r="V137" s="329">
        <v>0</v>
      </c>
      <c r="W137" s="329">
        <v>0</v>
      </c>
      <c r="X137" s="330">
        <v>8354</v>
      </c>
      <c r="Y137" s="330">
        <v>5631</v>
      </c>
      <c r="Z137" s="330">
        <v>13985</v>
      </c>
    </row>
    <row r="138" spans="2:26" hidden="1" outlineLevel="1" x14ac:dyDescent="0.25">
      <c r="B138" s="304">
        <v>43132</v>
      </c>
      <c r="C138" s="329">
        <v>0</v>
      </c>
      <c r="D138" s="329">
        <v>0</v>
      </c>
      <c r="E138" s="329">
        <v>0</v>
      </c>
      <c r="F138" s="329">
        <v>0</v>
      </c>
      <c r="G138" s="329">
        <v>0</v>
      </c>
      <c r="H138" s="329">
        <v>0</v>
      </c>
      <c r="I138" s="329">
        <v>1558</v>
      </c>
      <c r="J138" s="329">
        <v>545</v>
      </c>
      <c r="K138" s="329">
        <v>2103</v>
      </c>
      <c r="L138" s="329">
        <v>5959</v>
      </c>
      <c r="M138" s="329">
        <v>4201</v>
      </c>
      <c r="N138" s="329">
        <v>10160</v>
      </c>
      <c r="O138" s="329">
        <v>434</v>
      </c>
      <c r="P138" s="329">
        <v>300</v>
      </c>
      <c r="Q138" s="329">
        <v>734</v>
      </c>
      <c r="R138" s="329">
        <v>377</v>
      </c>
      <c r="S138" s="329">
        <v>334</v>
      </c>
      <c r="T138" s="329">
        <v>711</v>
      </c>
      <c r="U138" s="329">
        <v>0</v>
      </c>
      <c r="V138" s="329">
        <v>0</v>
      </c>
      <c r="W138" s="329">
        <v>0</v>
      </c>
      <c r="X138" s="330">
        <v>8328</v>
      </c>
      <c r="Y138" s="330">
        <v>5380</v>
      </c>
      <c r="Z138" s="330">
        <v>13708</v>
      </c>
    </row>
    <row r="139" spans="2:26" hidden="1" outlineLevel="1" x14ac:dyDescent="0.25">
      <c r="B139" s="304">
        <v>43160</v>
      </c>
      <c r="C139" s="329">
        <v>0</v>
      </c>
      <c r="D139" s="329">
        <v>0</v>
      </c>
      <c r="E139" s="329">
        <v>0</v>
      </c>
      <c r="F139" s="329">
        <v>0</v>
      </c>
      <c r="G139" s="329">
        <v>0</v>
      </c>
      <c r="H139" s="329">
        <v>0</v>
      </c>
      <c r="I139" s="329">
        <v>1716</v>
      </c>
      <c r="J139" s="329">
        <v>615</v>
      </c>
      <c r="K139" s="329">
        <v>2331</v>
      </c>
      <c r="L139" s="329">
        <v>5221</v>
      </c>
      <c r="M139" s="329">
        <v>4220</v>
      </c>
      <c r="N139" s="329">
        <v>9441</v>
      </c>
      <c r="O139" s="329">
        <v>589</v>
      </c>
      <c r="P139" s="329">
        <v>345</v>
      </c>
      <c r="Q139" s="329">
        <v>934</v>
      </c>
      <c r="R139" s="329">
        <v>443</v>
      </c>
      <c r="S139" s="329">
        <v>448</v>
      </c>
      <c r="T139" s="329">
        <v>891</v>
      </c>
      <c r="U139" s="329">
        <v>0</v>
      </c>
      <c r="V139" s="329">
        <v>0</v>
      </c>
      <c r="W139" s="329">
        <v>0</v>
      </c>
      <c r="X139" s="330">
        <v>7969</v>
      </c>
      <c r="Y139" s="330">
        <v>5628</v>
      </c>
      <c r="Z139" s="330">
        <v>13597</v>
      </c>
    </row>
    <row r="140" spans="2:26" hidden="1" outlineLevel="1" x14ac:dyDescent="0.25">
      <c r="B140" s="304">
        <v>43191</v>
      </c>
      <c r="C140" s="329">
        <v>0</v>
      </c>
      <c r="D140" s="329">
        <v>0</v>
      </c>
      <c r="E140" s="329">
        <v>0</v>
      </c>
      <c r="F140" s="329">
        <v>0</v>
      </c>
      <c r="G140" s="329">
        <v>0</v>
      </c>
      <c r="H140" s="329">
        <v>0</v>
      </c>
      <c r="I140" s="329">
        <v>1753</v>
      </c>
      <c r="J140" s="329">
        <v>567</v>
      </c>
      <c r="K140" s="329">
        <v>2320</v>
      </c>
      <c r="L140" s="329">
        <v>4664</v>
      </c>
      <c r="M140" s="329">
        <v>4163</v>
      </c>
      <c r="N140" s="329">
        <v>8827</v>
      </c>
      <c r="O140" s="329">
        <v>585</v>
      </c>
      <c r="P140" s="329">
        <v>386</v>
      </c>
      <c r="Q140" s="329">
        <v>971</v>
      </c>
      <c r="R140" s="329">
        <v>404</v>
      </c>
      <c r="S140" s="329">
        <v>394</v>
      </c>
      <c r="T140" s="329">
        <v>798</v>
      </c>
      <c r="U140" s="329">
        <v>0</v>
      </c>
      <c r="V140" s="329">
        <v>0</v>
      </c>
      <c r="W140" s="329">
        <v>0</v>
      </c>
      <c r="X140" s="330">
        <v>7406</v>
      </c>
      <c r="Y140" s="330">
        <v>5510</v>
      </c>
      <c r="Z140" s="330">
        <v>12916</v>
      </c>
    </row>
    <row r="141" spans="2:26" hidden="1" outlineLevel="1" x14ac:dyDescent="0.25">
      <c r="B141" s="304">
        <v>43221</v>
      </c>
      <c r="C141" s="329">
        <v>0</v>
      </c>
      <c r="D141" s="329">
        <v>0</v>
      </c>
      <c r="E141" s="329">
        <v>0</v>
      </c>
      <c r="F141" s="329">
        <v>0</v>
      </c>
      <c r="G141" s="329">
        <v>0</v>
      </c>
      <c r="H141" s="329">
        <v>0</v>
      </c>
      <c r="I141" s="329">
        <v>1870</v>
      </c>
      <c r="J141" s="329">
        <v>560</v>
      </c>
      <c r="K141" s="329">
        <v>2430</v>
      </c>
      <c r="L141" s="329">
        <v>4982</v>
      </c>
      <c r="M141" s="329">
        <v>5226</v>
      </c>
      <c r="N141" s="329">
        <v>10208</v>
      </c>
      <c r="O141" s="329">
        <v>587</v>
      </c>
      <c r="P141" s="329">
        <v>338</v>
      </c>
      <c r="Q141" s="329">
        <v>925</v>
      </c>
      <c r="R141" s="329">
        <v>237</v>
      </c>
      <c r="S141" s="329">
        <v>285</v>
      </c>
      <c r="T141" s="329">
        <v>522</v>
      </c>
      <c r="U141" s="329">
        <v>0</v>
      </c>
      <c r="V141" s="329">
        <v>0</v>
      </c>
      <c r="W141" s="329">
        <v>0</v>
      </c>
      <c r="X141" s="330">
        <v>7676</v>
      </c>
      <c r="Y141" s="330">
        <v>6409</v>
      </c>
      <c r="Z141" s="330">
        <v>14085</v>
      </c>
    </row>
    <row r="142" spans="2:26" hidden="1" outlineLevel="1" x14ac:dyDescent="0.25">
      <c r="B142" s="304">
        <v>43252</v>
      </c>
      <c r="C142" s="329">
        <v>0</v>
      </c>
      <c r="D142" s="329">
        <v>0</v>
      </c>
      <c r="E142" s="329">
        <v>0</v>
      </c>
      <c r="F142" s="329">
        <v>0</v>
      </c>
      <c r="G142" s="329">
        <v>0</v>
      </c>
      <c r="H142" s="329">
        <v>0</v>
      </c>
      <c r="I142" s="329">
        <v>1705</v>
      </c>
      <c r="J142" s="329">
        <v>540</v>
      </c>
      <c r="K142" s="329">
        <v>2245</v>
      </c>
      <c r="L142" s="329">
        <v>4633</v>
      </c>
      <c r="M142" s="329">
        <v>4250</v>
      </c>
      <c r="N142" s="329">
        <v>8883</v>
      </c>
      <c r="O142" s="329">
        <v>556</v>
      </c>
      <c r="P142" s="329">
        <v>352</v>
      </c>
      <c r="Q142" s="329">
        <v>908</v>
      </c>
      <c r="R142" s="329">
        <v>215</v>
      </c>
      <c r="S142" s="329">
        <v>276</v>
      </c>
      <c r="T142" s="329">
        <v>491</v>
      </c>
      <c r="U142" s="329">
        <v>0</v>
      </c>
      <c r="V142" s="329">
        <v>0</v>
      </c>
      <c r="W142" s="329">
        <v>0</v>
      </c>
      <c r="X142" s="330">
        <v>7109</v>
      </c>
      <c r="Y142" s="330">
        <v>5418</v>
      </c>
      <c r="Z142" s="330">
        <v>12527</v>
      </c>
    </row>
    <row r="143" spans="2:26" hidden="1" outlineLevel="1" x14ac:dyDescent="0.25">
      <c r="B143" s="304">
        <v>43282</v>
      </c>
      <c r="C143" s="329">
        <v>0</v>
      </c>
      <c r="D143" s="329">
        <v>0</v>
      </c>
      <c r="E143" s="329">
        <v>0</v>
      </c>
      <c r="F143" s="329">
        <v>0</v>
      </c>
      <c r="G143" s="329">
        <v>0</v>
      </c>
      <c r="H143" s="329">
        <v>0</v>
      </c>
      <c r="I143" s="329">
        <v>1872</v>
      </c>
      <c r="J143" s="329">
        <v>604</v>
      </c>
      <c r="K143" s="329">
        <v>2476</v>
      </c>
      <c r="L143" s="329">
        <v>5007</v>
      </c>
      <c r="M143" s="329">
        <v>4397</v>
      </c>
      <c r="N143" s="329">
        <v>9404</v>
      </c>
      <c r="O143" s="329">
        <v>586</v>
      </c>
      <c r="P143" s="329">
        <v>396</v>
      </c>
      <c r="Q143" s="329">
        <v>982</v>
      </c>
      <c r="R143" s="329">
        <v>210</v>
      </c>
      <c r="S143" s="329">
        <v>235</v>
      </c>
      <c r="T143" s="329">
        <v>445</v>
      </c>
      <c r="U143" s="329">
        <v>0</v>
      </c>
      <c r="V143" s="329">
        <v>0</v>
      </c>
      <c r="W143" s="329">
        <v>0</v>
      </c>
      <c r="X143" s="330">
        <v>7675</v>
      </c>
      <c r="Y143" s="330">
        <v>5632</v>
      </c>
      <c r="Z143" s="330">
        <v>13307</v>
      </c>
    </row>
    <row r="144" spans="2:26" hidden="1" outlineLevel="1" x14ac:dyDescent="0.25">
      <c r="B144" s="304">
        <v>43313</v>
      </c>
      <c r="C144" s="329">
        <v>0</v>
      </c>
      <c r="D144" s="329">
        <v>0</v>
      </c>
      <c r="E144" s="329">
        <v>0</v>
      </c>
      <c r="F144" s="329">
        <v>0</v>
      </c>
      <c r="G144" s="329">
        <v>0</v>
      </c>
      <c r="H144" s="329">
        <v>0</v>
      </c>
      <c r="I144" s="329">
        <v>2036</v>
      </c>
      <c r="J144" s="329">
        <v>641</v>
      </c>
      <c r="K144" s="329">
        <v>2677</v>
      </c>
      <c r="L144" s="329">
        <v>5455</v>
      </c>
      <c r="M144" s="329">
        <v>4515</v>
      </c>
      <c r="N144" s="329">
        <v>9970</v>
      </c>
      <c r="O144" s="329">
        <v>615</v>
      </c>
      <c r="P144" s="329">
        <v>397</v>
      </c>
      <c r="Q144" s="329">
        <v>1012</v>
      </c>
      <c r="R144" s="329">
        <v>186</v>
      </c>
      <c r="S144" s="329">
        <v>202</v>
      </c>
      <c r="T144" s="329">
        <v>388</v>
      </c>
      <c r="U144" s="329">
        <v>0</v>
      </c>
      <c r="V144" s="329">
        <v>0</v>
      </c>
      <c r="W144" s="329">
        <v>0</v>
      </c>
      <c r="X144" s="330">
        <v>8292</v>
      </c>
      <c r="Y144" s="330">
        <v>5755</v>
      </c>
      <c r="Z144" s="330">
        <v>14047</v>
      </c>
    </row>
    <row r="145" spans="2:26" hidden="1" outlineLevel="1" x14ac:dyDescent="0.25">
      <c r="B145" s="304">
        <v>43344</v>
      </c>
      <c r="C145" s="329">
        <v>0</v>
      </c>
      <c r="D145" s="329">
        <v>0</v>
      </c>
      <c r="E145" s="329">
        <v>0</v>
      </c>
      <c r="F145" s="329">
        <v>0</v>
      </c>
      <c r="G145" s="329">
        <v>0</v>
      </c>
      <c r="H145" s="329">
        <v>0</v>
      </c>
      <c r="I145" s="329">
        <v>1477</v>
      </c>
      <c r="J145" s="329">
        <v>422</v>
      </c>
      <c r="K145" s="329">
        <v>1899</v>
      </c>
      <c r="L145" s="329">
        <v>4305</v>
      </c>
      <c r="M145" s="329">
        <v>3386</v>
      </c>
      <c r="N145" s="329">
        <v>7691</v>
      </c>
      <c r="O145" s="329">
        <v>531</v>
      </c>
      <c r="P145" s="329">
        <v>301</v>
      </c>
      <c r="Q145" s="329">
        <v>832</v>
      </c>
      <c r="R145" s="329">
        <v>142</v>
      </c>
      <c r="S145" s="329">
        <v>169</v>
      </c>
      <c r="T145" s="329">
        <v>311</v>
      </c>
      <c r="U145" s="329">
        <v>0</v>
      </c>
      <c r="V145" s="329">
        <v>0</v>
      </c>
      <c r="W145" s="329">
        <v>0</v>
      </c>
      <c r="X145" s="330">
        <v>6455</v>
      </c>
      <c r="Y145" s="330">
        <v>4278</v>
      </c>
      <c r="Z145" s="330">
        <v>10733</v>
      </c>
    </row>
    <row r="146" spans="2:26" hidden="1" outlineLevel="1" x14ac:dyDescent="0.25">
      <c r="B146" s="304">
        <v>43374</v>
      </c>
      <c r="C146" s="329">
        <v>0</v>
      </c>
      <c r="D146" s="329">
        <v>0</v>
      </c>
      <c r="E146" s="329">
        <v>0</v>
      </c>
      <c r="F146" s="329">
        <v>0</v>
      </c>
      <c r="G146" s="329">
        <v>0</v>
      </c>
      <c r="H146" s="329">
        <v>0</v>
      </c>
      <c r="I146" s="329">
        <v>2156</v>
      </c>
      <c r="J146" s="329">
        <v>680</v>
      </c>
      <c r="K146" s="329">
        <v>2836</v>
      </c>
      <c r="L146" s="329">
        <v>5980</v>
      </c>
      <c r="M146" s="329">
        <v>4709</v>
      </c>
      <c r="N146" s="329">
        <v>10689</v>
      </c>
      <c r="O146" s="329">
        <v>605</v>
      </c>
      <c r="P146" s="329">
        <v>356</v>
      </c>
      <c r="Q146" s="329">
        <v>961</v>
      </c>
      <c r="R146" s="329">
        <v>166</v>
      </c>
      <c r="S146" s="329">
        <v>208</v>
      </c>
      <c r="T146" s="329">
        <v>374</v>
      </c>
      <c r="U146" s="329">
        <v>0</v>
      </c>
      <c r="V146" s="329">
        <v>0</v>
      </c>
      <c r="W146" s="329">
        <v>0</v>
      </c>
      <c r="X146" s="330">
        <v>8907</v>
      </c>
      <c r="Y146" s="330">
        <v>5953</v>
      </c>
      <c r="Z146" s="330">
        <v>14860</v>
      </c>
    </row>
    <row r="147" spans="2:26" hidden="1" outlineLevel="1" x14ac:dyDescent="0.25">
      <c r="B147" s="304">
        <v>43405</v>
      </c>
      <c r="C147" s="329">
        <v>0</v>
      </c>
      <c r="D147" s="329">
        <v>0</v>
      </c>
      <c r="E147" s="329">
        <v>0</v>
      </c>
      <c r="F147" s="329">
        <v>0</v>
      </c>
      <c r="G147" s="329">
        <v>0</v>
      </c>
      <c r="H147" s="329">
        <v>0</v>
      </c>
      <c r="I147" s="329">
        <v>1804</v>
      </c>
      <c r="J147" s="329">
        <v>581</v>
      </c>
      <c r="K147" s="329">
        <v>2385</v>
      </c>
      <c r="L147" s="329">
        <v>4721</v>
      </c>
      <c r="M147" s="329">
        <v>3912</v>
      </c>
      <c r="N147" s="329">
        <v>8633</v>
      </c>
      <c r="O147" s="329">
        <v>498</v>
      </c>
      <c r="P147" s="329">
        <v>377</v>
      </c>
      <c r="Q147" s="329">
        <v>875</v>
      </c>
      <c r="R147" s="329">
        <v>130</v>
      </c>
      <c r="S147" s="329">
        <v>145</v>
      </c>
      <c r="T147" s="329">
        <v>275</v>
      </c>
      <c r="U147" s="329">
        <v>0</v>
      </c>
      <c r="V147" s="329">
        <v>0</v>
      </c>
      <c r="W147" s="329">
        <v>0</v>
      </c>
      <c r="X147" s="330">
        <v>7153</v>
      </c>
      <c r="Y147" s="330">
        <v>5015</v>
      </c>
      <c r="Z147" s="330">
        <v>12168</v>
      </c>
    </row>
    <row r="148" spans="2:26" collapsed="1" x14ac:dyDescent="0.25">
      <c r="B148" s="304">
        <v>43435</v>
      </c>
      <c r="C148" s="329">
        <v>0</v>
      </c>
      <c r="D148" s="329">
        <v>0</v>
      </c>
      <c r="E148" s="329">
        <v>0</v>
      </c>
      <c r="F148" s="329">
        <v>0</v>
      </c>
      <c r="G148" s="329">
        <v>0</v>
      </c>
      <c r="H148" s="329">
        <v>0</v>
      </c>
      <c r="I148" s="329">
        <v>1669</v>
      </c>
      <c r="J148" s="329">
        <v>514</v>
      </c>
      <c r="K148" s="329">
        <v>2183</v>
      </c>
      <c r="L148" s="329">
        <v>4099</v>
      </c>
      <c r="M148" s="329">
        <v>3729</v>
      </c>
      <c r="N148" s="329">
        <v>7828</v>
      </c>
      <c r="O148" s="329">
        <v>531</v>
      </c>
      <c r="P148" s="329">
        <v>378</v>
      </c>
      <c r="Q148" s="329">
        <v>909</v>
      </c>
      <c r="R148" s="329">
        <v>147</v>
      </c>
      <c r="S148" s="329">
        <v>149</v>
      </c>
      <c r="T148" s="329">
        <v>296</v>
      </c>
      <c r="U148" s="329">
        <v>0</v>
      </c>
      <c r="V148" s="329">
        <v>0</v>
      </c>
      <c r="W148" s="329">
        <v>0</v>
      </c>
      <c r="X148" s="330">
        <v>6446</v>
      </c>
      <c r="Y148" s="330">
        <v>4770</v>
      </c>
      <c r="Z148" s="330">
        <v>11216</v>
      </c>
    </row>
    <row r="149" spans="2:26" hidden="1" outlineLevel="1" x14ac:dyDescent="0.25">
      <c r="B149" s="304">
        <v>43466</v>
      </c>
      <c r="C149" s="329">
        <v>0</v>
      </c>
      <c r="D149" s="329">
        <v>0</v>
      </c>
      <c r="E149" s="329">
        <v>0</v>
      </c>
      <c r="F149" s="329">
        <v>0</v>
      </c>
      <c r="G149" s="329">
        <v>0</v>
      </c>
      <c r="H149" s="329">
        <v>0</v>
      </c>
      <c r="I149" s="329">
        <v>1881</v>
      </c>
      <c r="J149" s="329">
        <v>606</v>
      </c>
      <c r="K149" s="329">
        <v>2487</v>
      </c>
      <c r="L149" s="329">
        <v>4979</v>
      </c>
      <c r="M149" s="329">
        <v>4286</v>
      </c>
      <c r="N149" s="329">
        <v>9265</v>
      </c>
      <c r="O149" s="329">
        <v>573</v>
      </c>
      <c r="P149" s="329">
        <v>381</v>
      </c>
      <c r="Q149" s="329">
        <v>954</v>
      </c>
      <c r="R149" s="329">
        <v>246</v>
      </c>
      <c r="S149" s="329">
        <v>272</v>
      </c>
      <c r="T149" s="329">
        <v>518</v>
      </c>
      <c r="U149" s="329">
        <v>0</v>
      </c>
      <c r="V149" s="329">
        <v>0</v>
      </c>
      <c r="W149" s="329">
        <v>0</v>
      </c>
      <c r="X149" s="330">
        <v>7679</v>
      </c>
      <c r="Y149" s="330">
        <v>5545</v>
      </c>
      <c r="Z149" s="330">
        <v>13224</v>
      </c>
    </row>
    <row r="150" spans="2:26" hidden="1" outlineLevel="1" x14ac:dyDescent="0.25">
      <c r="B150" s="304">
        <v>43497</v>
      </c>
      <c r="C150" s="329">
        <v>0</v>
      </c>
      <c r="D150" s="329">
        <v>0</v>
      </c>
      <c r="E150" s="329">
        <v>0</v>
      </c>
      <c r="F150" s="329">
        <v>0</v>
      </c>
      <c r="G150" s="329">
        <v>0</v>
      </c>
      <c r="H150" s="329">
        <v>0</v>
      </c>
      <c r="I150" s="329">
        <v>1474</v>
      </c>
      <c r="J150" s="329">
        <v>488</v>
      </c>
      <c r="K150" s="329">
        <v>1962</v>
      </c>
      <c r="L150" s="329">
        <v>4129</v>
      </c>
      <c r="M150" s="329">
        <v>3658</v>
      </c>
      <c r="N150" s="329">
        <v>7787</v>
      </c>
      <c r="O150" s="329">
        <v>499</v>
      </c>
      <c r="P150" s="329">
        <v>344</v>
      </c>
      <c r="Q150" s="329">
        <v>843</v>
      </c>
      <c r="R150" s="329">
        <v>348</v>
      </c>
      <c r="S150" s="329">
        <v>298</v>
      </c>
      <c r="T150" s="329">
        <v>646</v>
      </c>
      <c r="U150" s="329">
        <v>0</v>
      </c>
      <c r="V150" s="329">
        <v>0</v>
      </c>
      <c r="W150" s="329">
        <v>0</v>
      </c>
      <c r="X150" s="330">
        <v>6450</v>
      </c>
      <c r="Y150" s="330">
        <v>4788</v>
      </c>
      <c r="Z150" s="330">
        <v>11238</v>
      </c>
    </row>
    <row r="151" spans="2:26" hidden="1" outlineLevel="1" x14ac:dyDescent="0.25">
      <c r="B151" s="304">
        <v>43525</v>
      </c>
      <c r="C151" s="329">
        <v>0</v>
      </c>
      <c r="D151" s="329">
        <v>0</v>
      </c>
      <c r="E151" s="329">
        <v>0</v>
      </c>
      <c r="F151" s="329">
        <v>0</v>
      </c>
      <c r="G151" s="329">
        <v>0</v>
      </c>
      <c r="H151" s="329">
        <v>0</v>
      </c>
      <c r="I151" s="329">
        <v>1653</v>
      </c>
      <c r="J151" s="329">
        <v>571</v>
      </c>
      <c r="K151" s="329">
        <v>2224</v>
      </c>
      <c r="L151" s="329">
        <v>4515</v>
      </c>
      <c r="M151" s="329">
        <v>3964</v>
      </c>
      <c r="N151" s="329">
        <v>8479</v>
      </c>
      <c r="O151" s="329">
        <v>597</v>
      </c>
      <c r="P151" s="329">
        <v>367</v>
      </c>
      <c r="Q151" s="329">
        <v>964</v>
      </c>
      <c r="R151" s="329">
        <v>302</v>
      </c>
      <c r="S151" s="329">
        <v>297</v>
      </c>
      <c r="T151" s="329">
        <v>599</v>
      </c>
      <c r="U151" s="329">
        <v>0</v>
      </c>
      <c r="V151" s="329">
        <v>0</v>
      </c>
      <c r="W151" s="329">
        <v>0</v>
      </c>
      <c r="X151" s="330">
        <v>7067</v>
      </c>
      <c r="Y151" s="330">
        <v>5199</v>
      </c>
      <c r="Z151" s="330">
        <v>12266</v>
      </c>
    </row>
    <row r="152" spans="2:26" hidden="1" outlineLevel="1" x14ac:dyDescent="0.25">
      <c r="B152" s="304">
        <v>43556</v>
      </c>
      <c r="C152" s="329">
        <v>0</v>
      </c>
      <c r="D152" s="329">
        <v>0</v>
      </c>
      <c r="E152" s="329">
        <v>0</v>
      </c>
      <c r="F152" s="329">
        <v>0</v>
      </c>
      <c r="G152" s="329">
        <v>0</v>
      </c>
      <c r="H152" s="329">
        <v>0</v>
      </c>
      <c r="I152" s="329">
        <v>1589</v>
      </c>
      <c r="J152" s="329">
        <v>545</v>
      </c>
      <c r="K152" s="329">
        <v>2134</v>
      </c>
      <c r="L152" s="329">
        <v>4369</v>
      </c>
      <c r="M152" s="329">
        <v>3936</v>
      </c>
      <c r="N152" s="329">
        <v>8305</v>
      </c>
      <c r="O152" s="329">
        <v>637</v>
      </c>
      <c r="P152" s="329">
        <v>352</v>
      </c>
      <c r="Q152" s="329">
        <v>989</v>
      </c>
      <c r="R152" s="329">
        <v>252</v>
      </c>
      <c r="S152" s="329">
        <v>287</v>
      </c>
      <c r="T152" s="329">
        <v>539</v>
      </c>
      <c r="U152" s="329">
        <v>0</v>
      </c>
      <c r="V152" s="329">
        <v>0</v>
      </c>
      <c r="W152" s="329">
        <v>0</v>
      </c>
      <c r="X152" s="330">
        <v>6847</v>
      </c>
      <c r="Y152" s="330">
        <v>5120</v>
      </c>
      <c r="Z152" s="330">
        <v>11967</v>
      </c>
    </row>
    <row r="153" spans="2:26" hidden="1" outlineLevel="1" x14ac:dyDescent="0.25">
      <c r="B153" s="304">
        <v>43586</v>
      </c>
      <c r="C153" s="329">
        <v>0</v>
      </c>
      <c r="D153" s="329">
        <v>0</v>
      </c>
      <c r="E153" s="329">
        <v>0</v>
      </c>
      <c r="F153" s="329">
        <v>0</v>
      </c>
      <c r="G153" s="329">
        <v>0</v>
      </c>
      <c r="H153" s="329">
        <v>0</v>
      </c>
      <c r="I153" s="329">
        <v>1643</v>
      </c>
      <c r="J153" s="329">
        <v>553</v>
      </c>
      <c r="K153" s="329">
        <v>2196</v>
      </c>
      <c r="L153" s="329">
        <v>4286</v>
      </c>
      <c r="M153" s="329">
        <v>4248</v>
      </c>
      <c r="N153" s="329">
        <v>8534</v>
      </c>
      <c r="O153" s="329">
        <v>525</v>
      </c>
      <c r="P153" s="329">
        <v>340</v>
      </c>
      <c r="Q153" s="329">
        <v>865</v>
      </c>
      <c r="R153" s="329">
        <v>215</v>
      </c>
      <c r="S153" s="329">
        <v>235</v>
      </c>
      <c r="T153" s="329">
        <v>450</v>
      </c>
      <c r="U153" s="329">
        <v>0</v>
      </c>
      <c r="V153" s="329">
        <v>0</v>
      </c>
      <c r="W153" s="329">
        <v>0</v>
      </c>
      <c r="X153" s="330">
        <v>6669</v>
      </c>
      <c r="Y153" s="330">
        <v>5376</v>
      </c>
      <c r="Z153" s="330">
        <v>12045</v>
      </c>
    </row>
    <row r="154" spans="2:26" hidden="1" outlineLevel="1" x14ac:dyDescent="0.25">
      <c r="B154" s="304">
        <v>43617</v>
      </c>
      <c r="C154" s="329">
        <v>0</v>
      </c>
      <c r="D154" s="329">
        <v>0</v>
      </c>
      <c r="E154" s="329">
        <v>0</v>
      </c>
      <c r="F154" s="329">
        <v>0</v>
      </c>
      <c r="G154" s="329">
        <v>0</v>
      </c>
      <c r="H154" s="329">
        <v>0</v>
      </c>
      <c r="I154" s="329">
        <v>1491</v>
      </c>
      <c r="J154" s="329">
        <v>488</v>
      </c>
      <c r="K154" s="329">
        <v>1979</v>
      </c>
      <c r="L154" s="329">
        <v>3727</v>
      </c>
      <c r="M154" s="329">
        <v>3552</v>
      </c>
      <c r="N154" s="329">
        <v>7279</v>
      </c>
      <c r="O154" s="329">
        <v>532</v>
      </c>
      <c r="P154" s="329">
        <v>393</v>
      </c>
      <c r="Q154" s="329">
        <v>925</v>
      </c>
      <c r="R154" s="329">
        <v>180</v>
      </c>
      <c r="S154" s="329">
        <v>185</v>
      </c>
      <c r="T154" s="329">
        <v>365</v>
      </c>
      <c r="U154" s="329">
        <v>0</v>
      </c>
      <c r="V154" s="329">
        <v>0</v>
      </c>
      <c r="W154" s="329">
        <v>0</v>
      </c>
      <c r="X154" s="330">
        <v>5930</v>
      </c>
      <c r="Y154" s="330">
        <v>4618</v>
      </c>
      <c r="Z154" s="330">
        <v>10548</v>
      </c>
    </row>
    <row r="155" spans="2:26" hidden="1" outlineLevel="1" x14ac:dyDescent="0.25">
      <c r="B155" s="304">
        <v>43647</v>
      </c>
      <c r="C155" s="329">
        <v>0</v>
      </c>
      <c r="D155" s="329">
        <v>0</v>
      </c>
      <c r="E155" s="329">
        <v>0</v>
      </c>
      <c r="F155" s="329">
        <v>0</v>
      </c>
      <c r="G155" s="329">
        <v>0</v>
      </c>
      <c r="H155" s="329">
        <v>0</v>
      </c>
      <c r="I155" s="329">
        <v>1782</v>
      </c>
      <c r="J155" s="329">
        <v>573</v>
      </c>
      <c r="K155" s="329">
        <v>2355</v>
      </c>
      <c r="L155" s="329">
        <v>4872</v>
      </c>
      <c r="M155" s="329">
        <v>4418</v>
      </c>
      <c r="N155" s="329">
        <v>9290</v>
      </c>
      <c r="O155" s="329">
        <v>636</v>
      </c>
      <c r="P155" s="329">
        <v>393</v>
      </c>
      <c r="Q155" s="329">
        <v>1029</v>
      </c>
      <c r="R155" s="329">
        <v>222</v>
      </c>
      <c r="S155" s="329">
        <v>226</v>
      </c>
      <c r="T155" s="329">
        <v>448</v>
      </c>
      <c r="U155" s="329">
        <v>0</v>
      </c>
      <c r="V155" s="329">
        <v>0</v>
      </c>
      <c r="W155" s="329">
        <v>0</v>
      </c>
      <c r="X155" s="330">
        <v>7512</v>
      </c>
      <c r="Y155" s="330">
        <v>5610</v>
      </c>
      <c r="Z155" s="330">
        <v>13122</v>
      </c>
    </row>
    <row r="156" spans="2:26" hidden="1" outlineLevel="1" x14ac:dyDescent="0.25">
      <c r="B156" s="304">
        <v>43678</v>
      </c>
      <c r="C156" s="329">
        <v>0</v>
      </c>
      <c r="D156" s="329">
        <v>0</v>
      </c>
      <c r="E156" s="329">
        <v>0</v>
      </c>
      <c r="F156" s="329">
        <v>0</v>
      </c>
      <c r="G156" s="329">
        <v>0</v>
      </c>
      <c r="H156" s="329">
        <v>0</v>
      </c>
      <c r="I156" s="329">
        <v>1783</v>
      </c>
      <c r="J156" s="329">
        <v>529</v>
      </c>
      <c r="K156" s="329">
        <v>2312</v>
      </c>
      <c r="L156" s="329">
        <v>4660</v>
      </c>
      <c r="M156" s="329">
        <v>4045</v>
      </c>
      <c r="N156" s="329">
        <v>8705</v>
      </c>
      <c r="O156" s="329">
        <v>597</v>
      </c>
      <c r="P156" s="329">
        <v>362</v>
      </c>
      <c r="Q156" s="329">
        <v>959</v>
      </c>
      <c r="R156" s="329">
        <v>189</v>
      </c>
      <c r="S156" s="329">
        <v>199</v>
      </c>
      <c r="T156" s="329">
        <v>388</v>
      </c>
      <c r="U156" s="329">
        <v>0</v>
      </c>
      <c r="V156" s="329">
        <v>0</v>
      </c>
      <c r="W156" s="329">
        <v>0</v>
      </c>
      <c r="X156" s="330">
        <v>7229</v>
      </c>
      <c r="Y156" s="330">
        <v>5135</v>
      </c>
      <c r="Z156" s="330">
        <v>12364</v>
      </c>
    </row>
    <row r="157" spans="2:26" hidden="1" outlineLevel="1" x14ac:dyDescent="0.25">
      <c r="B157" s="304">
        <v>43709</v>
      </c>
      <c r="C157" s="329">
        <v>0</v>
      </c>
      <c r="D157" s="329">
        <v>0</v>
      </c>
      <c r="E157" s="329">
        <v>0</v>
      </c>
      <c r="F157" s="329">
        <v>0</v>
      </c>
      <c r="G157" s="329">
        <v>0</v>
      </c>
      <c r="H157" s="329">
        <v>0</v>
      </c>
      <c r="I157" s="329">
        <v>1744</v>
      </c>
      <c r="J157" s="329">
        <v>500</v>
      </c>
      <c r="K157" s="329">
        <v>2244</v>
      </c>
      <c r="L157" s="329">
        <v>4286</v>
      </c>
      <c r="M157" s="329">
        <v>3657</v>
      </c>
      <c r="N157" s="329">
        <v>7943</v>
      </c>
      <c r="O157" s="329">
        <v>453</v>
      </c>
      <c r="P157" s="329">
        <v>328</v>
      </c>
      <c r="Q157" s="329">
        <v>781</v>
      </c>
      <c r="R157" s="329">
        <v>197</v>
      </c>
      <c r="S157" s="329">
        <v>225</v>
      </c>
      <c r="T157" s="329">
        <v>422</v>
      </c>
      <c r="U157" s="329">
        <v>0</v>
      </c>
      <c r="V157" s="329">
        <v>0</v>
      </c>
      <c r="W157" s="329">
        <v>0</v>
      </c>
      <c r="X157" s="330">
        <v>6680</v>
      </c>
      <c r="Y157" s="330">
        <v>4710</v>
      </c>
      <c r="Z157" s="330">
        <v>11390</v>
      </c>
    </row>
    <row r="158" spans="2:26" hidden="1" outlineLevel="1" x14ac:dyDescent="0.25">
      <c r="B158" s="304">
        <v>43739</v>
      </c>
      <c r="C158" s="329">
        <v>0</v>
      </c>
      <c r="D158" s="329">
        <v>0</v>
      </c>
      <c r="E158" s="329">
        <v>0</v>
      </c>
      <c r="F158" s="329">
        <v>0</v>
      </c>
      <c r="G158" s="329">
        <v>0</v>
      </c>
      <c r="H158" s="329">
        <v>0</v>
      </c>
      <c r="I158" s="329">
        <v>1670</v>
      </c>
      <c r="J158" s="329">
        <v>488</v>
      </c>
      <c r="K158" s="329">
        <v>2158</v>
      </c>
      <c r="L158" s="329">
        <v>3924</v>
      </c>
      <c r="M158" s="329">
        <v>3177</v>
      </c>
      <c r="N158" s="329">
        <v>7101</v>
      </c>
      <c r="O158" s="329">
        <v>472</v>
      </c>
      <c r="P158" s="329">
        <v>261</v>
      </c>
      <c r="Q158" s="329">
        <v>733</v>
      </c>
      <c r="R158" s="329">
        <v>169</v>
      </c>
      <c r="S158" s="329">
        <v>167</v>
      </c>
      <c r="T158" s="329">
        <v>336</v>
      </c>
      <c r="U158" s="329">
        <v>0</v>
      </c>
      <c r="V158" s="329">
        <v>0</v>
      </c>
      <c r="W158" s="329">
        <v>0</v>
      </c>
      <c r="X158" s="330">
        <v>6235</v>
      </c>
      <c r="Y158" s="330">
        <v>4093</v>
      </c>
      <c r="Z158" s="330">
        <v>10328</v>
      </c>
    </row>
    <row r="159" spans="2:26" hidden="1" outlineLevel="1" x14ac:dyDescent="0.25">
      <c r="B159" s="304">
        <v>43770</v>
      </c>
      <c r="C159" s="329">
        <v>0</v>
      </c>
      <c r="D159" s="329">
        <v>0</v>
      </c>
      <c r="E159" s="329">
        <v>0</v>
      </c>
      <c r="F159" s="329">
        <v>0</v>
      </c>
      <c r="G159" s="329">
        <v>0</v>
      </c>
      <c r="H159" s="329">
        <v>0</v>
      </c>
      <c r="I159" s="329">
        <v>1552</v>
      </c>
      <c r="J159" s="329">
        <v>544</v>
      </c>
      <c r="K159" s="329">
        <v>2096</v>
      </c>
      <c r="L159" s="329">
        <v>3985</v>
      </c>
      <c r="M159" s="329">
        <v>3242</v>
      </c>
      <c r="N159" s="329">
        <v>7227</v>
      </c>
      <c r="O159" s="329">
        <v>440</v>
      </c>
      <c r="P159" s="329">
        <v>253</v>
      </c>
      <c r="Q159" s="329">
        <v>693</v>
      </c>
      <c r="R159" s="329">
        <v>181</v>
      </c>
      <c r="S159" s="329">
        <v>180</v>
      </c>
      <c r="T159" s="329">
        <v>361</v>
      </c>
      <c r="U159" s="329">
        <v>0</v>
      </c>
      <c r="V159" s="329">
        <v>0</v>
      </c>
      <c r="W159" s="329">
        <v>0</v>
      </c>
      <c r="X159" s="330">
        <v>6158</v>
      </c>
      <c r="Y159" s="330">
        <v>4219</v>
      </c>
      <c r="Z159" s="330">
        <v>10377</v>
      </c>
    </row>
    <row r="160" spans="2:26" collapsed="1" x14ac:dyDescent="0.25">
      <c r="B160" s="304">
        <v>43800</v>
      </c>
      <c r="C160" s="329">
        <v>0</v>
      </c>
      <c r="D160" s="329">
        <v>0</v>
      </c>
      <c r="E160" s="329">
        <v>0</v>
      </c>
      <c r="F160" s="329">
        <v>0</v>
      </c>
      <c r="G160" s="329">
        <v>0</v>
      </c>
      <c r="H160" s="329">
        <v>0</v>
      </c>
      <c r="I160" s="329">
        <v>2003</v>
      </c>
      <c r="J160" s="329">
        <v>606</v>
      </c>
      <c r="K160" s="329">
        <v>2609</v>
      </c>
      <c r="L160" s="329">
        <v>6326</v>
      </c>
      <c r="M160" s="329">
        <v>5781</v>
      </c>
      <c r="N160" s="329">
        <v>12107</v>
      </c>
      <c r="O160" s="329">
        <v>668</v>
      </c>
      <c r="P160" s="329">
        <v>399</v>
      </c>
      <c r="Q160" s="329">
        <v>1067</v>
      </c>
      <c r="R160" s="329">
        <v>256</v>
      </c>
      <c r="S160" s="329">
        <v>301</v>
      </c>
      <c r="T160" s="329">
        <v>557</v>
      </c>
      <c r="U160" s="329">
        <v>0</v>
      </c>
      <c r="V160" s="329">
        <v>0</v>
      </c>
      <c r="W160" s="329">
        <v>0</v>
      </c>
      <c r="X160" s="330">
        <v>9253</v>
      </c>
      <c r="Y160" s="330">
        <v>7087</v>
      </c>
      <c r="Z160" s="330">
        <v>16340</v>
      </c>
    </row>
    <row r="161" spans="2:26" hidden="1" outlineLevel="1" x14ac:dyDescent="0.25">
      <c r="B161" s="304">
        <v>43831</v>
      </c>
      <c r="C161" s="329">
        <v>0</v>
      </c>
      <c r="D161" s="329">
        <v>0</v>
      </c>
      <c r="E161" s="329">
        <v>0</v>
      </c>
      <c r="F161" s="329">
        <v>0</v>
      </c>
      <c r="G161" s="329">
        <v>0</v>
      </c>
      <c r="H161" s="329">
        <v>0</v>
      </c>
      <c r="I161" s="329">
        <v>2040</v>
      </c>
      <c r="J161" s="329">
        <v>641</v>
      </c>
      <c r="K161" s="329">
        <v>2681</v>
      </c>
      <c r="L161" s="329">
        <v>8906</v>
      </c>
      <c r="M161" s="329">
        <v>9035</v>
      </c>
      <c r="N161" s="329">
        <v>17941</v>
      </c>
      <c r="O161" s="329">
        <v>670</v>
      </c>
      <c r="P161" s="329">
        <v>439</v>
      </c>
      <c r="Q161" s="329">
        <v>1109</v>
      </c>
      <c r="R161" s="329">
        <v>333</v>
      </c>
      <c r="S161" s="329">
        <v>331</v>
      </c>
      <c r="T161" s="329">
        <v>664</v>
      </c>
      <c r="U161" s="329">
        <v>0</v>
      </c>
      <c r="V161" s="329">
        <v>0</v>
      </c>
      <c r="W161" s="329">
        <v>0</v>
      </c>
      <c r="X161" s="330">
        <v>11949</v>
      </c>
      <c r="Y161" s="330">
        <v>10446</v>
      </c>
      <c r="Z161" s="330">
        <v>22395</v>
      </c>
    </row>
    <row r="162" spans="2:26" hidden="1" outlineLevel="1" x14ac:dyDescent="0.25">
      <c r="B162" s="304">
        <v>43862</v>
      </c>
      <c r="C162" s="329">
        <v>0</v>
      </c>
      <c r="D162" s="329">
        <v>0</v>
      </c>
      <c r="E162" s="329">
        <v>0</v>
      </c>
      <c r="F162" s="329">
        <v>0</v>
      </c>
      <c r="G162" s="329">
        <v>0</v>
      </c>
      <c r="H162" s="329">
        <v>0</v>
      </c>
      <c r="I162" s="329">
        <v>1657</v>
      </c>
      <c r="J162" s="329">
        <v>542</v>
      </c>
      <c r="K162" s="329">
        <v>2199</v>
      </c>
      <c r="L162" s="329">
        <v>10944</v>
      </c>
      <c r="M162" s="329">
        <v>10429</v>
      </c>
      <c r="N162" s="329">
        <v>21373</v>
      </c>
      <c r="O162" s="329">
        <v>618</v>
      </c>
      <c r="P162" s="329">
        <v>393</v>
      </c>
      <c r="Q162" s="329">
        <v>1011</v>
      </c>
      <c r="R162" s="329">
        <v>360</v>
      </c>
      <c r="S162" s="329">
        <v>430</v>
      </c>
      <c r="T162" s="329">
        <v>790</v>
      </c>
      <c r="U162" s="329">
        <v>0</v>
      </c>
      <c r="V162" s="329">
        <v>0</v>
      </c>
      <c r="W162" s="329">
        <v>0</v>
      </c>
      <c r="X162" s="330">
        <v>13579</v>
      </c>
      <c r="Y162" s="330">
        <v>11794</v>
      </c>
      <c r="Z162" s="330">
        <v>25373</v>
      </c>
    </row>
    <row r="163" spans="2:26" hidden="1" outlineLevel="1" x14ac:dyDescent="0.25">
      <c r="B163" s="304">
        <v>43891</v>
      </c>
      <c r="C163" s="329">
        <v>0</v>
      </c>
      <c r="D163" s="329">
        <v>0</v>
      </c>
      <c r="E163" s="329">
        <v>0</v>
      </c>
      <c r="F163" s="329">
        <v>0</v>
      </c>
      <c r="G163" s="329">
        <v>0</v>
      </c>
      <c r="H163" s="329">
        <v>0</v>
      </c>
      <c r="I163" s="329">
        <v>1342</v>
      </c>
      <c r="J163" s="329">
        <v>454</v>
      </c>
      <c r="K163" s="329">
        <v>1796</v>
      </c>
      <c r="L163" s="329">
        <v>5750</v>
      </c>
      <c r="M163" s="329">
        <v>5595</v>
      </c>
      <c r="N163" s="329">
        <v>11345</v>
      </c>
      <c r="O163" s="329">
        <v>418</v>
      </c>
      <c r="P163" s="329">
        <v>320</v>
      </c>
      <c r="Q163" s="329">
        <v>738</v>
      </c>
      <c r="R163" s="329">
        <v>237</v>
      </c>
      <c r="S163" s="329">
        <v>244</v>
      </c>
      <c r="T163" s="329">
        <v>481</v>
      </c>
      <c r="U163" s="329">
        <v>0</v>
      </c>
      <c r="V163" s="329">
        <v>0</v>
      </c>
      <c r="W163" s="329">
        <v>0</v>
      </c>
      <c r="X163" s="330">
        <v>7747</v>
      </c>
      <c r="Y163" s="330">
        <v>6613</v>
      </c>
      <c r="Z163" s="330">
        <v>14360</v>
      </c>
    </row>
    <row r="164" spans="2:26" hidden="1" outlineLevel="1" x14ac:dyDescent="0.25">
      <c r="B164" s="304">
        <v>43922</v>
      </c>
      <c r="C164" s="329">
        <v>0</v>
      </c>
      <c r="D164" s="329">
        <v>0</v>
      </c>
      <c r="E164" s="329">
        <v>0</v>
      </c>
      <c r="F164" s="329">
        <v>0</v>
      </c>
      <c r="G164" s="329">
        <v>0</v>
      </c>
      <c r="H164" s="329">
        <v>0</v>
      </c>
      <c r="I164" s="329">
        <v>937</v>
      </c>
      <c r="J164" s="329">
        <v>343</v>
      </c>
      <c r="K164" s="329">
        <v>1280</v>
      </c>
      <c r="L164" s="329">
        <v>3089</v>
      </c>
      <c r="M164" s="329">
        <v>3223</v>
      </c>
      <c r="N164" s="329">
        <v>6312</v>
      </c>
      <c r="O164" s="329">
        <v>229</v>
      </c>
      <c r="P164" s="329">
        <v>141</v>
      </c>
      <c r="Q164" s="329">
        <v>370</v>
      </c>
      <c r="R164" s="329">
        <v>220</v>
      </c>
      <c r="S164" s="329">
        <v>215</v>
      </c>
      <c r="T164" s="329">
        <v>435</v>
      </c>
      <c r="U164" s="329">
        <v>0</v>
      </c>
      <c r="V164" s="329">
        <v>0</v>
      </c>
      <c r="W164" s="329">
        <v>0</v>
      </c>
      <c r="X164" s="330">
        <v>4475</v>
      </c>
      <c r="Y164" s="330">
        <v>3922</v>
      </c>
      <c r="Z164" s="330">
        <v>8397</v>
      </c>
    </row>
    <row r="165" spans="2:26" hidden="1" outlineLevel="1" x14ac:dyDescent="0.25">
      <c r="B165" s="304">
        <v>43952</v>
      </c>
      <c r="C165" s="329">
        <v>0</v>
      </c>
      <c r="D165" s="329">
        <v>0</v>
      </c>
      <c r="E165" s="329">
        <v>0</v>
      </c>
      <c r="F165" s="329">
        <v>0</v>
      </c>
      <c r="G165" s="329">
        <v>0</v>
      </c>
      <c r="H165" s="329">
        <v>0</v>
      </c>
      <c r="I165" s="329">
        <v>1434</v>
      </c>
      <c r="J165" s="329">
        <v>436</v>
      </c>
      <c r="K165" s="329">
        <v>1870</v>
      </c>
      <c r="L165" s="329">
        <v>4805</v>
      </c>
      <c r="M165" s="329">
        <v>5269</v>
      </c>
      <c r="N165" s="329">
        <v>10074</v>
      </c>
      <c r="O165" s="329">
        <v>383</v>
      </c>
      <c r="P165" s="329">
        <v>218</v>
      </c>
      <c r="Q165" s="329">
        <v>601</v>
      </c>
      <c r="R165" s="329">
        <v>359</v>
      </c>
      <c r="S165" s="329">
        <v>331</v>
      </c>
      <c r="T165" s="329">
        <v>690</v>
      </c>
      <c r="U165" s="329">
        <v>0</v>
      </c>
      <c r="V165" s="329">
        <v>0</v>
      </c>
      <c r="W165" s="329">
        <v>0</v>
      </c>
      <c r="X165" s="330">
        <v>6981</v>
      </c>
      <c r="Y165" s="330">
        <v>6254</v>
      </c>
      <c r="Z165" s="330">
        <v>13235</v>
      </c>
    </row>
    <row r="166" spans="2:26" hidden="1" outlineLevel="1" x14ac:dyDescent="0.25">
      <c r="B166" s="304">
        <v>43983</v>
      </c>
      <c r="C166" s="329">
        <v>0</v>
      </c>
      <c r="D166" s="329">
        <v>0</v>
      </c>
      <c r="E166" s="329">
        <v>0</v>
      </c>
      <c r="F166" s="329">
        <v>0</v>
      </c>
      <c r="G166" s="329">
        <v>0</v>
      </c>
      <c r="H166" s="329">
        <v>0</v>
      </c>
      <c r="I166" s="329">
        <v>1305</v>
      </c>
      <c r="J166" s="329">
        <v>434</v>
      </c>
      <c r="K166" s="329">
        <v>1739</v>
      </c>
      <c r="L166" s="329">
        <v>4281</v>
      </c>
      <c r="M166" s="329">
        <v>4405</v>
      </c>
      <c r="N166" s="329">
        <v>8686</v>
      </c>
      <c r="O166" s="329">
        <v>329</v>
      </c>
      <c r="P166" s="329">
        <v>221</v>
      </c>
      <c r="Q166" s="329">
        <v>550</v>
      </c>
      <c r="R166" s="329">
        <v>291</v>
      </c>
      <c r="S166" s="329">
        <v>316</v>
      </c>
      <c r="T166" s="329">
        <v>607</v>
      </c>
      <c r="U166" s="329">
        <v>0</v>
      </c>
      <c r="V166" s="329">
        <v>0</v>
      </c>
      <c r="W166" s="329">
        <v>0</v>
      </c>
      <c r="X166" s="330">
        <v>6206</v>
      </c>
      <c r="Y166" s="330">
        <v>5376</v>
      </c>
      <c r="Z166" s="330">
        <v>11582</v>
      </c>
    </row>
    <row r="167" spans="2:26" hidden="1" outlineLevel="1" x14ac:dyDescent="0.25">
      <c r="B167" s="304">
        <v>44013</v>
      </c>
      <c r="C167" s="329">
        <v>0</v>
      </c>
      <c r="D167" s="329">
        <v>0</v>
      </c>
      <c r="E167" s="329">
        <v>0</v>
      </c>
      <c r="F167" s="329">
        <v>0</v>
      </c>
      <c r="G167" s="329">
        <v>0</v>
      </c>
      <c r="H167" s="329">
        <v>0</v>
      </c>
      <c r="I167" s="329">
        <v>1914</v>
      </c>
      <c r="J167" s="329">
        <v>613</v>
      </c>
      <c r="K167" s="329">
        <v>2527</v>
      </c>
      <c r="L167" s="329">
        <v>5509</v>
      </c>
      <c r="M167" s="329">
        <v>4762</v>
      </c>
      <c r="N167" s="329">
        <v>10271</v>
      </c>
      <c r="O167" s="329">
        <v>378</v>
      </c>
      <c r="P167" s="329">
        <v>271</v>
      </c>
      <c r="Q167" s="329">
        <v>649</v>
      </c>
      <c r="R167" s="329">
        <v>229</v>
      </c>
      <c r="S167" s="329">
        <v>268</v>
      </c>
      <c r="T167" s="329">
        <v>497</v>
      </c>
      <c r="U167" s="329">
        <v>0</v>
      </c>
      <c r="V167" s="329">
        <v>0</v>
      </c>
      <c r="W167" s="329">
        <v>0</v>
      </c>
      <c r="X167" s="330">
        <v>8030</v>
      </c>
      <c r="Y167" s="330">
        <v>5914</v>
      </c>
      <c r="Z167" s="330">
        <v>13944</v>
      </c>
    </row>
    <row r="168" spans="2:26" hidden="1" outlineLevel="1" x14ac:dyDescent="0.25">
      <c r="B168" s="304">
        <v>44044</v>
      </c>
      <c r="C168" s="329">
        <v>0</v>
      </c>
      <c r="D168" s="329">
        <v>0</v>
      </c>
      <c r="E168" s="329">
        <v>0</v>
      </c>
      <c r="F168" s="329">
        <v>0</v>
      </c>
      <c r="G168" s="329">
        <v>0</v>
      </c>
      <c r="H168" s="329">
        <v>0</v>
      </c>
      <c r="I168" s="329">
        <v>2049</v>
      </c>
      <c r="J168" s="329">
        <v>662</v>
      </c>
      <c r="K168" s="329">
        <v>2711</v>
      </c>
      <c r="L168" s="329">
        <v>6887</v>
      </c>
      <c r="M168" s="329">
        <v>6199</v>
      </c>
      <c r="N168" s="329">
        <v>13086</v>
      </c>
      <c r="O168" s="329">
        <v>471</v>
      </c>
      <c r="P168" s="329">
        <v>320</v>
      </c>
      <c r="Q168" s="329">
        <v>791</v>
      </c>
      <c r="R168" s="329">
        <v>277</v>
      </c>
      <c r="S168" s="329">
        <v>316</v>
      </c>
      <c r="T168" s="329">
        <v>593</v>
      </c>
      <c r="U168" s="329">
        <v>0</v>
      </c>
      <c r="V168" s="329">
        <v>0</v>
      </c>
      <c r="W168" s="329">
        <v>0</v>
      </c>
      <c r="X168" s="330">
        <v>9684</v>
      </c>
      <c r="Y168" s="330">
        <v>7497</v>
      </c>
      <c r="Z168" s="330">
        <v>17181</v>
      </c>
    </row>
    <row r="169" spans="2:26" hidden="1" outlineLevel="1" x14ac:dyDescent="0.25">
      <c r="B169" s="304">
        <v>44075</v>
      </c>
      <c r="C169" s="329">
        <v>0</v>
      </c>
      <c r="D169" s="329">
        <v>0</v>
      </c>
      <c r="E169" s="329">
        <v>0</v>
      </c>
      <c r="F169" s="329">
        <v>0</v>
      </c>
      <c r="G169" s="329">
        <v>0</v>
      </c>
      <c r="H169" s="329">
        <v>0</v>
      </c>
      <c r="I169" s="329">
        <v>2067</v>
      </c>
      <c r="J169" s="329">
        <v>589</v>
      </c>
      <c r="K169" s="329">
        <v>2656</v>
      </c>
      <c r="L169" s="329">
        <v>7180</v>
      </c>
      <c r="M169" s="329">
        <v>5679</v>
      </c>
      <c r="N169" s="329">
        <v>12859</v>
      </c>
      <c r="O169" s="329">
        <v>502</v>
      </c>
      <c r="P169" s="329">
        <v>414</v>
      </c>
      <c r="Q169" s="329">
        <v>916</v>
      </c>
      <c r="R169" s="329">
        <v>306</v>
      </c>
      <c r="S169" s="329">
        <v>364</v>
      </c>
      <c r="T169" s="329">
        <v>670</v>
      </c>
      <c r="U169" s="329">
        <v>0</v>
      </c>
      <c r="V169" s="329">
        <v>0</v>
      </c>
      <c r="W169" s="329">
        <v>0</v>
      </c>
      <c r="X169" s="330">
        <v>10055</v>
      </c>
      <c r="Y169" s="330">
        <v>7046</v>
      </c>
      <c r="Z169" s="330">
        <v>17101</v>
      </c>
    </row>
    <row r="170" spans="2:26" hidden="1" outlineLevel="1" x14ac:dyDescent="0.25">
      <c r="B170" s="304">
        <v>44105</v>
      </c>
      <c r="C170" s="329">
        <v>0</v>
      </c>
      <c r="D170" s="329">
        <v>0</v>
      </c>
      <c r="E170" s="329">
        <v>0</v>
      </c>
      <c r="F170" s="329">
        <v>0</v>
      </c>
      <c r="G170" s="329">
        <v>0</v>
      </c>
      <c r="H170" s="329">
        <v>0</v>
      </c>
      <c r="I170" s="329">
        <v>2137</v>
      </c>
      <c r="J170" s="329">
        <v>710</v>
      </c>
      <c r="K170" s="329">
        <v>2847</v>
      </c>
      <c r="L170" s="329">
        <v>7858</v>
      </c>
      <c r="M170" s="329">
        <v>6105</v>
      </c>
      <c r="N170" s="329">
        <v>13963</v>
      </c>
      <c r="O170" s="329">
        <v>672</v>
      </c>
      <c r="P170" s="329">
        <v>475</v>
      </c>
      <c r="Q170" s="329">
        <v>1147</v>
      </c>
      <c r="R170" s="329">
        <v>321</v>
      </c>
      <c r="S170" s="329">
        <v>441</v>
      </c>
      <c r="T170" s="329">
        <v>762</v>
      </c>
      <c r="U170" s="329">
        <v>0</v>
      </c>
      <c r="V170" s="329">
        <v>0</v>
      </c>
      <c r="W170" s="329">
        <v>0</v>
      </c>
      <c r="X170" s="330">
        <v>10988</v>
      </c>
      <c r="Y170" s="330">
        <v>7731</v>
      </c>
      <c r="Z170" s="330">
        <v>18719</v>
      </c>
    </row>
    <row r="171" spans="2:26" hidden="1" outlineLevel="1" x14ac:dyDescent="0.25">
      <c r="B171" s="304">
        <v>44136</v>
      </c>
      <c r="C171" s="329">
        <v>0</v>
      </c>
      <c r="D171" s="329">
        <v>0</v>
      </c>
      <c r="E171" s="329">
        <v>0</v>
      </c>
      <c r="F171" s="329">
        <v>0</v>
      </c>
      <c r="G171" s="329">
        <v>0</v>
      </c>
      <c r="H171" s="329">
        <v>0</v>
      </c>
      <c r="I171" s="329">
        <v>1881</v>
      </c>
      <c r="J171" s="329">
        <v>649</v>
      </c>
      <c r="K171" s="329">
        <v>2530</v>
      </c>
      <c r="L171" s="329">
        <v>6960</v>
      </c>
      <c r="M171" s="329">
        <v>5617</v>
      </c>
      <c r="N171" s="329">
        <v>12577</v>
      </c>
      <c r="O171" s="329">
        <v>557</v>
      </c>
      <c r="P171" s="329">
        <v>409</v>
      </c>
      <c r="Q171" s="329">
        <v>966</v>
      </c>
      <c r="R171" s="329">
        <v>240</v>
      </c>
      <c r="S171" s="329">
        <v>289</v>
      </c>
      <c r="T171" s="329">
        <v>529</v>
      </c>
      <c r="U171" s="329">
        <v>0</v>
      </c>
      <c r="V171" s="329">
        <v>0</v>
      </c>
      <c r="W171" s="329">
        <v>0</v>
      </c>
      <c r="X171" s="330">
        <v>9638</v>
      </c>
      <c r="Y171" s="330">
        <v>6964</v>
      </c>
      <c r="Z171" s="330">
        <v>16602</v>
      </c>
    </row>
    <row r="172" spans="2:26" collapsed="1" x14ac:dyDescent="0.25">
      <c r="B172" s="304">
        <v>44166</v>
      </c>
      <c r="C172" s="329">
        <v>0</v>
      </c>
      <c r="D172" s="329">
        <v>0</v>
      </c>
      <c r="E172" s="329">
        <v>0</v>
      </c>
      <c r="F172" s="329">
        <v>0</v>
      </c>
      <c r="G172" s="329">
        <v>0</v>
      </c>
      <c r="H172" s="329">
        <v>0</v>
      </c>
      <c r="I172" s="329">
        <v>1760</v>
      </c>
      <c r="J172" s="329">
        <v>532</v>
      </c>
      <c r="K172" s="329">
        <v>2292</v>
      </c>
      <c r="L172" s="329">
        <v>6020</v>
      </c>
      <c r="M172" s="329">
        <v>5110</v>
      </c>
      <c r="N172" s="329">
        <v>11130</v>
      </c>
      <c r="O172" s="329">
        <v>531</v>
      </c>
      <c r="P172" s="329">
        <v>414</v>
      </c>
      <c r="Q172" s="329">
        <v>945</v>
      </c>
      <c r="R172" s="329">
        <v>204</v>
      </c>
      <c r="S172" s="329">
        <v>233</v>
      </c>
      <c r="T172" s="329">
        <v>437</v>
      </c>
      <c r="U172" s="329">
        <v>0</v>
      </c>
      <c r="V172" s="329">
        <v>0</v>
      </c>
      <c r="W172" s="329">
        <v>0</v>
      </c>
      <c r="X172" s="330">
        <v>8515</v>
      </c>
      <c r="Y172" s="330">
        <v>6289</v>
      </c>
      <c r="Z172" s="330">
        <v>14804</v>
      </c>
    </row>
    <row r="173" spans="2:26" hidden="1" outlineLevel="1" x14ac:dyDescent="0.25">
      <c r="B173" s="304">
        <v>44197</v>
      </c>
      <c r="C173" s="329">
        <v>0</v>
      </c>
      <c r="D173" s="329">
        <v>0</v>
      </c>
      <c r="E173" s="329">
        <v>0</v>
      </c>
      <c r="F173" s="329">
        <v>0</v>
      </c>
      <c r="G173" s="329">
        <v>0</v>
      </c>
      <c r="H173" s="329">
        <v>0</v>
      </c>
      <c r="I173" s="329">
        <v>1713</v>
      </c>
      <c r="J173" s="329">
        <v>562</v>
      </c>
      <c r="K173" s="329">
        <v>2275</v>
      </c>
      <c r="L173" s="329">
        <v>6427</v>
      </c>
      <c r="M173" s="329">
        <v>4940</v>
      </c>
      <c r="N173" s="329">
        <v>11367</v>
      </c>
      <c r="O173" s="329">
        <v>673</v>
      </c>
      <c r="P173" s="329">
        <v>605</v>
      </c>
      <c r="Q173" s="329">
        <v>1278</v>
      </c>
      <c r="R173" s="329">
        <v>372</v>
      </c>
      <c r="S173" s="329">
        <v>493</v>
      </c>
      <c r="T173" s="329">
        <v>865</v>
      </c>
      <c r="U173" s="329">
        <v>0</v>
      </c>
      <c r="V173" s="329">
        <v>0</v>
      </c>
      <c r="W173" s="329">
        <v>0</v>
      </c>
      <c r="X173" s="330">
        <v>9185</v>
      </c>
      <c r="Y173" s="330">
        <v>6600</v>
      </c>
      <c r="Z173" s="330">
        <v>15785</v>
      </c>
    </row>
    <row r="174" spans="2:26" hidden="1" outlineLevel="1" x14ac:dyDescent="0.25">
      <c r="B174" s="304">
        <v>44228</v>
      </c>
      <c r="C174" s="329">
        <v>0</v>
      </c>
      <c r="D174" s="329">
        <v>0</v>
      </c>
      <c r="E174" s="329">
        <v>0</v>
      </c>
      <c r="F174" s="329">
        <v>0</v>
      </c>
      <c r="G174" s="329">
        <v>0</v>
      </c>
      <c r="H174" s="329">
        <v>0</v>
      </c>
      <c r="I174" s="329">
        <v>1538</v>
      </c>
      <c r="J174" s="329">
        <v>476</v>
      </c>
      <c r="K174" s="329">
        <v>2014</v>
      </c>
      <c r="L174" s="329">
        <v>5955</v>
      </c>
      <c r="M174" s="329">
        <v>4909</v>
      </c>
      <c r="N174" s="329">
        <v>10864</v>
      </c>
      <c r="O174" s="329">
        <v>577</v>
      </c>
      <c r="P174" s="329">
        <v>483</v>
      </c>
      <c r="Q174" s="329">
        <v>1060</v>
      </c>
      <c r="R174" s="329">
        <v>353</v>
      </c>
      <c r="S174" s="329">
        <v>440</v>
      </c>
      <c r="T174" s="329">
        <v>793</v>
      </c>
      <c r="U174" s="329">
        <v>0</v>
      </c>
      <c r="V174" s="329">
        <v>0</v>
      </c>
      <c r="W174" s="329">
        <v>0</v>
      </c>
      <c r="X174" s="330">
        <v>8423</v>
      </c>
      <c r="Y174" s="330">
        <v>6308</v>
      </c>
      <c r="Z174" s="330">
        <v>14731</v>
      </c>
    </row>
    <row r="175" spans="2:26" hidden="1" outlineLevel="1" x14ac:dyDescent="0.25">
      <c r="B175" s="304">
        <v>44256</v>
      </c>
      <c r="C175" s="329">
        <v>0</v>
      </c>
      <c r="D175" s="329">
        <v>0</v>
      </c>
      <c r="E175" s="329">
        <v>0</v>
      </c>
      <c r="F175" s="329">
        <v>0</v>
      </c>
      <c r="G175" s="329">
        <v>0</v>
      </c>
      <c r="H175" s="329">
        <v>0</v>
      </c>
      <c r="I175" s="329">
        <v>1712</v>
      </c>
      <c r="J175" s="329">
        <v>621</v>
      </c>
      <c r="K175" s="329">
        <v>2333</v>
      </c>
      <c r="L175" s="329">
        <v>6882</v>
      </c>
      <c r="M175" s="329">
        <v>6035</v>
      </c>
      <c r="N175" s="329">
        <v>12917</v>
      </c>
      <c r="O175" s="329">
        <v>667</v>
      </c>
      <c r="P175" s="329">
        <v>516</v>
      </c>
      <c r="Q175" s="329">
        <v>1183</v>
      </c>
      <c r="R175" s="329">
        <v>1165</v>
      </c>
      <c r="S175" s="329">
        <v>1562</v>
      </c>
      <c r="T175" s="329">
        <v>2727</v>
      </c>
      <c r="U175" s="329">
        <v>0</v>
      </c>
      <c r="V175" s="329">
        <v>0</v>
      </c>
      <c r="W175" s="329">
        <v>0</v>
      </c>
      <c r="X175" s="330">
        <v>10426</v>
      </c>
      <c r="Y175" s="330">
        <v>8734</v>
      </c>
      <c r="Z175" s="330">
        <v>19160</v>
      </c>
    </row>
    <row r="176" spans="2:26" hidden="1" outlineLevel="1" x14ac:dyDescent="0.25">
      <c r="B176" s="304">
        <v>44287</v>
      </c>
      <c r="C176" s="329">
        <v>0</v>
      </c>
      <c r="D176" s="329">
        <v>0</v>
      </c>
      <c r="E176" s="329">
        <v>0</v>
      </c>
      <c r="F176" s="329">
        <v>0</v>
      </c>
      <c r="G176" s="329">
        <v>0</v>
      </c>
      <c r="H176" s="329">
        <v>0</v>
      </c>
      <c r="I176" s="329">
        <v>1873</v>
      </c>
      <c r="J176" s="329">
        <v>639</v>
      </c>
      <c r="K176" s="329">
        <v>2512</v>
      </c>
      <c r="L176" s="329">
        <v>6529</v>
      </c>
      <c r="M176" s="329">
        <v>5358</v>
      </c>
      <c r="N176" s="329">
        <v>11887</v>
      </c>
      <c r="O176" s="329">
        <v>714</v>
      </c>
      <c r="P176" s="329">
        <v>510</v>
      </c>
      <c r="Q176" s="329">
        <v>1224</v>
      </c>
      <c r="R176" s="329">
        <v>1299</v>
      </c>
      <c r="S176" s="329">
        <v>1663</v>
      </c>
      <c r="T176" s="329">
        <v>2962</v>
      </c>
      <c r="U176" s="329">
        <v>0</v>
      </c>
      <c r="V176" s="329">
        <v>0</v>
      </c>
      <c r="W176" s="329">
        <v>0</v>
      </c>
      <c r="X176" s="330">
        <v>10415</v>
      </c>
      <c r="Y176" s="330">
        <v>8170</v>
      </c>
      <c r="Z176" s="330">
        <v>18585</v>
      </c>
    </row>
    <row r="177" spans="2:26" hidden="1" outlineLevel="1" x14ac:dyDescent="0.25">
      <c r="B177" s="304">
        <v>44317</v>
      </c>
      <c r="C177" s="329">
        <v>0</v>
      </c>
      <c r="D177" s="329">
        <v>0</v>
      </c>
      <c r="E177" s="329">
        <v>0</v>
      </c>
      <c r="F177" s="329">
        <v>0</v>
      </c>
      <c r="G177" s="329">
        <v>0</v>
      </c>
      <c r="H177" s="329">
        <v>0</v>
      </c>
      <c r="I177" s="329">
        <v>2051</v>
      </c>
      <c r="J177" s="329">
        <v>780</v>
      </c>
      <c r="K177" s="329">
        <v>2831</v>
      </c>
      <c r="L177" s="329">
        <v>6452</v>
      </c>
      <c r="M177" s="329">
        <v>5206</v>
      </c>
      <c r="N177" s="329">
        <v>11658</v>
      </c>
      <c r="O177" s="329">
        <v>778</v>
      </c>
      <c r="P177" s="329">
        <v>628</v>
      </c>
      <c r="Q177" s="329">
        <v>1406</v>
      </c>
      <c r="R177" s="329">
        <v>820</v>
      </c>
      <c r="S177" s="329">
        <v>1188</v>
      </c>
      <c r="T177" s="329">
        <v>2008</v>
      </c>
      <c r="U177" s="329">
        <v>0</v>
      </c>
      <c r="V177" s="329">
        <v>0</v>
      </c>
      <c r="W177" s="329">
        <v>0</v>
      </c>
      <c r="X177" s="330">
        <v>10101</v>
      </c>
      <c r="Y177" s="330">
        <v>7802</v>
      </c>
      <c r="Z177" s="330">
        <v>17903</v>
      </c>
    </row>
    <row r="178" spans="2:26" hidden="1" outlineLevel="1" x14ac:dyDescent="0.25">
      <c r="B178" s="304">
        <v>44348</v>
      </c>
      <c r="C178" s="329">
        <v>0</v>
      </c>
      <c r="D178" s="329">
        <v>0</v>
      </c>
      <c r="E178" s="329">
        <v>0</v>
      </c>
      <c r="F178" s="329">
        <v>0</v>
      </c>
      <c r="G178" s="329">
        <v>0</v>
      </c>
      <c r="H178" s="329">
        <v>0</v>
      </c>
      <c r="I178" s="329">
        <v>2152</v>
      </c>
      <c r="J178" s="329">
        <v>840</v>
      </c>
      <c r="K178" s="329">
        <v>2992</v>
      </c>
      <c r="L178" s="329">
        <v>6407</v>
      </c>
      <c r="M178" s="329">
        <v>5163</v>
      </c>
      <c r="N178" s="329">
        <v>11570</v>
      </c>
      <c r="O178" s="329">
        <v>742</v>
      </c>
      <c r="P178" s="329">
        <v>540</v>
      </c>
      <c r="Q178" s="329">
        <v>1282</v>
      </c>
      <c r="R178" s="329">
        <v>622</v>
      </c>
      <c r="S178" s="329">
        <v>959</v>
      </c>
      <c r="T178" s="329">
        <v>1581</v>
      </c>
      <c r="U178" s="329">
        <v>0</v>
      </c>
      <c r="V178" s="329">
        <v>0</v>
      </c>
      <c r="W178" s="329">
        <v>0</v>
      </c>
      <c r="X178" s="330">
        <v>9923</v>
      </c>
      <c r="Y178" s="330">
        <v>7502</v>
      </c>
      <c r="Z178" s="330">
        <v>17425</v>
      </c>
    </row>
    <row r="179" spans="2:26" hidden="1" outlineLevel="1" x14ac:dyDescent="0.25">
      <c r="B179" s="304">
        <v>44378</v>
      </c>
      <c r="C179" s="329">
        <v>0</v>
      </c>
      <c r="D179" s="329">
        <v>0</v>
      </c>
      <c r="E179" s="329">
        <v>0</v>
      </c>
      <c r="F179" s="329">
        <v>0</v>
      </c>
      <c r="G179" s="329">
        <v>0</v>
      </c>
      <c r="H179" s="329">
        <v>0</v>
      </c>
      <c r="I179" s="329">
        <v>2506</v>
      </c>
      <c r="J179" s="329">
        <v>1010</v>
      </c>
      <c r="K179" s="329">
        <v>3516</v>
      </c>
      <c r="L179" s="329">
        <v>7752</v>
      </c>
      <c r="M179" s="329">
        <v>6034</v>
      </c>
      <c r="N179" s="329">
        <v>13786</v>
      </c>
      <c r="O179" s="329">
        <v>827</v>
      </c>
      <c r="P179" s="329">
        <v>609</v>
      </c>
      <c r="Q179" s="329">
        <v>1436</v>
      </c>
      <c r="R179" s="329">
        <v>560</v>
      </c>
      <c r="S179" s="329">
        <v>911</v>
      </c>
      <c r="T179" s="329">
        <v>1471</v>
      </c>
      <c r="U179" s="329">
        <v>0</v>
      </c>
      <c r="V179" s="329">
        <v>0</v>
      </c>
      <c r="W179" s="329">
        <v>0</v>
      </c>
      <c r="X179" s="330">
        <v>11645</v>
      </c>
      <c r="Y179" s="330">
        <v>8564</v>
      </c>
      <c r="Z179" s="330">
        <v>20209</v>
      </c>
    </row>
    <row r="180" spans="2:26" hidden="1" outlineLevel="1" x14ac:dyDescent="0.25">
      <c r="B180" s="304">
        <v>44409</v>
      </c>
      <c r="C180" s="329">
        <v>0</v>
      </c>
      <c r="D180" s="329">
        <v>0</v>
      </c>
      <c r="E180" s="329">
        <v>0</v>
      </c>
      <c r="F180" s="329">
        <v>0</v>
      </c>
      <c r="G180" s="329">
        <v>0</v>
      </c>
      <c r="H180" s="329">
        <v>0</v>
      </c>
      <c r="I180" s="329">
        <v>2542</v>
      </c>
      <c r="J180" s="329">
        <v>1114</v>
      </c>
      <c r="K180" s="329">
        <v>3656</v>
      </c>
      <c r="L180" s="329">
        <v>8570</v>
      </c>
      <c r="M180" s="329">
        <v>7206</v>
      </c>
      <c r="N180" s="329">
        <v>15776</v>
      </c>
      <c r="O180" s="329">
        <v>910</v>
      </c>
      <c r="P180" s="329">
        <v>664</v>
      </c>
      <c r="Q180" s="329">
        <v>1574</v>
      </c>
      <c r="R180" s="329">
        <v>565</v>
      </c>
      <c r="S180" s="329">
        <v>842</v>
      </c>
      <c r="T180" s="329">
        <v>1407</v>
      </c>
      <c r="U180" s="329">
        <v>0</v>
      </c>
      <c r="V180" s="329">
        <v>0</v>
      </c>
      <c r="W180" s="329">
        <v>0</v>
      </c>
      <c r="X180" s="330">
        <v>12587</v>
      </c>
      <c r="Y180" s="330">
        <v>9826</v>
      </c>
      <c r="Z180" s="330">
        <v>22413</v>
      </c>
    </row>
    <row r="181" spans="2:26" hidden="1" outlineLevel="1" x14ac:dyDescent="0.25">
      <c r="B181" s="304">
        <v>44440</v>
      </c>
      <c r="C181" s="329">
        <v>0</v>
      </c>
      <c r="D181" s="329">
        <v>0</v>
      </c>
      <c r="E181" s="329">
        <v>0</v>
      </c>
      <c r="F181" s="329">
        <v>0</v>
      </c>
      <c r="G181" s="329">
        <v>0</v>
      </c>
      <c r="H181" s="329">
        <v>0</v>
      </c>
      <c r="I181" s="329">
        <v>2770</v>
      </c>
      <c r="J181" s="329">
        <v>1138</v>
      </c>
      <c r="K181" s="329">
        <v>3908</v>
      </c>
      <c r="L181" s="329">
        <v>9500</v>
      </c>
      <c r="M181" s="329">
        <v>7883</v>
      </c>
      <c r="N181" s="329">
        <v>17383</v>
      </c>
      <c r="O181" s="329">
        <v>823</v>
      </c>
      <c r="P181" s="329">
        <v>563</v>
      </c>
      <c r="Q181" s="329">
        <v>1386</v>
      </c>
      <c r="R181" s="329">
        <v>497</v>
      </c>
      <c r="S181" s="329">
        <v>768</v>
      </c>
      <c r="T181" s="329">
        <v>1265</v>
      </c>
      <c r="U181" s="329">
        <v>0</v>
      </c>
      <c r="V181" s="329">
        <v>0</v>
      </c>
      <c r="W181" s="329">
        <v>0</v>
      </c>
      <c r="X181" s="330">
        <v>13590</v>
      </c>
      <c r="Y181" s="330">
        <v>10352</v>
      </c>
      <c r="Z181" s="330">
        <v>23942</v>
      </c>
    </row>
    <row r="182" spans="2:26" hidden="1" outlineLevel="1" x14ac:dyDescent="0.25">
      <c r="B182" s="304">
        <v>44470</v>
      </c>
      <c r="C182" s="329">
        <v>0</v>
      </c>
      <c r="D182" s="329">
        <v>0</v>
      </c>
      <c r="E182" s="329">
        <v>0</v>
      </c>
      <c r="F182" s="329">
        <v>0</v>
      </c>
      <c r="G182" s="329">
        <v>0</v>
      </c>
      <c r="H182" s="329">
        <v>0</v>
      </c>
      <c r="I182" s="329">
        <v>2029</v>
      </c>
      <c r="J182" s="329">
        <v>882</v>
      </c>
      <c r="K182" s="329">
        <v>2911</v>
      </c>
      <c r="L182" s="329">
        <v>8512</v>
      </c>
      <c r="M182" s="329">
        <v>7020</v>
      </c>
      <c r="N182" s="329">
        <v>15532</v>
      </c>
      <c r="O182" s="329">
        <v>836</v>
      </c>
      <c r="P182" s="329">
        <v>551</v>
      </c>
      <c r="Q182" s="329">
        <v>1387</v>
      </c>
      <c r="R182" s="329">
        <v>483</v>
      </c>
      <c r="S182" s="329">
        <v>824</v>
      </c>
      <c r="T182" s="329">
        <v>1307</v>
      </c>
      <c r="U182" s="329">
        <v>0</v>
      </c>
      <c r="V182" s="329">
        <v>0</v>
      </c>
      <c r="W182" s="329">
        <v>0</v>
      </c>
      <c r="X182" s="330">
        <v>11860</v>
      </c>
      <c r="Y182" s="330">
        <v>9277</v>
      </c>
      <c r="Z182" s="330">
        <v>21137</v>
      </c>
    </row>
    <row r="183" spans="2:26" hidden="1" outlineLevel="1" x14ac:dyDescent="0.25">
      <c r="B183" s="304">
        <v>44501</v>
      </c>
      <c r="C183" s="329">
        <v>0</v>
      </c>
      <c r="D183" s="329">
        <v>0</v>
      </c>
      <c r="E183" s="329">
        <v>0</v>
      </c>
      <c r="F183" s="329">
        <v>0</v>
      </c>
      <c r="G183" s="329">
        <v>0</v>
      </c>
      <c r="H183" s="329">
        <v>0</v>
      </c>
      <c r="I183" s="329">
        <v>2424</v>
      </c>
      <c r="J183" s="329">
        <v>956</v>
      </c>
      <c r="K183" s="329">
        <v>3380</v>
      </c>
      <c r="L183" s="329">
        <v>9787</v>
      </c>
      <c r="M183" s="329">
        <v>7690</v>
      </c>
      <c r="N183" s="329">
        <v>17477</v>
      </c>
      <c r="O183" s="329">
        <v>918</v>
      </c>
      <c r="P183" s="329">
        <v>605</v>
      </c>
      <c r="Q183" s="329">
        <v>1523</v>
      </c>
      <c r="R183" s="329">
        <v>500</v>
      </c>
      <c r="S183" s="329">
        <v>856</v>
      </c>
      <c r="T183" s="329">
        <v>1356</v>
      </c>
      <c r="U183" s="329">
        <v>0</v>
      </c>
      <c r="V183" s="329">
        <v>0</v>
      </c>
      <c r="W183" s="329">
        <v>0</v>
      </c>
      <c r="X183" s="330">
        <v>13629</v>
      </c>
      <c r="Y183" s="330">
        <v>10107</v>
      </c>
      <c r="Z183" s="330">
        <v>23736</v>
      </c>
    </row>
    <row r="184" spans="2:26" collapsed="1" x14ac:dyDescent="0.25">
      <c r="B184" s="304">
        <v>44531</v>
      </c>
      <c r="C184" s="329">
        <v>0</v>
      </c>
      <c r="D184" s="329">
        <v>0</v>
      </c>
      <c r="E184" s="329">
        <v>0</v>
      </c>
      <c r="F184" s="329">
        <v>0</v>
      </c>
      <c r="G184" s="329">
        <v>0</v>
      </c>
      <c r="H184" s="329">
        <v>0</v>
      </c>
      <c r="I184" s="329">
        <v>2225</v>
      </c>
      <c r="J184" s="329">
        <v>957</v>
      </c>
      <c r="K184" s="329">
        <v>3182</v>
      </c>
      <c r="L184" s="329">
        <v>8590</v>
      </c>
      <c r="M184" s="329">
        <v>7659</v>
      </c>
      <c r="N184" s="329">
        <v>16249</v>
      </c>
      <c r="O184" s="329">
        <v>829</v>
      </c>
      <c r="P184" s="329">
        <v>529</v>
      </c>
      <c r="Q184" s="329">
        <v>1358</v>
      </c>
      <c r="R184" s="329">
        <v>536</v>
      </c>
      <c r="S184" s="329">
        <v>792</v>
      </c>
      <c r="T184" s="329">
        <v>1328</v>
      </c>
      <c r="U184" s="329">
        <v>0</v>
      </c>
      <c r="V184" s="329">
        <v>0</v>
      </c>
      <c r="W184" s="329">
        <v>0</v>
      </c>
      <c r="X184" s="330">
        <v>12180</v>
      </c>
      <c r="Y184" s="330">
        <v>9937</v>
      </c>
      <c r="Z184" s="330">
        <v>22117</v>
      </c>
    </row>
    <row r="185" spans="2:26" hidden="1" outlineLevel="1" x14ac:dyDescent="0.25">
      <c r="B185" s="304">
        <v>44562</v>
      </c>
      <c r="C185" s="329">
        <v>0</v>
      </c>
      <c r="D185" s="329">
        <v>0</v>
      </c>
      <c r="E185" s="329">
        <v>0</v>
      </c>
      <c r="F185" s="329">
        <v>0</v>
      </c>
      <c r="G185" s="329">
        <v>0</v>
      </c>
      <c r="H185" s="329">
        <v>0</v>
      </c>
      <c r="I185" s="329">
        <v>3339</v>
      </c>
      <c r="J185" s="329">
        <v>1198</v>
      </c>
      <c r="K185" s="329">
        <v>4537</v>
      </c>
      <c r="L185" s="329">
        <v>10920</v>
      </c>
      <c r="M185" s="329">
        <v>9752</v>
      </c>
      <c r="N185" s="329">
        <v>20672</v>
      </c>
      <c r="O185" s="329">
        <v>1061</v>
      </c>
      <c r="P185" s="329">
        <v>654</v>
      </c>
      <c r="Q185" s="329">
        <v>1715</v>
      </c>
      <c r="R185" s="329">
        <v>581</v>
      </c>
      <c r="S185" s="329">
        <v>805</v>
      </c>
      <c r="T185" s="329">
        <v>1386</v>
      </c>
      <c r="U185" s="329">
        <v>0</v>
      </c>
      <c r="V185" s="329">
        <v>0</v>
      </c>
      <c r="W185" s="329">
        <v>0</v>
      </c>
      <c r="X185" s="330">
        <v>15901</v>
      </c>
      <c r="Y185" s="330">
        <v>12409</v>
      </c>
      <c r="Z185" s="330">
        <v>28310</v>
      </c>
    </row>
    <row r="186" spans="2:26" hidden="1" outlineLevel="1" x14ac:dyDescent="0.25">
      <c r="B186" s="304">
        <v>44593</v>
      </c>
      <c r="C186" s="329">
        <v>6350</v>
      </c>
      <c r="D186" s="329">
        <v>2014</v>
      </c>
      <c r="E186" s="329">
        <v>8364</v>
      </c>
      <c r="F186" s="329">
        <v>58947</v>
      </c>
      <c r="G186" s="329">
        <v>60660</v>
      </c>
      <c r="H186" s="329">
        <v>119607</v>
      </c>
      <c r="I186" s="329">
        <v>0</v>
      </c>
      <c r="J186" s="329">
        <v>0</v>
      </c>
      <c r="K186" s="329">
        <v>0</v>
      </c>
      <c r="L186" s="329">
        <v>0</v>
      </c>
      <c r="M186" s="329">
        <v>0</v>
      </c>
      <c r="N186" s="329">
        <v>0</v>
      </c>
      <c r="O186" s="329">
        <v>1034</v>
      </c>
      <c r="P186" s="329">
        <v>723</v>
      </c>
      <c r="Q186" s="329">
        <v>1757</v>
      </c>
      <c r="R186" s="329">
        <v>1032</v>
      </c>
      <c r="S186" s="329">
        <v>1611</v>
      </c>
      <c r="T186" s="329">
        <v>2643</v>
      </c>
      <c r="U186" s="329">
        <v>0</v>
      </c>
      <c r="V186" s="329">
        <v>0</v>
      </c>
      <c r="W186" s="329">
        <v>0</v>
      </c>
      <c r="X186" s="330">
        <v>67363</v>
      </c>
      <c r="Y186" s="330">
        <v>65008</v>
      </c>
      <c r="Z186" s="330">
        <v>132371</v>
      </c>
    </row>
    <row r="187" spans="2:26" hidden="1" outlineLevel="1" x14ac:dyDescent="0.25">
      <c r="B187" s="304">
        <v>44621</v>
      </c>
      <c r="C187" s="329">
        <v>1536</v>
      </c>
      <c r="D187" s="329">
        <v>990</v>
      </c>
      <c r="E187" s="329">
        <v>2526</v>
      </c>
      <c r="F187" s="329">
        <v>23676</v>
      </c>
      <c r="G187" s="329">
        <v>25369</v>
      </c>
      <c r="H187" s="329">
        <v>49045</v>
      </c>
      <c r="I187" s="329">
        <v>0</v>
      </c>
      <c r="J187" s="329">
        <v>0</v>
      </c>
      <c r="K187" s="329">
        <v>0</v>
      </c>
      <c r="L187" s="329">
        <v>0</v>
      </c>
      <c r="M187" s="329">
        <v>0</v>
      </c>
      <c r="N187" s="329">
        <v>0</v>
      </c>
      <c r="O187" s="329">
        <v>1122</v>
      </c>
      <c r="P187" s="329">
        <v>766</v>
      </c>
      <c r="Q187" s="329">
        <v>1888</v>
      </c>
      <c r="R187" s="329">
        <v>639</v>
      </c>
      <c r="S187" s="329">
        <v>1048</v>
      </c>
      <c r="T187" s="329">
        <v>1687</v>
      </c>
      <c r="U187" s="329">
        <v>0</v>
      </c>
      <c r="V187" s="329">
        <v>0</v>
      </c>
      <c r="W187" s="329">
        <v>0</v>
      </c>
      <c r="X187" s="330">
        <v>26973</v>
      </c>
      <c r="Y187" s="330">
        <v>28173</v>
      </c>
      <c r="Z187" s="330">
        <v>55146</v>
      </c>
    </row>
    <row r="188" spans="2:26" hidden="1" outlineLevel="1" x14ac:dyDescent="0.25">
      <c r="B188" s="304">
        <v>44652</v>
      </c>
      <c r="C188" s="329">
        <v>1900</v>
      </c>
      <c r="D188" s="329">
        <v>1367</v>
      </c>
      <c r="E188" s="329">
        <v>3267</v>
      </c>
      <c r="F188" s="329">
        <v>13817</v>
      </c>
      <c r="G188" s="329">
        <v>15686</v>
      </c>
      <c r="H188" s="329">
        <v>29503</v>
      </c>
      <c r="I188" s="329">
        <v>0</v>
      </c>
      <c r="J188" s="329">
        <v>0</v>
      </c>
      <c r="K188" s="329">
        <v>0</v>
      </c>
      <c r="L188" s="329">
        <v>0</v>
      </c>
      <c r="M188" s="329">
        <v>0</v>
      </c>
      <c r="N188" s="329">
        <v>0</v>
      </c>
      <c r="O188" s="329">
        <v>1022</v>
      </c>
      <c r="P188" s="329">
        <v>665</v>
      </c>
      <c r="Q188" s="329">
        <v>1687</v>
      </c>
      <c r="R188" s="329">
        <v>454</v>
      </c>
      <c r="S188" s="329">
        <v>710</v>
      </c>
      <c r="T188" s="329">
        <v>1164</v>
      </c>
      <c r="U188" s="329">
        <v>0</v>
      </c>
      <c r="V188" s="329">
        <v>0</v>
      </c>
      <c r="W188" s="329">
        <v>0</v>
      </c>
      <c r="X188" s="330">
        <v>17193</v>
      </c>
      <c r="Y188" s="330">
        <v>18428</v>
      </c>
      <c r="Z188" s="330">
        <v>35621</v>
      </c>
    </row>
    <row r="189" spans="2:26" hidden="1" outlineLevel="1" x14ac:dyDescent="0.25">
      <c r="B189" s="304">
        <v>44682</v>
      </c>
      <c r="C189" s="329">
        <v>2743</v>
      </c>
      <c r="D189" s="329">
        <v>2006</v>
      </c>
      <c r="E189" s="329">
        <v>4749</v>
      </c>
      <c r="F189" s="329">
        <v>12211</v>
      </c>
      <c r="G189" s="329">
        <v>14493</v>
      </c>
      <c r="H189" s="329">
        <v>26704</v>
      </c>
      <c r="I189" s="329">
        <v>0</v>
      </c>
      <c r="J189" s="329">
        <v>0</v>
      </c>
      <c r="K189" s="329">
        <v>0</v>
      </c>
      <c r="L189" s="329">
        <v>0</v>
      </c>
      <c r="M189" s="329">
        <v>0</v>
      </c>
      <c r="N189" s="329">
        <v>0</v>
      </c>
      <c r="O189" s="329">
        <v>1037</v>
      </c>
      <c r="P189" s="329">
        <v>638</v>
      </c>
      <c r="Q189" s="329">
        <v>1675</v>
      </c>
      <c r="R189" s="329">
        <v>423</v>
      </c>
      <c r="S189" s="329">
        <v>715</v>
      </c>
      <c r="T189" s="329">
        <v>1138</v>
      </c>
      <c r="U189" s="329">
        <v>0</v>
      </c>
      <c r="V189" s="329">
        <v>0</v>
      </c>
      <c r="W189" s="329">
        <v>0</v>
      </c>
      <c r="X189" s="330">
        <v>16414</v>
      </c>
      <c r="Y189" s="330">
        <v>17852</v>
      </c>
      <c r="Z189" s="330">
        <v>34266</v>
      </c>
    </row>
    <row r="190" spans="2:26" hidden="1" outlineLevel="1" x14ac:dyDescent="0.25">
      <c r="B190" s="304">
        <v>44713</v>
      </c>
      <c r="C190" s="329">
        <v>2723</v>
      </c>
      <c r="D190" s="329">
        <v>2109</v>
      </c>
      <c r="E190" s="329">
        <v>4832</v>
      </c>
      <c r="F190" s="329">
        <v>12286</v>
      </c>
      <c r="G190" s="329">
        <v>14373</v>
      </c>
      <c r="H190" s="329">
        <v>26659</v>
      </c>
      <c r="I190" s="329">
        <v>0</v>
      </c>
      <c r="J190" s="329">
        <v>0</v>
      </c>
      <c r="K190" s="329">
        <v>0</v>
      </c>
      <c r="L190" s="329">
        <v>0</v>
      </c>
      <c r="M190" s="329">
        <v>0</v>
      </c>
      <c r="N190" s="329">
        <v>0</v>
      </c>
      <c r="O190" s="329">
        <v>866</v>
      </c>
      <c r="P190" s="329">
        <v>555</v>
      </c>
      <c r="Q190" s="329">
        <v>1421</v>
      </c>
      <c r="R190" s="329">
        <v>419</v>
      </c>
      <c r="S190" s="329">
        <v>724</v>
      </c>
      <c r="T190" s="329">
        <v>1143</v>
      </c>
      <c r="U190" s="329">
        <v>0</v>
      </c>
      <c r="V190" s="329">
        <v>0</v>
      </c>
      <c r="W190" s="329">
        <v>0</v>
      </c>
      <c r="X190" s="330">
        <v>16294</v>
      </c>
      <c r="Y190" s="330">
        <v>17761</v>
      </c>
      <c r="Z190" s="330">
        <v>34055</v>
      </c>
    </row>
    <row r="191" spans="2:26" hidden="1" outlineLevel="1" x14ac:dyDescent="0.25">
      <c r="B191" s="304">
        <v>44743</v>
      </c>
      <c r="C191" s="329">
        <v>2936</v>
      </c>
      <c r="D191" s="329">
        <v>2626</v>
      </c>
      <c r="E191" s="329">
        <v>5562</v>
      </c>
      <c r="F191" s="329">
        <v>13569</v>
      </c>
      <c r="G191" s="329">
        <v>14399</v>
      </c>
      <c r="H191" s="329">
        <v>27968</v>
      </c>
      <c r="I191" s="329">
        <v>0</v>
      </c>
      <c r="J191" s="329">
        <v>0</v>
      </c>
      <c r="K191" s="329">
        <v>0</v>
      </c>
      <c r="L191" s="329">
        <v>0</v>
      </c>
      <c r="M191" s="329">
        <v>0</v>
      </c>
      <c r="N191" s="329">
        <v>0</v>
      </c>
      <c r="O191" s="329">
        <v>1032</v>
      </c>
      <c r="P191" s="329">
        <v>626</v>
      </c>
      <c r="Q191" s="329">
        <v>1658</v>
      </c>
      <c r="R191" s="329">
        <v>468</v>
      </c>
      <c r="S191" s="329">
        <v>853</v>
      </c>
      <c r="T191" s="329">
        <v>1321</v>
      </c>
      <c r="U191" s="329">
        <v>0</v>
      </c>
      <c r="V191" s="329">
        <v>0</v>
      </c>
      <c r="W191" s="329">
        <v>0</v>
      </c>
      <c r="X191" s="330">
        <v>18005</v>
      </c>
      <c r="Y191" s="330">
        <v>18504</v>
      </c>
      <c r="Z191" s="330">
        <v>36509</v>
      </c>
    </row>
    <row r="192" spans="2:26" hidden="1" outlineLevel="1" x14ac:dyDescent="0.25">
      <c r="B192" s="304">
        <v>44774</v>
      </c>
      <c r="C192" s="329">
        <v>4153</v>
      </c>
      <c r="D192" s="329">
        <v>5027</v>
      </c>
      <c r="E192" s="329">
        <v>9180</v>
      </c>
      <c r="F192" s="329">
        <v>18239</v>
      </c>
      <c r="G192" s="329">
        <v>19828</v>
      </c>
      <c r="H192" s="329">
        <v>38067</v>
      </c>
      <c r="I192" s="329">
        <v>0</v>
      </c>
      <c r="J192" s="329">
        <v>0</v>
      </c>
      <c r="K192" s="329">
        <v>0</v>
      </c>
      <c r="L192" s="329">
        <v>0</v>
      </c>
      <c r="M192" s="329">
        <v>0</v>
      </c>
      <c r="N192" s="329">
        <v>0</v>
      </c>
      <c r="O192" s="329">
        <v>1135</v>
      </c>
      <c r="P192" s="329">
        <v>685</v>
      </c>
      <c r="Q192" s="329">
        <v>1820</v>
      </c>
      <c r="R192" s="329">
        <v>655</v>
      </c>
      <c r="S192" s="329">
        <v>1053</v>
      </c>
      <c r="T192" s="329">
        <v>1708</v>
      </c>
      <c r="U192" s="329">
        <v>0</v>
      </c>
      <c r="V192" s="329">
        <v>2</v>
      </c>
      <c r="W192" s="329">
        <v>2</v>
      </c>
      <c r="X192" s="330">
        <v>24182</v>
      </c>
      <c r="Y192" s="330">
        <v>26595</v>
      </c>
      <c r="Z192" s="330">
        <v>50777</v>
      </c>
    </row>
    <row r="193" spans="2:26" hidden="1" outlineLevel="1" x14ac:dyDescent="0.25">
      <c r="B193" s="304">
        <v>44805</v>
      </c>
      <c r="C193" s="329">
        <v>3404</v>
      </c>
      <c r="D193" s="329">
        <v>3798</v>
      </c>
      <c r="E193" s="329">
        <v>7202</v>
      </c>
      <c r="F193" s="329">
        <v>11551</v>
      </c>
      <c r="G193" s="329">
        <v>10076</v>
      </c>
      <c r="H193" s="329">
        <v>21627</v>
      </c>
      <c r="I193" s="329">
        <v>0</v>
      </c>
      <c r="J193" s="329">
        <v>0</v>
      </c>
      <c r="K193" s="329">
        <v>0</v>
      </c>
      <c r="L193" s="329">
        <v>0</v>
      </c>
      <c r="M193" s="329">
        <v>0</v>
      </c>
      <c r="N193" s="329">
        <v>0</v>
      </c>
      <c r="O193" s="329">
        <v>908</v>
      </c>
      <c r="P193" s="329">
        <v>544</v>
      </c>
      <c r="Q193" s="329">
        <v>1452</v>
      </c>
      <c r="R193" s="329">
        <v>396</v>
      </c>
      <c r="S193" s="329">
        <v>691</v>
      </c>
      <c r="T193" s="329">
        <v>1087</v>
      </c>
      <c r="U193" s="329">
        <v>1</v>
      </c>
      <c r="V193" s="329">
        <v>0</v>
      </c>
      <c r="W193" s="329">
        <v>1</v>
      </c>
      <c r="X193" s="330">
        <v>16260</v>
      </c>
      <c r="Y193" s="330">
        <v>15109</v>
      </c>
      <c r="Z193" s="330">
        <v>31369</v>
      </c>
    </row>
    <row r="194" spans="2:26" hidden="1" outlineLevel="1" x14ac:dyDescent="0.25">
      <c r="B194" s="304">
        <v>44835</v>
      </c>
      <c r="C194" s="329">
        <v>4080</v>
      </c>
      <c r="D194" s="329">
        <v>4892</v>
      </c>
      <c r="E194" s="329">
        <v>8972</v>
      </c>
      <c r="F194" s="329">
        <v>16487</v>
      </c>
      <c r="G194" s="329">
        <v>13079</v>
      </c>
      <c r="H194" s="329">
        <v>29566</v>
      </c>
      <c r="I194" s="329">
        <v>0</v>
      </c>
      <c r="J194" s="329">
        <v>0</v>
      </c>
      <c r="K194" s="329">
        <v>0</v>
      </c>
      <c r="L194" s="329">
        <v>0</v>
      </c>
      <c r="M194" s="329">
        <v>0</v>
      </c>
      <c r="N194" s="329">
        <v>0</v>
      </c>
      <c r="O194" s="329">
        <v>899</v>
      </c>
      <c r="P194" s="329">
        <v>540</v>
      </c>
      <c r="Q194" s="329">
        <v>1439</v>
      </c>
      <c r="R194" s="329">
        <v>401</v>
      </c>
      <c r="S194" s="329">
        <v>631</v>
      </c>
      <c r="T194" s="329">
        <v>1032</v>
      </c>
      <c r="U194" s="329">
        <v>0</v>
      </c>
      <c r="V194" s="329">
        <v>0</v>
      </c>
      <c r="W194" s="329">
        <v>0</v>
      </c>
      <c r="X194" s="330">
        <v>21867</v>
      </c>
      <c r="Y194" s="330">
        <v>19142</v>
      </c>
      <c r="Z194" s="330">
        <v>41009</v>
      </c>
    </row>
    <row r="195" spans="2:26" hidden="1" outlineLevel="1" x14ac:dyDescent="0.25">
      <c r="B195" s="304">
        <v>44866</v>
      </c>
      <c r="C195" s="329">
        <v>4859</v>
      </c>
      <c r="D195" s="329">
        <v>6189</v>
      </c>
      <c r="E195" s="329">
        <v>11048</v>
      </c>
      <c r="F195" s="329">
        <v>15212</v>
      </c>
      <c r="G195" s="329">
        <v>11687</v>
      </c>
      <c r="H195" s="329">
        <v>26899</v>
      </c>
      <c r="I195" s="329">
        <v>0</v>
      </c>
      <c r="J195" s="329">
        <v>0</v>
      </c>
      <c r="K195" s="329">
        <v>0</v>
      </c>
      <c r="L195" s="329">
        <v>0</v>
      </c>
      <c r="M195" s="329">
        <v>0</v>
      </c>
      <c r="N195" s="329">
        <v>0</v>
      </c>
      <c r="O195" s="329">
        <v>1077</v>
      </c>
      <c r="P195" s="329">
        <v>621</v>
      </c>
      <c r="Q195" s="329">
        <v>1698</v>
      </c>
      <c r="R195" s="329">
        <v>406</v>
      </c>
      <c r="S195" s="329">
        <v>728</v>
      </c>
      <c r="T195" s="329">
        <v>1134</v>
      </c>
      <c r="U195" s="329">
        <v>0</v>
      </c>
      <c r="V195" s="329">
        <v>3</v>
      </c>
      <c r="W195" s="329">
        <v>3</v>
      </c>
      <c r="X195" s="330">
        <v>21554</v>
      </c>
      <c r="Y195" s="330">
        <v>19228</v>
      </c>
      <c r="Z195" s="330">
        <v>40782</v>
      </c>
    </row>
    <row r="196" spans="2:26" collapsed="1" x14ac:dyDescent="0.25">
      <c r="B196" s="304">
        <v>44896</v>
      </c>
      <c r="C196" s="329">
        <v>4565</v>
      </c>
      <c r="D196" s="329">
        <v>5558</v>
      </c>
      <c r="E196" s="329">
        <v>10123</v>
      </c>
      <c r="F196" s="329">
        <v>12433</v>
      </c>
      <c r="G196" s="329">
        <v>9908</v>
      </c>
      <c r="H196" s="329">
        <v>22341</v>
      </c>
      <c r="I196" s="329">
        <v>0</v>
      </c>
      <c r="J196" s="329">
        <v>0</v>
      </c>
      <c r="K196" s="329">
        <v>0</v>
      </c>
      <c r="L196" s="329">
        <v>0</v>
      </c>
      <c r="M196" s="329">
        <v>0</v>
      </c>
      <c r="N196" s="329">
        <v>0</v>
      </c>
      <c r="O196" s="329">
        <v>809</v>
      </c>
      <c r="P196" s="329">
        <v>499</v>
      </c>
      <c r="Q196" s="329">
        <v>1308</v>
      </c>
      <c r="R196" s="329">
        <v>406</v>
      </c>
      <c r="S196" s="329">
        <v>651</v>
      </c>
      <c r="T196" s="329">
        <v>1057</v>
      </c>
      <c r="U196" s="329">
        <v>0</v>
      </c>
      <c r="V196" s="329">
        <v>2</v>
      </c>
      <c r="W196" s="329">
        <v>2</v>
      </c>
      <c r="X196" s="330">
        <v>18213</v>
      </c>
      <c r="Y196" s="330">
        <v>16618</v>
      </c>
      <c r="Z196" s="330">
        <v>34831</v>
      </c>
    </row>
    <row r="197" spans="2:26" hidden="1" outlineLevel="1" x14ac:dyDescent="0.25">
      <c r="B197" s="304">
        <v>44927</v>
      </c>
      <c r="C197" s="329">
        <v>3829</v>
      </c>
      <c r="D197" s="329">
        <v>5337</v>
      </c>
      <c r="E197" s="329">
        <v>9166</v>
      </c>
      <c r="F197" s="329">
        <v>10710</v>
      </c>
      <c r="G197" s="329">
        <v>7995</v>
      </c>
      <c r="H197" s="329">
        <v>18705</v>
      </c>
      <c r="I197" s="329">
        <v>0</v>
      </c>
      <c r="J197" s="329">
        <v>0</v>
      </c>
      <c r="K197" s="329">
        <v>0</v>
      </c>
      <c r="L197" s="329">
        <v>0</v>
      </c>
      <c r="M197" s="329">
        <v>0</v>
      </c>
      <c r="N197" s="329">
        <v>0</v>
      </c>
      <c r="O197" s="329">
        <v>962</v>
      </c>
      <c r="P197" s="329">
        <v>630</v>
      </c>
      <c r="Q197" s="329">
        <v>1592</v>
      </c>
      <c r="R197" s="329">
        <v>406</v>
      </c>
      <c r="S197" s="329">
        <v>723</v>
      </c>
      <c r="T197" s="329">
        <v>1129</v>
      </c>
      <c r="U197" s="329">
        <v>1</v>
      </c>
      <c r="V197" s="329">
        <v>0</v>
      </c>
      <c r="W197" s="329">
        <v>1</v>
      </c>
      <c r="X197" s="330">
        <v>15908</v>
      </c>
      <c r="Y197" s="330">
        <v>14685</v>
      </c>
      <c r="Z197" s="330">
        <v>30593</v>
      </c>
    </row>
    <row r="198" spans="2:26" hidden="1" outlineLevel="1" x14ac:dyDescent="0.25">
      <c r="B198" s="304">
        <v>44958</v>
      </c>
      <c r="C198" s="329">
        <v>2991</v>
      </c>
      <c r="D198" s="329">
        <v>4184</v>
      </c>
      <c r="E198" s="329">
        <v>7175</v>
      </c>
      <c r="F198" s="329">
        <v>8267</v>
      </c>
      <c r="G198" s="329">
        <v>5806</v>
      </c>
      <c r="H198" s="329">
        <v>14073</v>
      </c>
      <c r="I198" s="329">
        <v>0</v>
      </c>
      <c r="J198" s="329">
        <v>0</v>
      </c>
      <c r="K198" s="329">
        <v>0</v>
      </c>
      <c r="L198" s="329">
        <v>0</v>
      </c>
      <c r="M198" s="329">
        <v>0</v>
      </c>
      <c r="N198" s="329">
        <v>0</v>
      </c>
      <c r="O198" s="329">
        <v>849</v>
      </c>
      <c r="P198" s="329">
        <v>525</v>
      </c>
      <c r="Q198" s="329">
        <v>1374</v>
      </c>
      <c r="R198" s="329">
        <v>424</v>
      </c>
      <c r="S198" s="329">
        <v>627</v>
      </c>
      <c r="T198" s="329">
        <v>1051</v>
      </c>
      <c r="U198" s="329">
        <v>0</v>
      </c>
      <c r="V198" s="329">
        <v>0</v>
      </c>
      <c r="W198" s="329">
        <v>0</v>
      </c>
      <c r="X198" s="330">
        <v>12531</v>
      </c>
      <c r="Y198" s="330">
        <v>11142</v>
      </c>
      <c r="Z198" s="330">
        <v>23673</v>
      </c>
    </row>
    <row r="199" spans="2:26" hidden="1" outlineLevel="1" x14ac:dyDescent="0.25">
      <c r="B199" s="304">
        <v>44986</v>
      </c>
      <c r="C199" s="329">
        <v>3270</v>
      </c>
      <c r="D199" s="329">
        <v>5048</v>
      </c>
      <c r="E199" s="329">
        <v>8318</v>
      </c>
      <c r="F199" s="329">
        <v>8236</v>
      </c>
      <c r="G199" s="329">
        <v>5093</v>
      </c>
      <c r="H199" s="329">
        <v>13329</v>
      </c>
      <c r="I199" s="329">
        <v>0</v>
      </c>
      <c r="J199" s="329">
        <v>0</v>
      </c>
      <c r="K199" s="329">
        <v>0</v>
      </c>
      <c r="L199" s="329">
        <v>0</v>
      </c>
      <c r="M199" s="329">
        <v>0</v>
      </c>
      <c r="N199" s="329">
        <v>0</v>
      </c>
      <c r="O199" s="329">
        <v>1122</v>
      </c>
      <c r="P199" s="329">
        <v>638</v>
      </c>
      <c r="Q199" s="329">
        <v>1760</v>
      </c>
      <c r="R199" s="329">
        <v>500</v>
      </c>
      <c r="S199" s="329">
        <v>701</v>
      </c>
      <c r="T199" s="329">
        <v>1201</v>
      </c>
      <c r="U199" s="329">
        <v>1</v>
      </c>
      <c r="V199" s="329">
        <v>2</v>
      </c>
      <c r="W199" s="329">
        <v>3</v>
      </c>
      <c r="X199" s="330">
        <v>13129</v>
      </c>
      <c r="Y199" s="330">
        <v>11482</v>
      </c>
      <c r="Z199" s="330">
        <v>24611</v>
      </c>
    </row>
    <row r="200" spans="2:26" hidden="1" outlineLevel="1" x14ac:dyDescent="0.25">
      <c r="B200" s="304">
        <v>45017</v>
      </c>
      <c r="C200" s="329">
        <v>2875</v>
      </c>
      <c r="D200" s="329">
        <v>4097</v>
      </c>
      <c r="E200" s="329">
        <v>6972</v>
      </c>
      <c r="F200" s="329">
        <v>6969</v>
      </c>
      <c r="G200" s="329">
        <v>4528</v>
      </c>
      <c r="H200" s="329">
        <v>11497</v>
      </c>
      <c r="I200" s="329">
        <v>0</v>
      </c>
      <c r="J200" s="329">
        <v>0</v>
      </c>
      <c r="K200" s="329">
        <v>0</v>
      </c>
      <c r="L200" s="329">
        <v>0</v>
      </c>
      <c r="M200" s="329">
        <v>0</v>
      </c>
      <c r="N200" s="329">
        <v>0</v>
      </c>
      <c r="O200" s="329">
        <v>899</v>
      </c>
      <c r="P200" s="329">
        <v>523</v>
      </c>
      <c r="Q200" s="329">
        <v>1422</v>
      </c>
      <c r="R200" s="329">
        <v>350</v>
      </c>
      <c r="S200" s="329">
        <v>593</v>
      </c>
      <c r="T200" s="329">
        <v>943</v>
      </c>
      <c r="U200" s="329">
        <v>1</v>
      </c>
      <c r="V200" s="329">
        <v>0</v>
      </c>
      <c r="W200" s="329">
        <v>1</v>
      </c>
      <c r="X200" s="330">
        <v>11094</v>
      </c>
      <c r="Y200" s="330">
        <v>9741</v>
      </c>
      <c r="Z200" s="330">
        <v>20835</v>
      </c>
    </row>
    <row r="201" spans="2:26" hidden="1" outlineLevel="1" x14ac:dyDescent="0.25">
      <c r="B201" s="304">
        <v>45047</v>
      </c>
      <c r="C201" s="329">
        <v>3031</v>
      </c>
      <c r="D201" s="329">
        <v>4338</v>
      </c>
      <c r="E201" s="329">
        <v>7369</v>
      </c>
      <c r="F201" s="329">
        <v>6935</v>
      </c>
      <c r="G201" s="329">
        <v>4661</v>
      </c>
      <c r="H201" s="329">
        <v>11596</v>
      </c>
      <c r="I201" s="329">
        <v>0</v>
      </c>
      <c r="J201" s="329">
        <v>0</v>
      </c>
      <c r="K201" s="329">
        <v>0</v>
      </c>
      <c r="L201" s="329">
        <v>0</v>
      </c>
      <c r="M201" s="329">
        <v>0</v>
      </c>
      <c r="N201" s="329">
        <v>0</v>
      </c>
      <c r="O201" s="329">
        <v>953</v>
      </c>
      <c r="P201" s="329">
        <v>591</v>
      </c>
      <c r="Q201" s="329">
        <v>1544</v>
      </c>
      <c r="R201" s="329">
        <v>435</v>
      </c>
      <c r="S201" s="329">
        <v>704</v>
      </c>
      <c r="T201" s="329">
        <v>1139</v>
      </c>
      <c r="U201" s="329">
        <v>0</v>
      </c>
      <c r="V201" s="329">
        <v>1</v>
      </c>
      <c r="W201" s="329">
        <v>1</v>
      </c>
      <c r="X201" s="330">
        <v>11354</v>
      </c>
      <c r="Y201" s="330">
        <v>10295</v>
      </c>
      <c r="Z201" s="330">
        <v>21649</v>
      </c>
    </row>
    <row r="202" spans="2:26" hidden="1" outlineLevel="1" x14ac:dyDescent="0.25">
      <c r="B202" s="304">
        <v>45078</v>
      </c>
      <c r="C202" s="329">
        <v>2722</v>
      </c>
      <c r="D202" s="329">
        <v>3937</v>
      </c>
      <c r="E202" s="329">
        <v>6659</v>
      </c>
      <c r="F202" s="329">
        <v>6810</v>
      </c>
      <c r="G202" s="329">
        <v>3934</v>
      </c>
      <c r="H202" s="329">
        <v>10744</v>
      </c>
      <c r="I202" s="329">
        <v>0</v>
      </c>
      <c r="J202" s="329">
        <v>0</v>
      </c>
      <c r="K202" s="329">
        <v>0</v>
      </c>
      <c r="L202" s="329">
        <v>0</v>
      </c>
      <c r="M202" s="329">
        <v>0</v>
      </c>
      <c r="N202" s="329">
        <v>0</v>
      </c>
      <c r="O202" s="329">
        <v>813</v>
      </c>
      <c r="P202" s="329">
        <v>556</v>
      </c>
      <c r="Q202" s="329">
        <v>1369</v>
      </c>
      <c r="R202" s="329">
        <v>389</v>
      </c>
      <c r="S202" s="329">
        <v>626</v>
      </c>
      <c r="T202" s="329">
        <v>1015</v>
      </c>
      <c r="U202" s="329">
        <v>0</v>
      </c>
      <c r="V202" s="329">
        <v>2</v>
      </c>
      <c r="W202" s="329">
        <v>2</v>
      </c>
      <c r="X202" s="330">
        <v>10734</v>
      </c>
      <c r="Y202" s="330">
        <v>9055</v>
      </c>
      <c r="Z202" s="330">
        <v>19789</v>
      </c>
    </row>
    <row r="203" spans="2:26" hidden="1" outlineLevel="1" x14ac:dyDescent="0.25">
      <c r="B203" s="304">
        <v>45108</v>
      </c>
      <c r="C203" s="329">
        <v>3374</v>
      </c>
      <c r="D203" s="329">
        <v>4823</v>
      </c>
      <c r="E203" s="329">
        <v>8197</v>
      </c>
      <c r="F203" s="329">
        <v>8040</v>
      </c>
      <c r="G203" s="329">
        <v>4509</v>
      </c>
      <c r="H203" s="329">
        <v>12549</v>
      </c>
      <c r="I203" s="329">
        <v>0</v>
      </c>
      <c r="J203" s="329">
        <v>0</v>
      </c>
      <c r="K203" s="329">
        <v>0</v>
      </c>
      <c r="L203" s="329">
        <v>0</v>
      </c>
      <c r="M203" s="329">
        <v>0</v>
      </c>
      <c r="N203" s="329">
        <v>0</v>
      </c>
      <c r="O203" s="329">
        <v>956</v>
      </c>
      <c r="P203" s="329">
        <v>613</v>
      </c>
      <c r="Q203" s="329">
        <v>1569</v>
      </c>
      <c r="R203" s="329">
        <v>385</v>
      </c>
      <c r="S203" s="329">
        <v>654</v>
      </c>
      <c r="T203" s="329">
        <v>1039</v>
      </c>
      <c r="U203" s="329">
        <v>0</v>
      </c>
      <c r="V203" s="329">
        <v>5</v>
      </c>
      <c r="W203" s="329">
        <v>5</v>
      </c>
      <c r="X203" s="330">
        <v>12755</v>
      </c>
      <c r="Y203" s="330">
        <v>10604</v>
      </c>
      <c r="Z203" s="330">
        <v>23359</v>
      </c>
    </row>
    <row r="204" spans="2:26" hidden="1" outlineLevel="1" x14ac:dyDescent="0.25">
      <c r="B204" s="304">
        <v>45139</v>
      </c>
      <c r="C204" s="329">
        <v>3132</v>
      </c>
      <c r="D204" s="329">
        <v>4682</v>
      </c>
      <c r="E204" s="329">
        <v>7814</v>
      </c>
      <c r="F204" s="329">
        <v>7687</v>
      </c>
      <c r="G204" s="329">
        <v>4194</v>
      </c>
      <c r="H204" s="329">
        <v>11881</v>
      </c>
      <c r="I204" s="329">
        <v>0</v>
      </c>
      <c r="J204" s="329">
        <v>0</v>
      </c>
      <c r="K204" s="329">
        <v>0</v>
      </c>
      <c r="L204" s="329">
        <v>0</v>
      </c>
      <c r="M204" s="329">
        <v>0</v>
      </c>
      <c r="N204" s="329">
        <v>0</v>
      </c>
      <c r="O204" s="329">
        <v>989</v>
      </c>
      <c r="P204" s="329">
        <v>588</v>
      </c>
      <c r="Q204" s="329">
        <v>1577</v>
      </c>
      <c r="R204" s="329">
        <v>403</v>
      </c>
      <c r="S204" s="329">
        <v>690</v>
      </c>
      <c r="T204" s="329">
        <v>1093</v>
      </c>
      <c r="U204" s="329">
        <v>0</v>
      </c>
      <c r="V204" s="329">
        <v>3</v>
      </c>
      <c r="W204" s="329">
        <v>3</v>
      </c>
      <c r="X204" s="330">
        <v>12211</v>
      </c>
      <c r="Y204" s="330">
        <v>10157</v>
      </c>
      <c r="Z204" s="330">
        <v>22368</v>
      </c>
    </row>
    <row r="205" spans="2:26" hidden="1" outlineLevel="1" x14ac:dyDescent="0.25">
      <c r="B205" s="304">
        <v>45170</v>
      </c>
      <c r="C205" s="329">
        <v>3007</v>
      </c>
      <c r="D205" s="329">
        <v>4655</v>
      </c>
      <c r="E205" s="329">
        <v>7662</v>
      </c>
      <c r="F205" s="329">
        <v>8054</v>
      </c>
      <c r="G205" s="329">
        <v>3886</v>
      </c>
      <c r="H205" s="329">
        <v>11940</v>
      </c>
      <c r="I205" s="329">
        <v>0</v>
      </c>
      <c r="J205" s="329">
        <v>0</v>
      </c>
      <c r="K205" s="329">
        <v>0</v>
      </c>
      <c r="L205" s="329">
        <v>0</v>
      </c>
      <c r="M205" s="329">
        <v>0</v>
      </c>
      <c r="N205" s="329">
        <v>0</v>
      </c>
      <c r="O205" s="329">
        <v>834</v>
      </c>
      <c r="P205" s="329">
        <v>540</v>
      </c>
      <c r="Q205" s="329">
        <v>1374</v>
      </c>
      <c r="R205" s="329">
        <v>361</v>
      </c>
      <c r="S205" s="329">
        <v>603</v>
      </c>
      <c r="T205" s="329">
        <v>964</v>
      </c>
      <c r="U205" s="329">
        <v>2</v>
      </c>
      <c r="V205" s="329">
        <v>5</v>
      </c>
      <c r="W205" s="329">
        <v>7</v>
      </c>
      <c r="X205" s="330">
        <v>12258</v>
      </c>
      <c r="Y205" s="330">
        <v>9689</v>
      </c>
      <c r="Z205" s="330">
        <v>21947</v>
      </c>
    </row>
    <row r="206" spans="2:26" hidden="1" outlineLevel="1" x14ac:dyDescent="0.25">
      <c r="B206" s="304">
        <v>45200</v>
      </c>
      <c r="C206" s="329">
        <v>2922</v>
      </c>
      <c r="D206" s="329">
        <v>4906</v>
      </c>
      <c r="E206" s="329">
        <v>7828</v>
      </c>
      <c r="F206" s="329">
        <v>7148</v>
      </c>
      <c r="G206" s="329">
        <v>3708</v>
      </c>
      <c r="H206" s="329">
        <v>10856</v>
      </c>
      <c r="I206" s="329">
        <v>0</v>
      </c>
      <c r="J206" s="329">
        <v>0</v>
      </c>
      <c r="K206" s="329">
        <v>0</v>
      </c>
      <c r="L206" s="329">
        <v>0</v>
      </c>
      <c r="M206" s="329">
        <v>0</v>
      </c>
      <c r="N206" s="329">
        <v>0</v>
      </c>
      <c r="O206" s="329">
        <v>884</v>
      </c>
      <c r="P206" s="329">
        <v>553</v>
      </c>
      <c r="Q206" s="329">
        <v>1437</v>
      </c>
      <c r="R206" s="329">
        <v>382</v>
      </c>
      <c r="S206" s="329">
        <v>621</v>
      </c>
      <c r="T206" s="329">
        <v>1003</v>
      </c>
      <c r="U206" s="329">
        <v>0</v>
      </c>
      <c r="V206" s="329">
        <v>4</v>
      </c>
      <c r="W206" s="329">
        <v>4</v>
      </c>
      <c r="X206" s="330">
        <v>11336</v>
      </c>
      <c r="Y206" s="330">
        <v>9792</v>
      </c>
      <c r="Z206" s="330">
        <v>21128</v>
      </c>
    </row>
    <row r="207" spans="2:26" hidden="1" outlineLevel="1" x14ac:dyDescent="0.25">
      <c r="B207" s="304">
        <v>45231</v>
      </c>
      <c r="C207" s="329">
        <v>2933</v>
      </c>
      <c r="D207" s="329">
        <v>4906</v>
      </c>
      <c r="E207" s="329">
        <v>7839</v>
      </c>
      <c r="F207" s="329">
        <v>6743</v>
      </c>
      <c r="G207" s="329">
        <v>3975</v>
      </c>
      <c r="H207" s="329">
        <v>10718</v>
      </c>
      <c r="I207" s="329">
        <v>0</v>
      </c>
      <c r="J207" s="329">
        <v>0</v>
      </c>
      <c r="K207" s="329">
        <v>0</v>
      </c>
      <c r="L207" s="329">
        <v>0</v>
      </c>
      <c r="M207" s="329">
        <v>0</v>
      </c>
      <c r="N207" s="329">
        <v>0</v>
      </c>
      <c r="O207" s="329">
        <v>941</v>
      </c>
      <c r="P207" s="329">
        <v>562</v>
      </c>
      <c r="Q207" s="329">
        <v>1503</v>
      </c>
      <c r="R207" s="329">
        <v>449</v>
      </c>
      <c r="S207" s="329">
        <v>676</v>
      </c>
      <c r="T207" s="329">
        <v>1125</v>
      </c>
      <c r="U207" s="329">
        <v>0</v>
      </c>
      <c r="V207" s="329">
        <v>6</v>
      </c>
      <c r="W207" s="329">
        <v>6</v>
      </c>
      <c r="X207" s="330">
        <v>11066</v>
      </c>
      <c r="Y207" s="330">
        <v>10125</v>
      </c>
      <c r="Z207" s="330">
        <v>21191</v>
      </c>
    </row>
    <row r="208" spans="2:26" collapsed="1" x14ac:dyDescent="0.25">
      <c r="B208" s="304">
        <v>45261</v>
      </c>
      <c r="C208" s="329">
        <v>2300</v>
      </c>
      <c r="D208" s="329">
        <v>3992</v>
      </c>
      <c r="E208" s="329">
        <v>6292</v>
      </c>
      <c r="F208" s="329">
        <v>5741</v>
      </c>
      <c r="G208" s="329">
        <v>3340</v>
      </c>
      <c r="H208" s="329">
        <v>9081</v>
      </c>
      <c r="I208" s="329">
        <v>0</v>
      </c>
      <c r="J208" s="329">
        <v>0</v>
      </c>
      <c r="K208" s="329">
        <v>0</v>
      </c>
      <c r="L208" s="329">
        <v>0</v>
      </c>
      <c r="M208" s="329">
        <v>0</v>
      </c>
      <c r="N208" s="329">
        <v>0</v>
      </c>
      <c r="O208" s="329">
        <v>739</v>
      </c>
      <c r="P208" s="329">
        <v>505</v>
      </c>
      <c r="Q208" s="329">
        <v>1244</v>
      </c>
      <c r="R208" s="329">
        <v>322</v>
      </c>
      <c r="S208" s="329">
        <v>549</v>
      </c>
      <c r="T208" s="329">
        <v>871</v>
      </c>
      <c r="U208" s="329">
        <v>0</v>
      </c>
      <c r="V208" s="329">
        <v>6</v>
      </c>
      <c r="W208" s="329">
        <v>6</v>
      </c>
      <c r="X208" s="330">
        <v>9102</v>
      </c>
      <c r="Y208" s="330">
        <v>8392</v>
      </c>
      <c r="Z208" s="330">
        <v>17494</v>
      </c>
    </row>
    <row r="209" spans="2:26" outlineLevel="1" x14ac:dyDescent="0.25">
      <c r="B209" s="304">
        <v>45292</v>
      </c>
      <c r="C209" s="329">
        <v>2952</v>
      </c>
      <c r="D209" s="329">
        <v>5062</v>
      </c>
      <c r="E209" s="329">
        <v>8014</v>
      </c>
      <c r="F209" s="329">
        <v>7435</v>
      </c>
      <c r="G209" s="329">
        <v>4242</v>
      </c>
      <c r="H209" s="329">
        <v>11677</v>
      </c>
      <c r="I209" s="329">
        <v>0</v>
      </c>
      <c r="J209" s="329">
        <v>0</v>
      </c>
      <c r="K209" s="329">
        <v>0</v>
      </c>
      <c r="L209" s="329">
        <v>0</v>
      </c>
      <c r="M209" s="329">
        <v>0</v>
      </c>
      <c r="N209" s="329">
        <v>0</v>
      </c>
      <c r="O209" s="329">
        <v>902</v>
      </c>
      <c r="P209" s="329">
        <v>583</v>
      </c>
      <c r="Q209" s="329">
        <v>1485</v>
      </c>
      <c r="R209" s="329">
        <v>409</v>
      </c>
      <c r="S209" s="329">
        <v>638</v>
      </c>
      <c r="T209" s="329">
        <v>1047</v>
      </c>
      <c r="U209" s="329">
        <v>2</v>
      </c>
      <c r="V209" s="329">
        <v>5</v>
      </c>
      <c r="W209" s="329">
        <v>7</v>
      </c>
      <c r="X209" s="330">
        <v>11700</v>
      </c>
      <c r="Y209" s="330">
        <v>10530</v>
      </c>
      <c r="Z209" s="330">
        <v>22230</v>
      </c>
    </row>
    <row r="210" spans="2:26" outlineLevel="1" x14ac:dyDescent="0.25">
      <c r="B210" s="304">
        <v>45323</v>
      </c>
      <c r="C210" s="329">
        <v>2666</v>
      </c>
      <c r="D210" s="329">
        <v>4480</v>
      </c>
      <c r="E210" s="329">
        <v>7146</v>
      </c>
      <c r="F210" s="329">
        <v>6332</v>
      </c>
      <c r="G210" s="329">
        <v>3788</v>
      </c>
      <c r="H210" s="329">
        <v>10120</v>
      </c>
      <c r="I210" s="329">
        <v>0</v>
      </c>
      <c r="J210" s="329">
        <v>0</v>
      </c>
      <c r="K210" s="329">
        <v>0</v>
      </c>
      <c r="L210" s="329">
        <v>0</v>
      </c>
      <c r="M210" s="329">
        <v>0</v>
      </c>
      <c r="N210" s="329">
        <v>0</v>
      </c>
      <c r="O210" s="329">
        <v>714</v>
      </c>
      <c r="P210" s="329">
        <v>454</v>
      </c>
      <c r="Q210" s="329">
        <v>1168</v>
      </c>
      <c r="R210" s="329">
        <v>376</v>
      </c>
      <c r="S210" s="329">
        <v>666</v>
      </c>
      <c r="T210" s="329">
        <v>1042</v>
      </c>
      <c r="U210" s="329">
        <v>2</v>
      </c>
      <c r="V210" s="329">
        <v>4</v>
      </c>
      <c r="W210" s="329">
        <v>6</v>
      </c>
      <c r="X210" s="330">
        <v>10090</v>
      </c>
      <c r="Y210" s="330">
        <v>9392</v>
      </c>
      <c r="Z210" s="330">
        <v>19482</v>
      </c>
    </row>
    <row r="211" spans="2:26" outlineLevel="1" x14ac:dyDescent="0.25">
      <c r="B211" s="304">
        <v>45352</v>
      </c>
      <c r="C211" s="329">
        <v>2650</v>
      </c>
      <c r="D211" s="329">
        <v>4108</v>
      </c>
      <c r="E211" s="329">
        <v>6758</v>
      </c>
      <c r="F211" s="329">
        <v>6792</v>
      </c>
      <c r="G211" s="329">
        <v>3761</v>
      </c>
      <c r="H211" s="329">
        <v>10553</v>
      </c>
      <c r="I211" s="329">
        <v>0</v>
      </c>
      <c r="J211" s="329">
        <v>0</v>
      </c>
      <c r="K211" s="329">
        <v>0</v>
      </c>
      <c r="L211" s="329">
        <v>0</v>
      </c>
      <c r="M211" s="329">
        <v>0</v>
      </c>
      <c r="N211" s="329">
        <v>0</v>
      </c>
      <c r="O211" s="329">
        <v>635</v>
      </c>
      <c r="P211" s="329">
        <v>420</v>
      </c>
      <c r="Q211" s="329">
        <v>1055</v>
      </c>
      <c r="R211" s="329">
        <v>395</v>
      </c>
      <c r="S211" s="329">
        <v>626</v>
      </c>
      <c r="T211" s="329">
        <v>1021</v>
      </c>
      <c r="U211" s="329">
        <v>0</v>
      </c>
      <c r="V211" s="329">
        <v>7</v>
      </c>
      <c r="W211" s="329">
        <v>7</v>
      </c>
      <c r="X211" s="330">
        <v>10472</v>
      </c>
      <c r="Y211" s="330">
        <v>8922</v>
      </c>
      <c r="Z211" s="330">
        <v>19394</v>
      </c>
    </row>
    <row r="212" spans="2:26" outlineLevel="1" x14ac:dyDescent="0.25">
      <c r="B212" s="304">
        <v>45383</v>
      </c>
      <c r="C212" s="329">
        <v>3150</v>
      </c>
      <c r="D212" s="329">
        <v>4563</v>
      </c>
      <c r="E212" s="329">
        <v>7713</v>
      </c>
      <c r="F212" s="329">
        <v>6121</v>
      </c>
      <c r="G212" s="329">
        <v>3143</v>
      </c>
      <c r="H212" s="329">
        <v>9264</v>
      </c>
      <c r="I212" s="329">
        <v>0</v>
      </c>
      <c r="J212" s="329">
        <v>0</v>
      </c>
      <c r="K212" s="329">
        <v>0</v>
      </c>
      <c r="L212" s="329">
        <v>0</v>
      </c>
      <c r="M212" s="329">
        <v>0</v>
      </c>
      <c r="N212" s="329">
        <v>0</v>
      </c>
      <c r="O212" s="329">
        <v>420</v>
      </c>
      <c r="P212" s="329">
        <v>275</v>
      </c>
      <c r="Q212" s="329">
        <v>695</v>
      </c>
      <c r="R212" s="329">
        <v>407</v>
      </c>
      <c r="S212" s="329">
        <v>644</v>
      </c>
      <c r="T212" s="329">
        <v>1051</v>
      </c>
      <c r="U212" s="329">
        <v>1</v>
      </c>
      <c r="V212" s="329">
        <v>5</v>
      </c>
      <c r="W212" s="329">
        <v>6</v>
      </c>
      <c r="X212" s="330">
        <v>10099</v>
      </c>
      <c r="Y212" s="330">
        <v>8630</v>
      </c>
      <c r="Z212" s="330">
        <v>18729</v>
      </c>
    </row>
    <row r="213" spans="2:26" outlineLevel="1" x14ac:dyDescent="0.25">
      <c r="B213" s="304">
        <v>45413</v>
      </c>
      <c r="C213" s="329">
        <v>3854</v>
      </c>
      <c r="D213" s="329">
        <v>4332</v>
      </c>
      <c r="E213" s="329">
        <v>8186</v>
      </c>
      <c r="F213" s="329">
        <v>4968</v>
      </c>
      <c r="G213" s="329">
        <v>2870</v>
      </c>
      <c r="H213" s="329">
        <v>7838</v>
      </c>
      <c r="I213" s="329">
        <v>0</v>
      </c>
      <c r="J213" s="329">
        <v>0</v>
      </c>
      <c r="K213" s="329">
        <v>0</v>
      </c>
      <c r="L213" s="329">
        <v>0</v>
      </c>
      <c r="M213" s="329">
        <v>0</v>
      </c>
      <c r="N213" s="329">
        <v>0</v>
      </c>
      <c r="O213" s="329">
        <v>334</v>
      </c>
      <c r="P213" s="329">
        <v>242</v>
      </c>
      <c r="Q213" s="329">
        <v>576</v>
      </c>
      <c r="R213" s="329">
        <v>387</v>
      </c>
      <c r="S213" s="329">
        <v>626</v>
      </c>
      <c r="T213" s="329">
        <v>1013</v>
      </c>
      <c r="U213" s="329">
        <v>1</v>
      </c>
      <c r="V213" s="329">
        <v>4</v>
      </c>
      <c r="W213" s="329">
        <v>5</v>
      </c>
      <c r="X213" s="330">
        <v>9544</v>
      </c>
      <c r="Y213" s="330">
        <v>8074</v>
      </c>
      <c r="Z213" s="330">
        <v>17618</v>
      </c>
    </row>
    <row r="214" spans="2:26" outlineLevel="1" x14ac:dyDescent="0.25">
      <c r="B214" s="304">
        <v>45444</v>
      </c>
      <c r="C214" s="329">
        <v>4921</v>
      </c>
      <c r="D214" s="329">
        <v>4152</v>
      </c>
      <c r="E214" s="329">
        <v>9073</v>
      </c>
      <c r="F214" s="329">
        <v>4366</v>
      </c>
      <c r="G214" s="329">
        <v>3464</v>
      </c>
      <c r="H214" s="329">
        <v>7830</v>
      </c>
      <c r="I214" s="329">
        <v>0</v>
      </c>
      <c r="J214" s="329">
        <v>0</v>
      </c>
      <c r="K214" s="329">
        <v>0</v>
      </c>
      <c r="L214" s="329">
        <v>0</v>
      </c>
      <c r="M214" s="329">
        <v>0</v>
      </c>
      <c r="N214" s="329">
        <v>0</v>
      </c>
      <c r="O214" s="329">
        <v>215</v>
      </c>
      <c r="P214" s="329">
        <v>190</v>
      </c>
      <c r="Q214" s="329">
        <v>405</v>
      </c>
      <c r="R214" s="329">
        <v>353</v>
      </c>
      <c r="S214" s="329">
        <v>588</v>
      </c>
      <c r="T214" s="329">
        <v>941</v>
      </c>
      <c r="U214" s="329">
        <v>5</v>
      </c>
      <c r="V214" s="329">
        <v>2</v>
      </c>
      <c r="W214" s="329">
        <v>7</v>
      </c>
      <c r="X214" s="330">
        <v>9860</v>
      </c>
      <c r="Y214" s="330">
        <v>8396</v>
      </c>
      <c r="Z214" s="330">
        <v>18256</v>
      </c>
    </row>
    <row r="215" spans="2:26" outlineLevel="1" x14ac:dyDescent="0.25">
      <c r="B215" s="304">
        <v>45474</v>
      </c>
      <c r="C215" s="329">
        <v>5515</v>
      </c>
      <c r="D215" s="329">
        <v>5001</v>
      </c>
      <c r="E215" s="329">
        <v>10516</v>
      </c>
      <c r="F215" s="329">
        <v>4548</v>
      </c>
      <c r="G215" s="329">
        <v>3076</v>
      </c>
      <c r="H215" s="329">
        <v>7624</v>
      </c>
      <c r="I215" s="329">
        <v>0</v>
      </c>
      <c r="J215" s="329">
        <v>0</v>
      </c>
      <c r="K215" s="329">
        <v>0</v>
      </c>
      <c r="L215" s="329">
        <v>0</v>
      </c>
      <c r="M215" s="329">
        <v>0</v>
      </c>
      <c r="N215" s="329">
        <v>0</v>
      </c>
      <c r="O215" s="329">
        <v>258</v>
      </c>
      <c r="P215" s="329">
        <v>207</v>
      </c>
      <c r="Q215" s="329">
        <v>465</v>
      </c>
      <c r="R215" s="329">
        <v>471</v>
      </c>
      <c r="S215" s="329">
        <v>649</v>
      </c>
      <c r="T215" s="329">
        <v>1120</v>
      </c>
      <c r="U215" s="329">
        <v>5</v>
      </c>
      <c r="V215" s="329">
        <v>7</v>
      </c>
      <c r="W215" s="329">
        <v>12</v>
      </c>
      <c r="X215" s="330">
        <v>10797</v>
      </c>
      <c r="Y215" s="330">
        <v>8940</v>
      </c>
      <c r="Z215" s="330">
        <v>19737</v>
      </c>
    </row>
    <row r="216" spans="2:26" outlineLevel="1" x14ac:dyDescent="0.25">
      <c r="B216" s="304">
        <v>45505</v>
      </c>
      <c r="C216" s="329">
        <v>3098</v>
      </c>
      <c r="D216" s="329">
        <v>3790</v>
      </c>
      <c r="E216" s="329">
        <v>6888</v>
      </c>
      <c r="F216" s="329">
        <v>3239</v>
      </c>
      <c r="G216" s="329">
        <v>2206</v>
      </c>
      <c r="H216" s="329">
        <v>5445</v>
      </c>
      <c r="I216" s="329">
        <v>0</v>
      </c>
      <c r="J216" s="329">
        <v>0</v>
      </c>
      <c r="K216" s="329">
        <v>0</v>
      </c>
      <c r="L216" s="329">
        <v>0</v>
      </c>
      <c r="M216" s="329">
        <v>0</v>
      </c>
      <c r="N216" s="329">
        <v>0</v>
      </c>
      <c r="O216" s="329">
        <v>36</v>
      </c>
      <c r="P216" s="329">
        <v>38</v>
      </c>
      <c r="Q216" s="329">
        <v>74</v>
      </c>
      <c r="R216" s="329">
        <v>179</v>
      </c>
      <c r="S216" s="329">
        <v>318</v>
      </c>
      <c r="T216" s="329">
        <v>497</v>
      </c>
      <c r="U216" s="329">
        <v>1</v>
      </c>
      <c r="V216" s="329">
        <v>5</v>
      </c>
      <c r="W216" s="329">
        <v>6</v>
      </c>
      <c r="X216" s="330">
        <v>6553</v>
      </c>
      <c r="Y216" s="330">
        <v>6357</v>
      </c>
      <c r="Z216" s="330">
        <v>12910</v>
      </c>
    </row>
    <row r="217" spans="2:26" x14ac:dyDescent="0.25">
      <c r="B217" s="304">
        <v>45536</v>
      </c>
      <c r="C217" s="329">
        <v>1101</v>
      </c>
      <c r="D217" s="329">
        <v>948</v>
      </c>
      <c r="E217" s="329">
        <v>2049</v>
      </c>
      <c r="F217" s="329">
        <v>877</v>
      </c>
      <c r="G217" s="329">
        <v>307</v>
      </c>
      <c r="H217" s="329">
        <v>1184</v>
      </c>
      <c r="I217" s="329">
        <v>0</v>
      </c>
      <c r="J217" s="329">
        <v>0</v>
      </c>
      <c r="K217" s="329">
        <v>0</v>
      </c>
      <c r="L217" s="329">
        <v>0</v>
      </c>
      <c r="M217" s="329">
        <v>0</v>
      </c>
      <c r="N217" s="329">
        <v>0</v>
      </c>
      <c r="O217" s="329">
        <v>4</v>
      </c>
      <c r="P217" s="329">
        <v>3</v>
      </c>
      <c r="Q217" s="329">
        <v>7</v>
      </c>
      <c r="R217" s="329">
        <v>44</v>
      </c>
      <c r="S217" s="329">
        <v>90</v>
      </c>
      <c r="T217" s="329">
        <v>134</v>
      </c>
      <c r="U217" s="329">
        <v>0</v>
      </c>
      <c r="V217" s="329">
        <v>0</v>
      </c>
      <c r="W217" s="329">
        <v>0</v>
      </c>
      <c r="X217" s="330">
        <v>2026</v>
      </c>
      <c r="Y217" s="330">
        <v>1348</v>
      </c>
      <c r="Z217" s="330">
        <v>3374</v>
      </c>
    </row>
    <row r="218" spans="2:26" ht="32.25" x14ac:dyDescent="0.25">
      <c r="B218" s="305" t="s">
        <v>875</v>
      </c>
      <c r="C218" s="330">
        <v>105542</v>
      </c>
      <c r="D218" s="330">
        <v>127917</v>
      </c>
      <c r="E218" s="330">
        <v>233459</v>
      </c>
      <c r="F218" s="330">
        <v>344446</v>
      </c>
      <c r="G218" s="330">
        <v>292044</v>
      </c>
      <c r="H218" s="330">
        <v>636490</v>
      </c>
      <c r="I218" s="330">
        <v>377716</v>
      </c>
      <c r="J218" s="330">
        <v>121229</v>
      </c>
      <c r="K218" s="330">
        <v>498945</v>
      </c>
      <c r="L218" s="330">
        <v>845811</v>
      </c>
      <c r="M218" s="330">
        <v>689893</v>
      </c>
      <c r="N218" s="330">
        <v>1535704</v>
      </c>
      <c r="O218" s="330">
        <v>141027</v>
      </c>
      <c r="P218" s="330">
        <v>81001</v>
      </c>
      <c r="Q218" s="330">
        <v>222028</v>
      </c>
      <c r="R218" s="330">
        <v>61309</v>
      </c>
      <c r="S218" s="330">
        <v>68807</v>
      </c>
      <c r="T218" s="330">
        <v>130116</v>
      </c>
      <c r="U218" s="330">
        <v>23</v>
      </c>
      <c r="V218" s="330">
        <v>80</v>
      </c>
      <c r="W218" s="330">
        <v>103</v>
      </c>
      <c r="X218" s="330">
        <v>1875874</v>
      </c>
      <c r="Y218" s="330">
        <v>1380971</v>
      </c>
      <c r="Z218" s="330">
        <v>3256845</v>
      </c>
    </row>
    <row r="219" spans="2:26" ht="72.75" customHeight="1" x14ac:dyDescent="0.25">
      <c r="B219" s="454" t="s">
        <v>866</v>
      </c>
      <c r="C219" s="454"/>
      <c r="D219" s="454"/>
      <c r="E219" s="454"/>
      <c r="F219" s="454"/>
      <c r="G219" s="454"/>
      <c r="H219" s="454"/>
      <c r="I219" s="454"/>
      <c r="J219" s="454"/>
      <c r="K219" s="454"/>
      <c r="L219" s="454"/>
      <c r="M219" s="454"/>
      <c r="N219" s="454"/>
      <c r="O219" s="454"/>
      <c r="P219" s="454"/>
      <c r="Q219" s="454"/>
      <c r="R219" s="454"/>
      <c r="S219" s="454"/>
      <c r="T219" s="454"/>
      <c r="U219" s="454"/>
      <c r="V219" s="454"/>
      <c r="W219" s="454"/>
    </row>
    <row r="220" spans="2:26" x14ac:dyDescent="0.25">
      <c r="B220" s="3"/>
      <c r="C220" s="3"/>
      <c r="D220" s="3"/>
      <c r="E220" s="3"/>
      <c r="F220" s="3"/>
      <c r="G220" s="3"/>
      <c r="H220" s="3"/>
    </row>
    <row r="221" spans="2:26" x14ac:dyDescent="0.25">
      <c r="B221" s="3"/>
      <c r="C221" s="3"/>
      <c r="D221" s="3"/>
      <c r="E221" s="3"/>
      <c r="F221" s="3"/>
      <c r="G221" s="3"/>
      <c r="H221" s="3"/>
    </row>
    <row r="222" spans="2:26" x14ac:dyDescent="0.25">
      <c r="B222" s="3"/>
      <c r="C222" s="3"/>
      <c r="D222" s="3"/>
      <c r="E222" s="3"/>
      <c r="F222" s="3"/>
      <c r="G222" s="3"/>
      <c r="H222" s="3"/>
    </row>
    <row r="223" spans="2:26" x14ac:dyDescent="0.25">
      <c r="B223" s="3"/>
      <c r="C223" s="3"/>
      <c r="D223" s="3"/>
      <c r="E223" s="3"/>
      <c r="F223" s="3"/>
      <c r="G223" s="3"/>
      <c r="H223" s="3"/>
    </row>
    <row r="224" spans="2:26" x14ac:dyDescent="0.25">
      <c r="B224" s="3"/>
      <c r="C224" s="3"/>
      <c r="D224" s="3"/>
      <c r="E224" s="3"/>
      <c r="F224" s="3"/>
      <c r="G224" s="3"/>
      <c r="H224" s="3"/>
    </row>
    <row r="225" spans="2:8" x14ac:dyDescent="0.25">
      <c r="B225" s="3"/>
      <c r="C225" s="3"/>
      <c r="D225" s="3"/>
      <c r="E225" s="3"/>
      <c r="F225" s="3"/>
      <c r="G225" s="3"/>
      <c r="H225" s="3"/>
    </row>
    <row r="226" spans="2:8" x14ac:dyDescent="0.25">
      <c r="B226" s="3"/>
      <c r="C226" s="3"/>
      <c r="D226" s="3"/>
      <c r="E226" s="3"/>
      <c r="F226" s="3"/>
      <c r="G226" s="3"/>
      <c r="H226" s="3"/>
    </row>
    <row r="227" spans="2:8" x14ac:dyDescent="0.25">
      <c r="B227" s="86"/>
      <c r="C227" s="3"/>
      <c r="D227" s="3"/>
      <c r="E227" s="3"/>
      <c r="F227" s="3"/>
      <c r="G227" s="3"/>
      <c r="H227" s="3"/>
    </row>
  </sheetData>
  <mergeCells count="16">
    <mergeCell ref="X20:Z21"/>
    <mergeCell ref="U21:W21"/>
    <mergeCell ref="C20:W20"/>
    <mergeCell ref="B219:W219"/>
    <mergeCell ref="B5:H5"/>
    <mergeCell ref="C7:E7"/>
    <mergeCell ref="B7:B8"/>
    <mergeCell ref="C21:E21"/>
    <mergeCell ref="F21:H21"/>
    <mergeCell ref="I21:K21"/>
    <mergeCell ref="L21:N21"/>
    <mergeCell ref="O21:Q21"/>
    <mergeCell ref="B15:Q15"/>
    <mergeCell ref="B18:H18"/>
    <mergeCell ref="B20:B22"/>
    <mergeCell ref="R21:T2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T523"/>
  <sheetViews>
    <sheetView showGridLines="0" workbookViewId="0">
      <selection activeCell="B158" sqref="B158"/>
    </sheetView>
    <sheetView showGridLines="0" workbookViewId="1"/>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9.85546875" style="7" customWidth="1"/>
    <col min="18" max="16384" width="11.5703125" style="7"/>
  </cols>
  <sheetData>
    <row r="2" spans="2:20" ht="23.25" x14ac:dyDescent="0.25">
      <c r="B2" s="1" t="s">
        <v>827</v>
      </c>
    </row>
    <row r="4" spans="2:20" ht="18.75" x14ac:dyDescent="0.3">
      <c r="B4" s="2" t="s">
        <v>752</v>
      </c>
      <c r="C4" s="2"/>
      <c r="D4" s="2"/>
      <c r="E4" s="8"/>
      <c r="F4" s="8"/>
      <c r="G4" s="8"/>
    </row>
    <row r="5" spans="2:20" x14ac:dyDescent="0.25">
      <c r="B5" s="3" t="s">
        <v>912</v>
      </c>
    </row>
    <row r="7" spans="2:20" ht="15" customHeight="1" x14ac:dyDescent="0.25">
      <c r="B7" s="432" t="s">
        <v>521</v>
      </c>
      <c r="C7" s="475" t="s">
        <v>477</v>
      </c>
      <c r="D7" s="475"/>
      <c r="E7" s="475"/>
      <c r="F7" s="475"/>
      <c r="G7" s="475"/>
      <c r="H7" s="475"/>
      <c r="I7" s="475"/>
      <c r="J7" s="475"/>
      <c r="K7" s="475"/>
      <c r="L7" s="475"/>
      <c r="M7" s="475"/>
      <c r="N7" s="475"/>
      <c r="O7" s="475"/>
      <c r="P7" s="475"/>
      <c r="Q7" s="475"/>
      <c r="R7" s="469" t="s">
        <v>877</v>
      </c>
      <c r="S7" s="470"/>
      <c r="T7" s="471"/>
    </row>
    <row r="8" spans="2:20" ht="15" customHeight="1" x14ac:dyDescent="0.25">
      <c r="B8" s="432"/>
      <c r="C8" s="463" t="s">
        <v>849</v>
      </c>
      <c r="D8" s="463"/>
      <c r="E8" s="463"/>
      <c r="F8" s="463" t="s">
        <v>850</v>
      </c>
      <c r="G8" s="463"/>
      <c r="H8" s="463"/>
      <c r="I8" s="463" t="s">
        <v>3</v>
      </c>
      <c r="J8" s="463"/>
      <c r="K8" s="463"/>
      <c r="L8" s="463" t="s">
        <v>5</v>
      </c>
      <c r="M8" s="463"/>
      <c r="N8" s="463"/>
      <c r="O8" s="463" t="s">
        <v>859</v>
      </c>
      <c r="P8" s="463"/>
      <c r="Q8" s="463"/>
      <c r="R8" s="472"/>
      <c r="S8" s="473"/>
      <c r="T8" s="474"/>
    </row>
    <row r="9" spans="2:20" x14ac:dyDescent="0.25">
      <c r="B9" s="432"/>
      <c r="C9" s="264" t="s">
        <v>73</v>
      </c>
      <c r="D9" s="264" t="s">
        <v>74</v>
      </c>
      <c r="E9" s="264" t="s">
        <v>25</v>
      </c>
      <c r="F9" s="264" t="s">
        <v>73</v>
      </c>
      <c r="G9" s="264" t="s">
        <v>74</v>
      </c>
      <c r="H9" s="264" t="s">
        <v>25</v>
      </c>
      <c r="I9" s="264" t="s">
        <v>73</v>
      </c>
      <c r="J9" s="264" t="s">
        <v>74</v>
      </c>
      <c r="K9" s="264" t="s">
        <v>25</v>
      </c>
      <c r="L9" s="264" t="s">
        <v>73</v>
      </c>
      <c r="M9" s="264" t="s">
        <v>74</v>
      </c>
      <c r="N9" s="264" t="s">
        <v>25</v>
      </c>
      <c r="O9" s="264" t="s">
        <v>73</v>
      </c>
      <c r="P9" s="264" t="s">
        <v>74</v>
      </c>
      <c r="Q9" s="264" t="s">
        <v>25</v>
      </c>
      <c r="R9" s="274" t="s">
        <v>73</v>
      </c>
      <c r="S9" s="274" t="s">
        <v>74</v>
      </c>
      <c r="T9" s="274" t="s">
        <v>25</v>
      </c>
    </row>
    <row r="10" spans="2:20" x14ac:dyDescent="0.25">
      <c r="B10" s="331" t="s">
        <v>519</v>
      </c>
      <c r="C10" s="307">
        <v>100</v>
      </c>
      <c r="D10" s="307">
        <v>108</v>
      </c>
      <c r="E10" s="307">
        <v>208</v>
      </c>
      <c r="F10" s="307">
        <v>99</v>
      </c>
      <c r="G10" s="307">
        <v>52</v>
      </c>
      <c r="H10" s="307">
        <v>151</v>
      </c>
      <c r="I10" s="334">
        <v>5</v>
      </c>
      <c r="J10" s="308">
        <v>2</v>
      </c>
      <c r="K10" s="307">
        <v>7</v>
      </c>
      <c r="L10" s="307">
        <v>8</v>
      </c>
      <c r="M10" s="334">
        <v>20</v>
      </c>
      <c r="N10" s="308">
        <v>28</v>
      </c>
      <c r="O10" s="308">
        <v>0</v>
      </c>
      <c r="P10" s="308">
        <v>0</v>
      </c>
      <c r="Q10" s="308">
        <v>0</v>
      </c>
      <c r="R10" s="282">
        <v>212</v>
      </c>
      <c r="S10" s="282">
        <v>182</v>
      </c>
      <c r="T10" s="282">
        <v>394</v>
      </c>
    </row>
    <row r="11" spans="2:20" x14ac:dyDescent="0.25">
      <c r="B11" s="332" t="s">
        <v>505</v>
      </c>
      <c r="C11" s="307">
        <v>128</v>
      </c>
      <c r="D11" s="307">
        <v>140</v>
      </c>
      <c r="E11" s="307">
        <v>268</v>
      </c>
      <c r="F11" s="307">
        <v>107</v>
      </c>
      <c r="G11" s="307">
        <v>69</v>
      </c>
      <c r="H11" s="307">
        <v>176</v>
      </c>
      <c r="I11" s="334">
        <v>7</v>
      </c>
      <c r="J11" s="308">
        <v>3</v>
      </c>
      <c r="K11" s="307">
        <v>10</v>
      </c>
      <c r="L11" s="307">
        <v>6</v>
      </c>
      <c r="M11" s="334">
        <v>9</v>
      </c>
      <c r="N11" s="308">
        <v>15</v>
      </c>
      <c r="O11" s="308">
        <v>0</v>
      </c>
      <c r="P11" s="308">
        <v>0</v>
      </c>
      <c r="Q11" s="308">
        <v>0</v>
      </c>
      <c r="R11" s="282">
        <v>248</v>
      </c>
      <c r="S11" s="282">
        <v>221</v>
      </c>
      <c r="T11" s="282">
        <v>469</v>
      </c>
    </row>
    <row r="12" spans="2:20" x14ac:dyDescent="0.25">
      <c r="B12" s="332" t="s">
        <v>506</v>
      </c>
      <c r="C12" s="307">
        <v>241</v>
      </c>
      <c r="D12" s="307">
        <v>230</v>
      </c>
      <c r="E12" s="307">
        <v>471</v>
      </c>
      <c r="F12" s="307">
        <v>202</v>
      </c>
      <c r="G12" s="307">
        <v>191</v>
      </c>
      <c r="H12" s="307">
        <v>393</v>
      </c>
      <c r="I12" s="334">
        <v>6</v>
      </c>
      <c r="J12" s="308">
        <v>3</v>
      </c>
      <c r="K12" s="307">
        <v>9</v>
      </c>
      <c r="L12" s="307">
        <v>14</v>
      </c>
      <c r="M12" s="334">
        <v>24</v>
      </c>
      <c r="N12" s="308">
        <v>38</v>
      </c>
      <c r="O12" s="308">
        <v>0</v>
      </c>
      <c r="P12" s="308">
        <v>0</v>
      </c>
      <c r="Q12" s="308">
        <v>0</v>
      </c>
      <c r="R12" s="282">
        <v>463</v>
      </c>
      <c r="S12" s="282">
        <v>448</v>
      </c>
      <c r="T12" s="282">
        <v>911</v>
      </c>
    </row>
    <row r="13" spans="2:20" x14ac:dyDescent="0.25">
      <c r="B13" s="332" t="s">
        <v>507</v>
      </c>
      <c r="C13" s="307">
        <v>171</v>
      </c>
      <c r="D13" s="307">
        <v>146</v>
      </c>
      <c r="E13" s="307">
        <v>317</v>
      </c>
      <c r="F13" s="307">
        <v>119</v>
      </c>
      <c r="G13" s="307">
        <v>84</v>
      </c>
      <c r="H13" s="307">
        <v>203</v>
      </c>
      <c r="I13" s="334">
        <v>5</v>
      </c>
      <c r="J13" s="308">
        <v>3</v>
      </c>
      <c r="K13" s="307">
        <v>8</v>
      </c>
      <c r="L13" s="307">
        <v>8</v>
      </c>
      <c r="M13" s="334">
        <v>20</v>
      </c>
      <c r="N13" s="308">
        <v>28</v>
      </c>
      <c r="O13" s="308">
        <v>0</v>
      </c>
      <c r="P13" s="308">
        <v>0</v>
      </c>
      <c r="Q13" s="308">
        <v>0</v>
      </c>
      <c r="R13" s="282">
        <v>303</v>
      </c>
      <c r="S13" s="282">
        <v>253</v>
      </c>
      <c r="T13" s="282">
        <v>556</v>
      </c>
    </row>
    <row r="14" spans="2:20" x14ac:dyDescent="0.25">
      <c r="B14" s="332" t="s">
        <v>508</v>
      </c>
      <c r="C14" s="307">
        <v>494</v>
      </c>
      <c r="D14" s="307">
        <v>466</v>
      </c>
      <c r="E14" s="307">
        <v>960</v>
      </c>
      <c r="F14" s="307">
        <v>358</v>
      </c>
      <c r="G14" s="307">
        <v>305</v>
      </c>
      <c r="H14" s="307">
        <v>663</v>
      </c>
      <c r="I14" s="334">
        <v>7</v>
      </c>
      <c r="J14" s="308">
        <v>16</v>
      </c>
      <c r="K14" s="307">
        <v>23</v>
      </c>
      <c r="L14" s="307">
        <v>32</v>
      </c>
      <c r="M14" s="334">
        <v>47</v>
      </c>
      <c r="N14" s="308">
        <v>79</v>
      </c>
      <c r="O14" s="308">
        <v>0</v>
      </c>
      <c r="P14" s="308">
        <v>1</v>
      </c>
      <c r="Q14" s="308">
        <v>1</v>
      </c>
      <c r="R14" s="282">
        <v>891</v>
      </c>
      <c r="S14" s="282">
        <v>835</v>
      </c>
      <c r="T14" s="282">
        <v>1726</v>
      </c>
    </row>
    <row r="15" spans="2:20" x14ac:dyDescent="0.25">
      <c r="B15" s="332" t="s">
        <v>509</v>
      </c>
      <c r="C15" s="307">
        <v>1127</v>
      </c>
      <c r="D15" s="307">
        <v>1107</v>
      </c>
      <c r="E15" s="307">
        <v>2234</v>
      </c>
      <c r="F15" s="307">
        <v>1010</v>
      </c>
      <c r="G15" s="307">
        <v>602</v>
      </c>
      <c r="H15" s="307">
        <v>1612</v>
      </c>
      <c r="I15" s="334">
        <v>26</v>
      </c>
      <c r="J15" s="308">
        <v>24</v>
      </c>
      <c r="K15" s="307">
        <v>50</v>
      </c>
      <c r="L15" s="307">
        <v>77</v>
      </c>
      <c r="M15" s="334">
        <v>112</v>
      </c>
      <c r="N15" s="308">
        <v>189</v>
      </c>
      <c r="O15" s="308">
        <v>1</v>
      </c>
      <c r="P15" s="308">
        <v>2</v>
      </c>
      <c r="Q15" s="308">
        <v>3</v>
      </c>
      <c r="R15" s="282">
        <v>2241</v>
      </c>
      <c r="S15" s="282">
        <v>1847</v>
      </c>
      <c r="T15" s="282">
        <v>4088</v>
      </c>
    </row>
    <row r="16" spans="2:20" x14ac:dyDescent="0.25">
      <c r="B16" s="332" t="s">
        <v>517</v>
      </c>
      <c r="C16" s="307">
        <v>3282</v>
      </c>
      <c r="D16" s="307">
        <v>3511</v>
      </c>
      <c r="E16" s="307">
        <v>6793</v>
      </c>
      <c r="F16" s="307">
        <v>3726</v>
      </c>
      <c r="G16" s="307">
        <v>1897</v>
      </c>
      <c r="H16" s="307">
        <v>5623</v>
      </c>
      <c r="I16" s="334">
        <v>86</v>
      </c>
      <c r="J16" s="308">
        <v>79</v>
      </c>
      <c r="K16" s="307">
        <v>165</v>
      </c>
      <c r="L16" s="307">
        <v>237</v>
      </c>
      <c r="M16" s="334">
        <v>331</v>
      </c>
      <c r="N16" s="308">
        <v>568</v>
      </c>
      <c r="O16" s="308">
        <v>2</v>
      </c>
      <c r="P16" s="308">
        <v>7</v>
      </c>
      <c r="Q16" s="308">
        <v>9</v>
      </c>
      <c r="R16" s="282">
        <v>7333</v>
      </c>
      <c r="S16" s="282">
        <v>5825</v>
      </c>
      <c r="T16" s="282">
        <v>13158</v>
      </c>
    </row>
    <row r="17" spans="2:20" ht="30" x14ac:dyDescent="0.25">
      <c r="B17" s="332" t="s">
        <v>510</v>
      </c>
      <c r="C17" s="307">
        <v>631</v>
      </c>
      <c r="D17" s="307">
        <v>570</v>
      </c>
      <c r="E17" s="307">
        <v>1201</v>
      </c>
      <c r="F17" s="307">
        <v>441</v>
      </c>
      <c r="G17" s="307">
        <v>398</v>
      </c>
      <c r="H17" s="307">
        <v>839</v>
      </c>
      <c r="I17" s="334">
        <v>20</v>
      </c>
      <c r="J17" s="308">
        <v>15</v>
      </c>
      <c r="K17" s="307">
        <v>35</v>
      </c>
      <c r="L17" s="307">
        <v>64</v>
      </c>
      <c r="M17" s="334">
        <v>85</v>
      </c>
      <c r="N17" s="308">
        <v>149</v>
      </c>
      <c r="O17" s="308">
        <v>1</v>
      </c>
      <c r="P17" s="308">
        <v>1</v>
      </c>
      <c r="Q17" s="308">
        <v>2</v>
      </c>
      <c r="R17" s="282">
        <v>1157</v>
      </c>
      <c r="S17" s="282">
        <v>1069</v>
      </c>
      <c r="T17" s="282">
        <v>2226</v>
      </c>
    </row>
    <row r="18" spans="2:20" x14ac:dyDescent="0.25">
      <c r="B18" s="257" t="s">
        <v>511</v>
      </c>
      <c r="C18" s="307">
        <v>715</v>
      </c>
      <c r="D18" s="307">
        <v>663</v>
      </c>
      <c r="E18" s="307">
        <v>1378</v>
      </c>
      <c r="F18" s="307">
        <v>561</v>
      </c>
      <c r="G18" s="307">
        <v>440</v>
      </c>
      <c r="H18" s="307">
        <v>1001</v>
      </c>
      <c r="I18" s="334">
        <v>30</v>
      </c>
      <c r="J18" s="308">
        <v>18</v>
      </c>
      <c r="K18" s="307">
        <v>48</v>
      </c>
      <c r="L18" s="307">
        <v>37</v>
      </c>
      <c r="M18" s="334">
        <v>68</v>
      </c>
      <c r="N18" s="308">
        <v>105</v>
      </c>
      <c r="O18" s="308">
        <v>1</v>
      </c>
      <c r="P18" s="308">
        <v>0</v>
      </c>
      <c r="Q18" s="308">
        <v>1</v>
      </c>
      <c r="R18" s="282">
        <v>1344</v>
      </c>
      <c r="S18" s="282">
        <v>1189</v>
      </c>
      <c r="T18" s="282">
        <v>2533</v>
      </c>
    </row>
    <row r="19" spans="2:20" x14ac:dyDescent="0.25">
      <c r="B19" s="268" t="s">
        <v>802</v>
      </c>
      <c r="C19" s="307">
        <v>351</v>
      </c>
      <c r="D19" s="307">
        <v>305</v>
      </c>
      <c r="E19" s="307">
        <v>656</v>
      </c>
      <c r="F19" s="307">
        <v>220</v>
      </c>
      <c r="G19" s="307">
        <v>191</v>
      </c>
      <c r="H19" s="307">
        <v>411</v>
      </c>
      <c r="I19" s="334">
        <v>9</v>
      </c>
      <c r="J19" s="308">
        <v>9</v>
      </c>
      <c r="K19" s="307">
        <v>18</v>
      </c>
      <c r="L19" s="307">
        <v>23</v>
      </c>
      <c r="M19" s="334">
        <v>42</v>
      </c>
      <c r="N19" s="308">
        <v>65</v>
      </c>
      <c r="O19" s="308">
        <v>0</v>
      </c>
      <c r="P19" s="308">
        <v>0</v>
      </c>
      <c r="Q19" s="308">
        <v>0</v>
      </c>
      <c r="R19" s="282">
        <v>603</v>
      </c>
      <c r="S19" s="282">
        <v>547</v>
      </c>
      <c r="T19" s="282">
        <v>1150</v>
      </c>
    </row>
    <row r="20" spans="2:20" x14ac:dyDescent="0.25">
      <c r="B20" s="268" t="s">
        <v>908</v>
      </c>
      <c r="C20" s="307">
        <v>996</v>
      </c>
      <c r="D20" s="307">
        <v>926</v>
      </c>
      <c r="E20" s="307">
        <v>1922</v>
      </c>
      <c r="F20" s="307">
        <v>729</v>
      </c>
      <c r="G20" s="307">
        <v>555</v>
      </c>
      <c r="H20" s="307">
        <v>1284</v>
      </c>
      <c r="I20" s="334">
        <v>26</v>
      </c>
      <c r="J20" s="308">
        <v>29</v>
      </c>
      <c r="K20" s="307">
        <v>55</v>
      </c>
      <c r="L20" s="307">
        <v>76</v>
      </c>
      <c r="M20" s="334">
        <v>96</v>
      </c>
      <c r="N20" s="308">
        <v>172</v>
      </c>
      <c r="O20" s="308">
        <v>0</v>
      </c>
      <c r="P20" s="308">
        <v>0</v>
      </c>
      <c r="Q20" s="308">
        <v>0</v>
      </c>
      <c r="R20" s="282">
        <v>1827</v>
      </c>
      <c r="S20" s="282">
        <v>1606</v>
      </c>
      <c r="T20" s="282">
        <v>3433</v>
      </c>
    </row>
    <row r="21" spans="2:20" x14ac:dyDescent="0.25">
      <c r="B21" s="268" t="s">
        <v>513</v>
      </c>
      <c r="C21" s="307">
        <v>644</v>
      </c>
      <c r="D21" s="307">
        <v>628</v>
      </c>
      <c r="E21" s="307">
        <v>1272</v>
      </c>
      <c r="F21" s="307">
        <v>413</v>
      </c>
      <c r="G21" s="307">
        <v>326</v>
      </c>
      <c r="H21" s="307">
        <v>739</v>
      </c>
      <c r="I21" s="334">
        <v>33</v>
      </c>
      <c r="J21" s="308">
        <v>18</v>
      </c>
      <c r="K21" s="307">
        <v>51</v>
      </c>
      <c r="L21" s="307">
        <v>38</v>
      </c>
      <c r="M21" s="334">
        <v>79</v>
      </c>
      <c r="N21" s="308">
        <v>117</v>
      </c>
      <c r="O21" s="308">
        <v>0</v>
      </c>
      <c r="P21" s="308">
        <v>0</v>
      </c>
      <c r="Q21" s="308">
        <v>0</v>
      </c>
      <c r="R21" s="282">
        <v>1128</v>
      </c>
      <c r="S21" s="282">
        <v>1051</v>
      </c>
      <c r="T21" s="282">
        <v>2179</v>
      </c>
    </row>
    <row r="22" spans="2:20" x14ac:dyDescent="0.25">
      <c r="B22" s="268" t="s">
        <v>518</v>
      </c>
      <c r="C22" s="307">
        <v>208</v>
      </c>
      <c r="D22" s="307">
        <v>257</v>
      </c>
      <c r="E22" s="307">
        <v>465</v>
      </c>
      <c r="F22" s="307">
        <v>173</v>
      </c>
      <c r="G22" s="307">
        <v>127</v>
      </c>
      <c r="H22" s="307">
        <v>300</v>
      </c>
      <c r="I22" s="334">
        <v>14</v>
      </c>
      <c r="J22" s="308">
        <v>9</v>
      </c>
      <c r="K22" s="307">
        <v>23</v>
      </c>
      <c r="L22" s="307">
        <v>17</v>
      </c>
      <c r="M22" s="334">
        <v>47</v>
      </c>
      <c r="N22" s="308">
        <v>64</v>
      </c>
      <c r="O22" s="308">
        <v>0</v>
      </c>
      <c r="P22" s="308">
        <v>0</v>
      </c>
      <c r="Q22" s="308">
        <v>0</v>
      </c>
      <c r="R22" s="282">
        <v>412</v>
      </c>
      <c r="S22" s="282">
        <v>440</v>
      </c>
      <c r="T22" s="282">
        <v>852</v>
      </c>
    </row>
    <row r="23" spans="2:20" x14ac:dyDescent="0.25">
      <c r="B23" s="268" t="s">
        <v>514</v>
      </c>
      <c r="C23" s="307">
        <v>483</v>
      </c>
      <c r="D23" s="307">
        <v>496</v>
      </c>
      <c r="E23" s="307">
        <v>979</v>
      </c>
      <c r="F23" s="307">
        <v>354</v>
      </c>
      <c r="G23" s="307">
        <v>263</v>
      </c>
      <c r="H23" s="307">
        <v>617</v>
      </c>
      <c r="I23" s="334">
        <v>23</v>
      </c>
      <c r="J23" s="308">
        <v>19</v>
      </c>
      <c r="K23" s="307">
        <v>42</v>
      </c>
      <c r="L23" s="307">
        <v>42</v>
      </c>
      <c r="M23" s="334">
        <v>60</v>
      </c>
      <c r="N23" s="308">
        <v>102</v>
      </c>
      <c r="O23" s="308">
        <v>1</v>
      </c>
      <c r="P23" s="308">
        <v>1</v>
      </c>
      <c r="Q23" s="308">
        <v>2</v>
      </c>
      <c r="R23" s="282">
        <v>903</v>
      </c>
      <c r="S23" s="282">
        <v>839</v>
      </c>
      <c r="T23" s="282">
        <v>1742</v>
      </c>
    </row>
    <row r="24" spans="2:20" ht="30" x14ac:dyDescent="0.25">
      <c r="B24" s="257" t="s">
        <v>515</v>
      </c>
      <c r="C24" s="307">
        <v>59</v>
      </c>
      <c r="D24" s="307">
        <v>77</v>
      </c>
      <c r="E24" s="307">
        <v>136</v>
      </c>
      <c r="F24" s="307">
        <v>56</v>
      </c>
      <c r="G24" s="307">
        <v>31</v>
      </c>
      <c r="H24" s="307">
        <v>87</v>
      </c>
      <c r="I24" s="334">
        <v>0</v>
      </c>
      <c r="J24" s="308">
        <v>0</v>
      </c>
      <c r="K24" s="307">
        <v>0</v>
      </c>
      <c r="L24" s="307">
        <v>3</v>
      </c>
      <c r="M24" s="334">
        <v>9</v>
      </c>
      <c r="N24" s="308">
        <v>12</v>
      </c>
      <c r="O24" s="308">
        <v>0</v>
      </c>
      <c r="P24" s="308">
        <v>0</v>
      </c>
      <c r="Q24" s="308">
        <v>0</v>
      </c>
      <c r="R24" s="282">
        <v>118</v>
      </c>
      <c r="S24" s="282">
        <v>117</v>
      </c>
      <c r="T24" s="282">
        <v>235</v>
      </c>
    </row>
    <row r="25" spans="2:20" x14ac:dyDescent="0.25">
      <c r="B25" s="268" t="s">
        <v>516</v>
      </c>
      <c r="C25" s="307">
        <v>84</v>
      </c>
      <c r="D25" s="307">
        <v>109</v>
      </c>
      <c r="E25" s="307">
        <v>193</v>
      </c>
      <c r="F25" s="307">
        <v>96</v>
      </c>
      <c r="G25" s="307">
        <v>58</v>
      </c>
      <c r="H25" s="307">
        <v>154</v>
      </c>
      <c r="I25" s="334">
        <v>1</v>
      </c>
      <c r="J25" s="308">
        <v>1</v>
      </c>
      <c r="K25" s="307">
        <v>2</v>
      </c>
      <c r="L25" s="307">
        <v>12</v>
      </c>
      <c r="M25" s="334">
        <v>8</v>
      </c>
      <c r="N25" s="308">
        <v>20</v>
      </c>
      <c r="O25" s="308">
        <v>0</v>
      </c>
      <c r="P25" s="308">
        <v>0</v>
      </c>
      <c r="Q25" s="308">
        <v>0</v>
      </c>
      <c r="R25" s="282">
        <v>193</v>
      </c>
      <c r="S25" s="282">
        <v>176</v>
      </c>
      <c r="T25" s="282">
        <v>369</v>
      </c>
    </row>
    <row r="26" spans="2:20" x14ac:dyDescent="0.25">
      <c r="B26" s="333" t="s">
        <v>835</v>
      </c>
      <c r="C26" s="282">
        <v>9714</v>
      </c>
      <c r="D26" s="282">
        <v>9739</v>
      </c>
      <c r="E26" s="282">
        <v>19453</v>
      </c>
      <c r="F26" s="282">
        <v>8664</v>
      </c>
      <c r="G26" s="282">
        <v>5589</v>
      </c>
      <c r="H26" s="282">
        <v>14253</v>
      </c>
      <c r="I26" s="282">
        <v>298</v>
      </c>
      <c r="J26" s="282">
        <v>248</v>
      </c>
      <c r="K26" s="282">
        <v>546</v>
      </c>
      <c r="L26" s="282">
        <v>694</v>
      </c>
      <c r="M26" s="282">
        <v>1057</v>
      </c>
      <c r="N26" s="282">
        <v>1751</v>
      </c>
      <c r="O26" s="282">
        <v>6</v>
      </c>
      <c r="P26" s="282">
        <v>12</v>
      </c>
      <c r="Q26" s="282">
        <v>18</v>
      </c>
      <c r="R26" s="282">
        <v>19376</v>
      </c>
      <c r="S26" s="282">
        <v>16645</v>
      </c>
      <c r="T26" s="282">
        <v>36021</v>
      </c>
    </row>
    <row r="27" spans="2:20" ht="84" customHeight="1" x14ac:dyDescent="0.25">
      <c r="B27" s="468" t="s">
        <v>866</v>
      </c>
      <c r="C27" s="468"/>
      <c r="D27" s="468"/>
      <c r="E27" s="468"/>
      <c r="F27" s="468"/>
      <c r="G27" s="468"/>
      <c r="H27" s="468"/>
      <c r="I27" s="468"/>
      <c r="J27" s="468"/>
      <c r="K27" s="468"/>
      <c r="L27" s="468"/>
      <c r="M27" s="468"/>
      <c r="N27" s="468"/>
      <c r="O27" s="468"/>
      <c r="P27" s="468"/>
      <c r="Q27" s="468"/>
    </row>
    <row r="29" spans="2:20" ht="18.75" x14ac:dyDescent="0.3">
      <c r="B29" s="2" t="s">
        <v>753</v>
      </c>
      <c r="C29" s="2"/>
      <c r="D29" s="2"/>
      <c r="E29" s="8"/>
      <c r="F29" s="8"/>
      <c r="G29" s="8"/>
    </row>
    <row r="30" spans="2:20" x14ac:dyDescent="0.25">
      <c r="B30" s="3" t="s">
        <v>912</v>
      </c>
      <c r="C30"/>
      <c r="D30"/>
      <c r="E30"/>
      <c r="F30"/>
      <c r="G30"/>
    </row>
    <row r="31" spans="2:20" x14ac:dyDescent="0.25">
      <c r="B31" s="6"/>
      <c r="C31"/>
      <c r="D31"/>
      <c r="E31"/>
      <c r="F31"/>
      <c r="G31"/>
    </row>
    <row r="32" spans="2:20" x14ac:dyDescent="0.25">
      <c r="B32" s="186" t="s">
        <v>519</v>
      </c>
      <c r="C32"/>
      <c r="D32"/>
      <c r="E32"/>
      <c r="F32"/>
      <c r="G32"/>
    </row>
    <row r="33" spans="2:20" x14ac:dyDescent="0.25">
      <c r="B33" s="186"/>
      <c r="C33"/>
      <c r="D33"/>
      <c r="E33"/>
      <c r="F33"/>
      <c r="G33"/>
    </row>
    <row r="34" spans="2:20" ht="15" customHeight="1" x14ac:dyDescent="0.25">
      <c r="B34" s="426" t="s">
        <v>532</v>
      </c>
      <c r="C34" s="475" t="s">
        <v>477</v>
      </c>
      <c r="D34" s="475"/>
      <c r="E34" s="475"/>
      <c r="F34" s="475"/>
      <c r="G34" s="475"/>
      <c r="H34" s="475"/>
      <c r="I34" s="475"/>
      <c r="J34" s="475"/>
      <c r="K34" s="475"/>
      <c r="L34" s="475"/>
      <c r="M34" s="475"/>
      <c r="N34" s="475"/>
      <c r="O34" s="475"/>
      <c r="P34" s="475"/>
      <c r="Q34" s="475"/>
      <c r="R34" s="469" t="s">
        <v>877</v>
      </c>
      <c r="S34" s="470"/>
      <c r="T34" s="471"/>
    </row>
    <row r="35" spans="2:20" ht="15" customHeight="1" x14ac:dyDescent="0.25">
      <c r="B35" s="427"/>
      <c r="C35" s="463" t="s">
        <v>849</v>
      </c>
      <c r="D35" s="463"/>
      <c r="E35" s="463"/>
      <c r="F35" s="463" t="s">
        <v>850</v>
      </c>
      <c r="G35" s="463"/>
      <c r="H35" s="463"/>
      <c r="I35" s="463" t="s">
        <v>3</v>
      </c>
      <c r="J35" s="463"/>
      <c r="K35" s="463"/>
      <c r="L35" s="463" t="s">
        <v>5</v>
      </c>
      <c r="M35" s="463"/>
      <c r="N35" s="463"/>
      <c r="O35" s="463" t="s">
        <v>859</v>
      </c>
      <c r="P35" s="463"/>
      <c r="Q35" s="463"/>
      <c r="R35" s="472"/>
      <c r="S35" s="473"/>
      <c r="T35" s="474"/>
    </row>
    <row r="36" spans="2:20" x14ac:dyDescent="0.25">
      <c r="B36" s="428"/>
      <c r="C36" s="264" t="s">
        <v>73</v>
      </c>
      <c r="D36" s="264" t="s">
        <v>74</v>
      </c>
      <c r="E36" s="264" t="s">
        <v>25</v>
      </c>
      <c r="F36" s="264" t="s">
        <v>73</v>
      </c>
      <c r="G36" s="264" t="s">
        <v>74</v>
      </c>
      <c r="H36" s="264" t="s">
        <v>25</v>
      </c>
      <c r="I36" s="264" t="s">
        <v>73</v>
      </c>
      <c r="J36" s="264" t="s">
        <v>74</v>
      </c>
      <c r="K36" s="264" t="s">
        <v>25</v>
      </c>
      <c r="L36" s="264" t="s">
        <v>73</v>
      </c>
      <c r="M36" s="264" t="s">
        <v>74</v>
      </c>
      <c r="N36" s="264" t="s">
        <v>25</v>
      </c>
      <c r="O36" s="264" t="s">
        <v>73</v>
      </c>
      <c r="P36" s="264" t="s">
        <v>74</v>
      </c>
      <c r="Q36" s="264" t="s">
        <v>25</v>
      </c>
      <c r="R36" s="274" t="s">
        <v>73</v>
      </c>
      <c r="S36" s="274" t="s">
        <v>74</v>
      </c>
      <c r="T36" s="274" t="s">
        <v>25</v>
      </c>
    </row>
    <row r="37" spans="2:20" x14ac:dyDescent="0.25">
      <c r="B37" s="335" t="s">
        <v>447</v>
      </c>
      <c r="C37" s="307">
        <v>100</v>
      </c>
      <c r="D37" s="307">
        <v>108</v>
      </c>
      <c r="E37" s="307">
        <v>208</v>
      </c>
      <c r="F37" s="307">
        <v>98</v>
      </c>
      <c r="G37" s="307">
        <v>52</v>
      </c>
      <c r="H37" s="284">
        <v>150</v>
      </c>
      <c r="I37" s="307">
        <v>5</v>
      </c>
      <c r="J37" s="284">
        <v>2</v>
      </c>
      <c r="K37" s="307">
        <v>7</v>
      </c>
      <c r="L37" s="284">
        <v>8</v>
      </c>
      <c r="M37" s="307">
        <v>20</v>
      </c>
      <c r="N37" s="284">
        <v>28</v>
      </c>
      <c r="O37" s="284">
        <v>0</v>
      </c>
      <c r="P37" s="284">
        <v>0</v>
      </c>
      <c r="Q37" s="284">
        <v>0</v>
      </c>
      <c r="R37" s="285">
        <v>211</v>
      </c>
      <c r="S37" s="285">
        <v>182</v>
      </c>
      <c r="T37" s="285">
        <v>393</v>
      </c>
    </row>
    <row r="38" spans="2:20" x14ac:dyDescent="0.25">
      <c r="B38" s="335" t="s">
        <v>450</v>
      </c>
      <c r="C38" s="307">
        <v>0</v>
      </c>
      <c r="D38" s="307">
        <v>0</v>
      </c>
      <c r="E38" s="307">
        <v>0</v>
      </c>
      <c r="F38" s="307">
        <v>1</v>
      </c>
      <c r="G38" s="307">
        <v>0</v>
      </c>
      <c r="H38" s="284">
        <v>1</v>
      </c>
      <c r="I38" s="307">
        <v>0</v>
      </c>
      <c r="J38" s="284">
        <v>0</v>
      </c>
      <c r="K38" s="307">
        <v>0</v>
      </c>
      <c r="L38" s="284">
        <v>0</v>
      </c>
      <c r="M38" s="307">
        <v>0</v>
      </c>
      <c r="N38" s="284">
        <v>0</v>
      </c>
      <c r="O38" s="284">
        <v>0</v>
      </c>
      <c r="P38" s="284">
        <v>0</v>
      </c>
      <c r="Q38" s="284">
        <v>0</v>
      </c>
      <c r="R38" s="285">
        <v>1</v>
      </c>
      <c r="S38" s="285">
        <v>0</v>
      </c>
      <c r="T38" s="285">
        <v>1</v>
      </c>
    </row>
    <row r="39" spans="2:20" x14ac:dyDescent="0.25">
      <c r="B39" s="297" t="s">
        <v>25</v>
      </c>
      <c r="C39" s="282">
        <v>100</v>
      </c>
      <c r="D39" s="282">
        <v>108</v>
      </c>
      <c r="E39" s="282">
        <v>208</v>
      </c>
      <c r="F39" s="282">
        <v>99</v>
      </c>
      <c r="G39" s="282">
        <v>52</v>
      </c>
      <c r="H39" s="285">
        <v>151</v>
      </c>
      <c r="I39" s="282">
        <v>5</v>
      </c>
      <c r="J39" s="285">
        <v>2</v>
      </c>
      <c r="K39" s="282">
        <v>7</v>
      </c>
      <c r="L39" s="285">
        <v>8</v>
      </c>
      <c r="M39" s="282">
        <v>20</v>
      </c>
      <c r="N39" s="285">
        <v>28</v>
      </c>
      <c r="O39" s="285">
        <v>0</v>
      </c>
      <c r="P39" s="285">
        <v>0</v>
      </c>
      <c r="Q39" s="285">
        <v>0</v>
      </c>
      <c r="R39" s="285">
        <v>212</v>
      </c>
      <c r="S39" s="285">
        <v>182</v>
      </c>
      <c r="T39" s="285">
        <v>394</v>
      </c>
    </row>
    <row r="40" spans="2:20" ht="84" customHeight="1" x14ac:dyDescent="0.25">
      <c r="B40" s="454" t="s">
        <v>866</v>
      </c>
      <c r="C40" s="454"/>
      <c r="D40" s="454"/>
      <c r="E40" s="454"/>
      <c r="F40" s="454"/>
      <c r="G40" s="454"/>
      <c r="H40" s="454"/>
      <c r="I40" s="454"/>
      <c r="J40" s="454"/>
      <c r="K40" s="454"/>
      <c r="L40" s="454"/>
      <c r="M40" s="454"/>
      <c r="N40" s="454"/>
      <c r="O40" s="454"/>
      <c r="P40" s="454"/>
      <c r="Q40" s="454"/>
    </row>
    <row r="41" spans="2:20" x14ac:dyDescent="0.25">
      <c r="B41" s="13"/>
      <c r="C41" s="13"/>
      <c r="D41" s="13"/>
      <c r="E41" s="13"/>
      <c r="F41" s="13"/>
      <c r="G41" s="13"/>
      <c r="H41" s="13"/>
      <c r="I41" s="13"/>
      <c r="J41" s="13"/>
      <c r="K41" s="13"/>
      <c r="L41" s="13"/>
      <c r="M41" s="13"/>
      <c r="N41" s="13"/>
      <c r="O41" s="13"/>
      <c r="P41" s="13"/>
      <c r="Q41" s="13"/>
    </row>
    <row r="42" spans="2:20" x14ac:dyDescent="0.25">
      <c r="B42" s="13"/>
      <c r="C42" s="13"/>
      <c r="D42" s="13"/>
      <c r="E42" s="13"/>
      <c r="F42" s="13"/>
      <c r="G42" s="13"/>
      <c r="H42" s="13"/>
      <c r="I42" s="13"/>
      <c r="J42" s="13"/>
      <c r="K42" s="13"/>
      <c r="L42" s="13"/>
      <c r="M42" s="13"/>
      <c r="N42" s="13"/>
      <c r="O42" s="13"/>
      <c r="P42" s="13"/>
      <c r="Q42" s="13"/>
    </row>
    <row r="43" spans="2:20" x14ac:dyDescent="0.25">
      <c r="B43" s="186" t="s">
        <v>505</v>
      </c>
      <c r="C43"/>
      <c r="D43"/>
      <c r="E43"/>
      <c r="F43"/>
      <c r="G43"/>
    </row>
    <row r="44" spans="2:20" x14ac:dyDescent="0.25">
      <c r="B44" s="186"/>
      <c r="C44"/>
      <c r="D44"/>
      <c r="E44"/>
      <c r="F44"/>
      <c r="G44"/>
    </row>
    <row r="45" spans="2:20" ht="15" customHeight="1" x14ac:dyDescent="0.25">
      <c r="B45" s="426" t="s">
        <v>532</v>
      </c>
      <c r="C45" s="475" t="s">
        <v>477</v>
      </c>
      <c r="D45" s="475"/>
      <c r="E45" s="475"/>
      <c r="F45" s="475"/>
      <c r="G45" s="475"/>
      <c r="H45" s="475"/>
      <c r="I45" s="475"/>
      <c r="J45" s="475"/>
      <c r="K45" s="475"/>
      <c r="L45" s="475"/>
      <c r="M45" s="475"/>
      <c r="N45" s="475"/>
      <c r="O45" s="475"/>
      <c r="P45" s="475"/>
      <c r="Q45" s="475"/>
      <c r="R45" s="469" t="s">
        <v>877</v>
      </c>
      <c r="S45" s="470"/>
      <c r="T45" s="471"/>
    </row>
    <row r="46" spans="2:20" ht="15" customHeight="1" x14ac:dyDescent="0.25">
      <c r="B46" s="427"/>
      <c r="C46" s="463" t="s">
        <v>849</v>
      </c>
      <c r="D46" s="463"/>
      <c r="E46" s="463"/>
      <c r="F46" s="463" t="s">
        <v>850</v>
      </c>
      <c r="G46" s="463"/>
      <c r="H46" s="463"/>
      <c r="I46" s="463" t="s">
        <v>3</v>
      </c>
      <c r="J46" s="463"/>
      <c r="K46" s="463"/>
      <c r="L46" s="463" t="s">
        <v>5</v>
      </c>
      <c r="M46" s="463"/>
      <c r="N46" s="463"/>
      <c r="O46" s="463" t="s">
        <v>859</v>
      </c>
      <c r="P46" s="463"/>
      <c r="Q46" s="463"/>
      <c r="R46" s="472"/>
      <c r="S46" s="473"/>
      <c r="T46" s="474"/>
    </row>
    <row r="47" spans="2:20" x14ac:dyDescent="0.25">
      <c r="B47" s="428"/>
      <c r="C47" s="264" t="s">
        <v>73</v>
      </c>
      <c r="D47" s="264" t="s">
        <v>74</v>
      </c>
      <c r="E47" s="264" t="s">
        <v>25</v>
      </c>
      <c r="F47" s="264" t="s">
        <v>73</v>
      </c>
      <c r="G47" s="264" t="s">
        <v>74</v>
      </c>
      <c r="H47" s="264" t="s">
        <v>25</v>
      </c>
      <c r="I47" s="264" t="s">
        <v>73</v>
      </c>
      <c r="J47" s="264" t="s">
        <v>74</v>
      </c>
      <c r="K47" s="264" t="s">
        <v>25</v>
      </c>
      <c r="L47" s="264" t="s">
        <v>73</v>
      </c>
      <c r="M47" s="264" t="s">
        <v>74</v>
      </c>
      <c r="N47" s="264" t="s">
        <v>25</v>
      </c>
      <c r="O47" s="264" t="s">
        <v>73</v>
      </c>
      <c r="P47" s="264" t="s">
        <v>74</v>
      </c>
      <c r="Q47" s="264" t="s">
        <v>25</v>
      </c>
      <c r="R47" s="274" t="s">
        <v>73</v>
      </c>
      <c r="S47" s="274" t="s">
        <v>74</v>
      </c>
      <c r="T47" s="274" t="s">
        <v>25</v>
      </c>
    </row>
    <row r="48" spans="2:20" x14ac:dyDescent="0.25">
      <c r="B48" s="336" t="s">
        <v>131</v>
      </c>
      <c r="C48" s="307">
        <v>36</v>
      </c>
      <c r="D48" s="307">
        <v>38</v>
      </c>
      <c r="E48" s="307">
        <v>74</v>
      </c>
      <c r="F48" s="307">
        <v>25</v>
      </c>
      <c r="G48" s="307">
        <v>18</v>
      </c>
      <c r="H48" s="290">
        <v>43</v>
      </c>
      <c r="I48" s="290">
        <v>3</v>
      </c>
      <c r="J48" s="337">
        <v>1</v>
      </c>
      <c r="K48" s="307">
        <v>4</v>
      </c>
      <c r="L48" s="290">
        <v>3</v>
      </c>
      <c r="M48" s="290">
        <v>2</v>
      </c>
      <c r="N48" s="337">
        <v>5</v>
      </c>
      <c r="O48" s="337">
        <v>0</v>
      </c>
      <c r="P48" s="337">
        <v>0</v>
      </c>
      <c r="Q48" s="337">
        <v>0</v>
      </c>
      <c r="R48" s="295">
        <v>67</v>
      </c>
      <c r="S48" s="295">
        <v>59</v>
      </c>
      <c r="T48" s="295">
        <v>126</v>
      </c>
    </row>
    <row r="49" spans="2:20" x14ac:dyDescent="0.25">
      <c r="B49" s="249" t="s">
        <v>137</v>
      </c>
      <c r="C49" s="307">
        <v>1</v>
      </c>
      <c r="D49" s="307">
        <v>1</v>
      </c>
      <c r="E49" s="307">
        <v>2</v>
      </c>
      <c r="F49" s="307">
        <v>0</v>
      </c>
      <c r="G49" s="307">
        <v>0</v>
      </c>
      <c r="H49" s="290">
        <v>0</v>
      </c>
      <c r="I49" s="290">
        <v>0</v>
      </c>
      <c r="J49" s="337">
        <v>0</v>
      </c>
      <c r="K49" s="307">
        <v>0</v>
      </c>
      <c r="L49" s="290">
        <v>0</v>
      </c>
      <c r="M49" s="290">
        <v>0</v>
      </c>
      <c r="N49" s="337">
        <v>0</v>
      </c>
      <c r="O49" s="337">
        <v>0</v>
      </c>
      <c r="P49" s="337">
        <v>0</v>
      </c>
      <c r="Q49" s="337">
        <v>0</v>
      </c>
      <c r="R49" s="295">
        <v>1</v>
      </c>
      <c r="S49" s="295">
        <v>1</v>
      </c>
      <c r="T49" s="295">
        <v>2</v>
      </c>
    </row>
    <row r="50" spans="2:20" x14ac:dyDescent="0.25">
      <c r="B50" s="249" t="s">
        <v>133</v>
      </c>
      <c r="C50" s="307">
        <v>2</v>
      </c>
      <c r="D50" s="307">
        <v>3</v>
      </c>
      <c r="E50" s="307">
        <v>5</v>
      </c>
      <c r="F50" s="307">
        <v>0</v>
      </c>
      <c r="G50" s="307">
        <v>1</v>
      </c>
      <c r="H50" s="290">
        <v>1</v>
      </c>
      <c r="I50" s="290">
        <v>0</v>
      </c>
      <c r="J50" s="337">
        <v>0</v>
      </c>
      <c r="K50" s="307">
        <v>0</v>
      </c>
      <c r="L50" s="290">
        <v>0</v>
      </c>
      <c r="M50" s="290">
        <v>0</v>
      </c>
      <c r="N50" s="337">
        <v>0</v>
      </c>
      <c r="O50" s="337">
        <v>0</v>
      </c>
      <c r="P50" s="337">
        <v>0</v>
      </c>
      <c r="Q50" s="337">
        <v>0</v>
      </c>
      <c r="R50" s="295">
        <v>2</v>
      </c>
      <c r="S50" s="295">
        <v>4</v>
      </c>
      <c r="T50" s="295">
        <v>6</v>
      </c>
    </row>
    <row r="51" spans="2:20" x14ac:dyDescent="0.25">
      <c r="B51" s="249" t="s">
        <v>134</v>
      </c>
      <c r="C51" s="307">
        <v>79</v>
      </c>
      <c r="D51" s="307">
        <v>82</v>
      </c>
      <c r="E51" s="307">
        <v>161</v>
      </c>
      <c r="F51" s="307">
        <v>75</v>
      </c>
      <c r="G51" s="307">
        <v>46</v>
      </c>
      <c r="H51" s="290">
        <v>121</v>
      </c>
      <c r="I51" s="290">
        <v>4</v>
      </c>
      <c r="J51" s="337">
        <v>2</v>
      </c>
      <c r="K51" s="307">
        <v>6</v>
      </c>
      <c r="L51" s="290">
        <v>3</v>
      </c>
      <c r="M51" s="290">
        <v>7</v>
      </c>
      <c r="N51" s="337">
        <v>10</v>
      </c>
      <c r="O51" s="337">
        <v>0</v>
      </c>
      <c r="P51" s="337">
        <v>0</v>
      </c>
      <c r="Q51" s="337">
        <v>0</v>
      </c>
      <c r="R51" s="295">
        <v>161</v>
      </c>
      <c r="S51" s="295">
        <v>137</v>
      </c>
      <c r="T51" s="295">
        <v>298</v>
      </c>
    </row>
    <row r="52" spans="2:20" x14ac:dyDescent="0.25">
      <c r="B52" s="249" t="s">
        <v>135</v>
      </c>
      <c r="C52" s="307">
        <v>2</v>
      </c>
      <c r="D52" s="307">
        <v>6</v>
      </c>
      <c r="E52" s="307">
        <v>8</v>
      </c>
      <c r="F52" s="307">
        <v>3</v>
      </c>
      <c r="G52" s="307">
        <v>2</v>
      </c>
      <c r="H52" s="290">
        <v>5</v>
      </c>
      <c r="I52" s="290">
        <v>0</v>
      </c>
      <c r="J52" s="337">
        <v>0</v>
      </c>
      <c r="K52" s="307">
        <v>0</v>
      </c>
      <c r="L52" s="290">
        <v>0</v>
      </c>
      <c r="M52" s="290">
        <v>0</v>
      </c>
      <c r="N52" s="337">
        <v>0</v>
      </c>
      <c r="O52" s="337">
        <v>0</v>
      </c>
      <c r="P52" s="337">
        <v>0</v>
      </c>
      <c r="Q52" s="337">
        <v>0</v>
      </c>
      <c r="R52" s="295">
        <v>5</v>
      </c>
      <c r="S52" s="295">
        <v>8</v>
      </c>
      <c r="T52" s="295">
        <v>13</v>
      </c>
    </row>
    <row r="53" spans="2:20" x14ac:dyDescent="0.25">
      <c r="B53" s="249" t="s">
        <v>136</v>
      </c>
      <c r="C53" s="307">
        <v>8</v>
      </c>
      <c r="D53" s="307">
        <v>10</v>
      </c>
      <c r="E53" s="307">
        <v>18</v>
      </c>
      <c r="F53" s="307">
        <v>4</v>
      </c>
      <c r="G53" s="307">
        <v>2</v>
      </c>
      <c r="H53" s="290">
        <v>6</v>
      </c>
      <c r="I53" s="290">
        <v>0</v>
      </c>
      <c r="J53" s="337">
        <v>0</v>
      </c>
      <c r="K53" s="307">
        <v>0</v>
      </c>
      <c r="L53" s="290">
        <v>0</v>
      </c>
      <c r="M53" s="290">
        <v>0</v>
      </c>
      <c r="N53" s="337">
        <v>0</v>
      </c>
      <c r="O53" s="337">
        <v>0</v>
      </c>
      <c r="P53" s="337">
        <v>0</v>
      </c>
      <c r="Q53" s="337">
        <v>0</v>
      </c>
      <c r="R53" s="295">
        <v>12</v>
      </c>
      <c r="S53" s="295">
        <v>12</v>
      </c>
      <c r="T53" s="295">
        <v>24</v>
      </c>
    </row>
    <row r="54" spans="2:20" x14ac:dyDescent="0.25">
      <c r="B54" s="297" t="s">
        <v>25</v>
      </c>
      <c r="C54" s="282">
        <v>128</v>
      </c>
      <c r="D54" s="282">
        <v>140</v>
      </c>
      <c r="E54" s="282">
        <v>268</v>
      </c>
      <c r="F54" s="282">
        <v>107</v>
      </c>
      <c r="G54" s="282">
        <v>69</v>
      </c>
      <c r="H54" s="285">
        <v>176</v>
      </c>
      <c r="I54" s="285">
        <v>7</v>
      </c>
      <c r="J54" s="285">
        <v>3</v>
      </c>
      <c r="K54" s="282">
        <v>10</v>
      </c>
      <c r="L54" s="285">
        <v>6</v>
      </c>
      <c r="M54" s="285">
        <v>9</v>
      </c>
      <c r="N54" s="285">
        <v>15</v>
      </c>
      <c r="O54" s="285">
        <v>0</v>
      </c>
      <c r="P54" s="285">
        <v>0</v>
      </c>
      <c r="Q54" s="285">
        <v>0</v>
      </c>
      <c r="R54" s="295">
        <v>248</v>
      </c>
      <c r="S54" s="295">
        <v>221</v>
      </c>
      <c r="T54" s="295">
        <v>469</v>
      </c>
    </row>
    <row r="55" spans="2:20" ht="85.5" customHeight="1" x14ac:dyDescent="0.25">
      <c r="B55" s="454" t="s">
        <v>866</v>
      </c>
      <c r="C55" s="454"/>
      <c r="D55" s="454"/>
      <c r="E55" s="454"/>
      <c r="F55" s="454"/>
      <c r="G55" s="454"/>
      <c r="H55" s="454"/>
      <c r="I55" s="454"/>
      <c r="J55" s="454"/>
      <c r="K55" s="454"/>
      <c r="L55" s="454"/>
      <c r="M55" s="454"/>
      <c r="N55" s="454"/>
      <c r="O55" s="454"/>
      <c r="P55" s="454"/>
      <c r="Q55" s="454"/>
    </row>
    <row r="56" spans="2:20" x14ac:dyDescent="0.25">
      <c r="B56" s="157"/>
      <c r="C56" s="157"/>
      <c r="D56" s="157"/>
      <c r="E56" s="157"/>
      <c r="F56" s="157"/>
      <c r="G56"/>
    </row>
    <row r="57" spans="2:20" x14ac:dyDescent="0.25">
      <c r="B57" s="186" t="s">
        <v>506</v>
      </c>
      <c r="C57"/>
      <c r="D57"/>
      <c r="E57"/>
      <c r="F57"/>
      <c r="G57"/>
    </row>
    <row r="58" spans="2:20" x14ac:dyDescent="0.25">
      <c r="B58" s="186"/>
      <c r="C58"/>
      <c r="D58"/>
      <c r="E58"/>
      <c r="F58"/>
      <c r="G58"/>
    </row>
    <row r="59" spans="2:20" ht="15" customHeight="1" x14ac:dyDescent="0.25">
      <c r="B59" s="426" t="s">
        <v>532</v>
      </c>
      <c r="C59" s="475" t="s">
        <v>477</v>
      </c>
      <c r="D59" s="475"/>
      <c r="E59" s="475"/>
      <c r="F59" s="475"/>
      <c r="G59" s="475"/>
      <c r="H59" s="475"/>
      <c r="I59" s="475"/>
      <c r="J59" s="475"/>
      <c r="K59" s="475"/>
      <c r="L59" s="475"/>
      <c r="M59" s="475"/>
      <c r="N59" s="475"/>
      <c r="O59" s="475"/>
      <c r="P59" s="475"/>
      <c r="Q59" s="475"/>
      <c r="R59" s="469" t="s">
        <v>877</v>
      </c>
      <c r="S59" s="470"/>
      <c r="T59" s="471"/>
    </row>
    <row r="60" spans="2:20" ht="15" customHeight="1" x14ac:dyDescent="0.25">
      <c r="B60" s="427"/>
      <c r="C60" s="463" t="s">
        <v>849</v>
      </c>
      <c r="D60" s="463"/>
      <c r="E60" s="463"/>
      <c r="F60" s="463" t="s">
        <v>850</v>
      </c>
      <c r="G60" s="463"/>
      <c r="H60" s="463"/>
      <c r="I60" s="463" t="s">
        <v>3</v>
      </c>
      <c r="J60" s="463"/>
      <c r="K60" s="463"/>
      <c r="L60" s="463" t="s">
        <v>5</v>
      </c>
      <c r="M60" s="463"/>
      <c r="N60" s="463"/>
      <c r="O60" s="463" t="s">
        <v>859</v>
      </c>
      <c r="P60" s="463"/>
      <c r="Q60" s="463"/>
      <c r="R60" s="472"/>
      <c r="S60" s="473"/>
      <c r="T60" s="474"/>
    </row>
    <row r="61" spans="2:20" x14ac:dyDescent="0.25">
      <c r="B61" s="428"/>
      <c r="C61" s="264" t="s">
        <v>73</v>
      </c>
      <c r="D61" s="264" t="s">
        <v>74</v>
      </c>
      <c r="E61" s="264" t="s">
        <v>25</v>
      </c>
      <c r="F61" s="264" t="s">
        <v>73</v>
      </c>
      <c r="G61" s="264" t="s">
        <v>74</v>
      </c>
      <c r="H61" s="264" t="s">
        <v>25</v>
      </c>
      <c r="I61" s="264" t="s">
        <v>73</v>
      </c>
      <c r="J61" s="264" t="s">
        <v>74</v>
      </c>
      <c r="K61" s="264" t="s">
        <v>25</v>
      </c>
      <c r="L61" s="264" t="s">
        <v>73</v>
      </c>
      <c r="M61" s="264" t="s">
        <v>74</v>
      </c>
      <c r="N61" s="264" t="s">
        <v>25</v>
      </c>
      <c r="O61" s="264" t="s">
        <v>73</v>
      </c>
      <c r="P61" s="264" t="s">
        <v>74</v>
      </c>
      <c r="Q61" s="264" t="s">
        <v>25</v>
      </c>
      <c r="R61" s="274" t="s">
        <v>73</v>
      </c>
      <c r="S61" s="274" t="s">
        <v>74</v>
      </c>
      <c r="T61" s="274" t="s">
        <v>25</v>
      </c>
    </row>
    <row r="62" spans="2:20" x14ac:dyDescent="0.25">
      <c r="B62" s="228" t="s">
        <v>139</v>
      </c>
      <c r="C62" s="307">
        <v>144</v>
      </c>
      <c r="D62" s="307">
        <v>130</v>
      </c>
      <c r="E62" s="307">
        <v>274</v>
      </c>
      <c r="F62" s="307">
        <v>138</v>
      </c>
      <c r="G62" s="307">
        <v>119</v>
      </c>
      <c r="H62" s="284">
        <v>257</v>
      </c>
      <c r="I62" s="307">
        <v>2</v>
      </c>
      <c r="J62" s="284">
        <v>1</v>
      </c>
      <c r="K62" s="307">
        <v>3</v>
      </c>
      <c r="L62" s="284">
        <v>7</v>
      </c>
      <c r="M62" s="307">
        <v>15</v>
      </c>
      <c r="N62" s="284">
        <v>22</v>
      </c>
      <c r="O62" s="284">
        <v>0</v>
      </c>
      <c r="P62" s="284">
        <v>0</v>
      </c>
      <c r="Q62" s="284">
        <v>0</v>
      </c>
      <c r="R62" s="285">
        <v>291</v>
      </c>
      <c r="S62" s="285">
        <v>265</v>
      </c>
      <c r="T62" s="285">
        <v>556</v>
      </c>
    </row>
    <row r="63" spans="2:20" x14ac:dyDescent="0.25">
      <c r="B63" s="229" t="s">
        <v>140</v>
      </c>
      <c r="C63" s="307">
        <v>61</v>
      </c>
      <c r="D63" s="307">
        <v>61</v>
      </c>
      <c r="E63" s="307">
        <v>122</v>
      </c>
      <c r="F63" s="307">
        <v>47</v>
      </c>
      <c r="G63" s="307">
        <v>49</v>
      </c>
      <c r="H63" s="284">
        <v>96</v>
      </c>
      <c r="I63" s="307">
        <v>4</v>
      </c>
      <c r="J63" s="284">
        <v>1</v>
      </c>
      <c r="K63" s="307">
        <v>5</v>
      </c>
      <c r="L63" s="284">
        <v>6</v>
      </c>
      <c r="M63" s="307">
        <v>6</v>
      </c>
      <c r="N63" s="284">
        <v>12</v>
      </c>
      <c r="O63" s="284">
        <v>0</v>
      </c>
      <c r="P63" s="284">
        <v>0</v>
      </c>
      <c r="Q63" s="284">
        <v>0</v>
      </c>
      <c r="R63" s="285">
        <v>118</v>
      </c>
      <c r="S63" s="285">
        <v>117</v>
      </c>
      <c r="T63" s="285">
        <v>235</v>
      </c>
    </row>
    <row r="64" spans="2:20" x14ac:dyDescent="0.25">
      <c r="B64" s="229" t="s">
        <v>141</v>
      </c>
      <c r="C64" s="307">
        <v>3</v>
      </c>
      <c r="D64" s="307">
        <v>2</v>
      </c>
      <c r="E64" s="307">
        <v>5</v>
      </c>
      <c r="F64" s="307">
        <v>0</v>
      </c>
      <c r="G64" s="307">
        <v>1</v>
      </c>
      <c r="H64" s="284">
        <v>1</v>
      </c>
      <c r="I64" s="307">
        <v>0</v>
      </c>
      <c r="J64" s="284">
        <v>0</v>
      </c>
      <c r="K64" s="307">
        <v>0</v>
      </c>
      <c r="L64" s="284">
        <v>0</v>
      </c>
      <c r="M64" s="307">
        <v>0</v>
      </c>
      <c r="N64" s="284">
        <v>0</v>
      </c>
      <c r="O64" s="284">
        <v>0</v>
      </c>
      <c r="P64" s="284">
        <v>0</v>
      </c>
      <c r="Q64" s="284">
        <v>0</v>
      </c>
      <c r="R64" s="285">
        <v>3</v>
      </c>
      <c r="S64" s="285">
        <v>3</v>
      </c>
      <c r="T64" s="285">
        <v>6</v>
      </c>
    </row>
    <row r="65" spans="2:20" x14ac:dyDescent="0.25">
      <c r="B65" s="229" t="s">
        <v>142</v>
      </c>
      <c r="C65" s="307">
        <v>9</v>
      </c>
      <c r="D65" s="307">
        <v>6</v>
      </c>
      <c r="E65" s="307">
        <v>15</v>
      </c>
      <c r="F65" s="307">
        <v>1</v>
      </c>
      <c r="G65" s="307">
        <v>1</v>
      </c>
      <c r="H65" s="284">
        <v>2</v>
      </c>
      <c r="I65" s="307">
        <v>0</v>
      </c>
      <c r="J65" s="284">
        <v>0</v>
      </c>
      <c r="K65" s="307">
        <v>0</v>
      </c>
      <c r="L65" s="284">
        <v>1</v>
      </c>
      <c r="M65" s="307">
        <v>0</v>
      </c>
      <c r="N65" s="284">
        <v>1</v>
      </c>
      <c r="O65" s="284">
        <v>0</v>
      </c>
      <c r="P65" s="284">
        <v>0</v>
      </c>
      <c r="Q65" s="284">
        <v>0</v>
      </c>
      <c r="R65" s="285">
        <v>11</v>
      </c>
      <c r="S65" s="285">
        <v>7</v>
      </c>
      <c r="T65" s="285">
        <v>18</v>
      </c>
    </row>
    <row r="66" spans="2:20" x14ac:dyDescent="0.25">
      <c r="B66" s="229" t="s">
        <v>144</v>
      </c>
      <c r="C66" s="307">
        <v>3</v>
      </c>
      <c r="D66" s="307">
        <v>3</v>
      </c>
      <c r="E66" s="307">
        <v>6</v>
      </c>
      <c r="F66" s="307">
        <v>4</v>
      </c>
      <c r="G66" s="307">
        <v>2</v>
      </c>
      <c r="H66" s="284">
        <v>6</v>
      </c>
      <c r="I66" s="307">
        <v>0</v>
      </c>
      <c r="J66" s="284">
        <v>0</v>
      </c>
      <c r="K66" s="307">
        <v>0</v>
      </c>
      <c r="L66" s="284">
        <v>0</v>
      </c>
      <c r="M66" s="307">
        <v>0</v>
      </c>
      <c r="N66" s="284">
        <v>0</v>
      </c>
      <c r="O66" s="284">
        <v>0</v>
      </c>
      <c r="P66" s="284">
        <v>0</v>
      </c>
      <c r="Q66" s="284">
        <v>0</v>
      </c>
      <c r="R66" s="285">
        <v>7</v>
      </c>
      <c r="S66" s="285">
        <v>5</v>
      </c>
      <c r="T66" s="285">
        <v>12</v>
      </c>
    </row>
    <row r="67" spans="2:20" x14ac:dyDescent="0.25">
      <c r="B67" s="229" t="s">
        <v>146</v>
      </c>
      <c r="C67" s="307">
        <v>10</v>
      </c>
      <c r="D67" s="307">
        <v>11</v>
      </c>
      <c r="E67" s="307">
        <v>21</v>
      </c>
      <c r="F67" s="307">
        <v>1</v>
      </c>
      <c r="G67" s="307">
        <v>5</v>
      </c>
      <c r="H67" s="284">
        <v>6</v>
      </c>
      <c r="I67" s="307">
        <v>0</v>
      </c>
      <c r="J67" s="284">
        <v>0</v>
      </c>
      <c r="K67" s="307">
        <v>0</v>
      </c>
      <c r="L67" s="284">
        <v>0</v>
      </c>
      <c r="M67" s="307">
        <v>1</v>
      </c>
      <c r="N67" s="284">
        <v>1</v>
      </c>
      <c r="O67" s="284">
        <v>0</v>
      </c>
      <c r="P67" s="284">
        <v>0</v>
      </c>
      <c r="Q67" s="284">
        <v>0</v>
      </c>
      <c r="R67" s="285">
        <v>11</v>
      </c>
      <c r="S67" s="285">
        <v>17</v>
      </c>
      <c r="T67" s="285">
        <v>28</v>
      </c>
    </row>
    <row r="68" spans="2:20" x14ac:dyDescent="0.25">
      <c r="B68" s="229" t="s">
        <v>147</v>
      </c>
      <c r="C68" s="307">
        <v>11</v>
      </c>
      <c r="D68" s="307">
        <v>17</v>
      </c>
      <c r="E68" s="307">
        <v>28</v>
      </c>
      <c r="F68" s="307">
        <v>11</v>
      </c>
      <c r="G68" s="307">
        <v>14</v>
      </c>
      <c r="H68" s="284">
        <v>25</v>
      </c>
      <c r="I68" s="307">
        <v>0</v>
      </c>
      <c r="J68" s="284">
        <v>1</v>
      </c>
      <c r="K68" s="307">
        <v>1</v>
      </c>
      <c r="L68" s="284">
        <v>0</v>
      </c>
      <c r="M68" s="307">
        <v>2</v>
      </c>
      <c r="N68" s="284">
        <v>2</v>
      </c>
      <c r="O68" s="284">
        <v>0</v>
      </c>
      <c r="P68" s="284">
        <v>0</v>
      </c>
      <c r="Q68" s="284">
        <v>0</v>
      </c>
      <c r="R68" s="285">
        <v>22</v>
      </c>
      <c r="S68" s="285">
        <v>34</v>
      </c>
      <c r="T68" s="285">
        <v>56</v>
      </c>
    </row>
    <row r="69" spans="2:20" x14ac:dyDescent="0.25">
      <c r="B69" s="260" t="s">
        <v>25</v>
      </c>
      <c r="C69" s="282">
        <v>241</v>
      </c>
      <c r="D69" s="282">
        <v>230</v>
      </c>
      <c r="E69" s="282">
        <v>471</v>
      </c>
      <c r="F69" s="282">
        <v>202</v>
      </c>
      <c r="G69" s="282">
        <v>191</v>
      </c>
      <c r="H69" s="285">
        <v>393</v>
      </c>
      <c r="I69" s="282">
        <v>6</v>
      </c>
      <c r="J69" s="285">
        <v>3</v>
      </c>
      <c r="K69" s="282">
        <v>9</v>
      </c>
      <c r="L69" s="285">
        <v>14</v>
      </c>
      <c r="M69" s="282">
        <v>24</v>
      </c>
      <c r="N69" s="285">
        <v>38</v>
      </c>
      <c r="O69" s="285">
        <v>0</v>
      </c>
      <c r="P69" s="285">
        <v>0</v>
      </c>
      <c r="Q69" s="285">
        <v>0</v>
      </c>
      <c r="R69" s="285">
        <v>463</v>
      </c>
      <c r="S69" s="285">
        <v>448</v>
      </c>
      <c r="T69" s="285">
        <v>911</v>
      </c>
    </row>
    <row r="70" spans="2:20" ht="86.25" customHeight="1" x14ac:dyDescent="0.25">
      <c r="B70" s="454" t="s">
        <v>866</v>
      </c>
      <c r="C70" s="454"/>
      <c r="D70" s="454"/>
      <c r="E70" s="454"/>
      <c r="F70" s="454"/>
      <c r="G70" s="454"/>
      <c r="H70" s="454"/>
      <c r="I70" s="454"/>
      <c r="J70" s="454"/>
      <c r="K70" s="454"/>
      <c r="L70" s="454"/>
      <c r="M70" s="454"/>
      <c r="N70" s="454"/>
      <c r="O70" s="454"/>
      <c r="P70" s="454"/>
      <c r="Q70" s="454"/>
    </row>
    <row r="71" spans="2:20" x14ac:dyDescent="0.25">
      <c r="B71" s="157"/>
      <c r="C71" s="157"/>
      <c r="D71" s="157"/>
      <c r="E71"/>
      <c r="F71"/>
      <c r="G71"/>
    </row>
    <row r="72" spans="2:20" x14ac:dyDescent="0.25">
      <c r="B72" s="186" t="s">
        <v>507</v>
      </c>
      <c r="C72"/>
      <c r="D72"/>
      <c r="E72"/>
      <c r="F72"/>
      <c r="G72"/>
    </row>
    <row r="73" spans="2:20" x14ac:dyDescent="0.25">
      <c r="B73" s="186"/>
      <c r="C73"/>
      <c r="D73"/>
      <c r="E73"/>
      <c r="F73"/>
      <c r="G73"/>
    </row>
    <row r="74" spans="2:20" ht="15" customHeight="1" x14ac:dyDescent="0.25">
      <c r="B74" s="426" t="s">
        <v>532</v>
      </c>
      <c r="C74" s="475" t="s">
        <v>477</v>
      </c>
      <c r="D74" s="475"/>
      <c r="E74" s="475"/>
      <c r="F74" s="475"/>
      <c r="G74" s="475"/>
      <c r="H74" s="475"/>
      <c r="I74" s="475"/>
      <c r="J74" s="475"/>
      <c r="K74" s="475"/>
      <c r="L74" s="475"/>
      <c r="M74" s="475"/>
      <c r="N74" s="475"/>
      <c r="O74" s="475"/>
      <c r="P74" s="475"/>
      <c r="Q74" s="475"/>
      <c r="R74" s="469" t="s">
        <v>877</v>
      </c>
      <c r="S74" s="470"/>
      <c r="T74" s="471"/>
    </row>
    <row r="75" spans="2:20" ht="15" customHeight="1" x14ac:dyDescent="0.25">
      <c r="B75" s="427"/>
      <c r="C75" s="463" t="s">
        <v>849</v>
      </c>
      <c r="D75" s="463"/>
      <c r="E75" s="463"/>
      <c r="F75" s="463" t="s">
        <v>850</v>
      </c>
      <c r="G75" s="463"/>
      <c r="H75" s="463"/>
      <c r="I75" s="463" t="s">
        <v>3</v>
      </c>
      <c r="J75" s="463"/>
      <c r="K75" s="463"/>
      <c r="L75" s="463" t="s">
        <v>5</v>
      </c>
      <c r="M75" s="463"/>
      <c r="N75" s="463"/>
      <c r="O75" s="463" t="s">
        <v>859</v>
      </c>
      <c r="P75" s="463"/>
      <c r="Q75" s="463"/>
      <c r="R75" s="472"/>
      <c r="S75" s="473"/>
      <c r="T75" s="474"/>
    </row>
    <row r="76" spans="2:20" x14ac:dyDescent="0.25">
      <c r="B76" s="428"/>
      <c r="C76" s="264" t="s">
        <v>73</v>
      </c>
      <c r="D76" s="264" t="s">
        <v>74</v>
      </c>
      <c r="E76" s="264" t="s">
        <v>25</v>
      </c>
      <c r="F76" s="264" t="s">
        <v>73</v>
      </c>
      <c r="G76" s="264" t="s">
        <v>74</v>
      </c>
      <c r="H76" s="264" t="s">
        <v>25</v>
      </c>
      <c r="I76" s="264" t="s">
        <v>73</v>
      </c>
      <c r="J76" s="264" t="s">
        <v>74</v>
      </c>
      <c r="K76" s="264" t="s">
        <v>25</v>
      </c>
      <c r="L76" s="264" t="s">
        <v>73</v>
      </c>
      <c r="M76" s="264" t="s">
        <v>74</v>
      </c>
      <c r="N76" s="264" t="s">
        <v>25</v>
      </c>
      <c r="O76" s="264" t="s">
        <v>73</v>
      </c>
      <c r="P76" s="264" t="s">
        <v>74</v>
      </c>
      <c r="Q76" s="264" t="s">
        <v>25</v>
      </c>
      <c r="R76" s="274" t="s">
        <v>73</v>
      </c>
      <c r="S76" s="274" t="s">
        <v>74</v>
      </c>
      <c r="T76" s="274" t="s">
        <v>25</v>
      </c>
    </row>
    <row r="77" spans="2:20" x14ac:dyDescent="0.25">
      <c r="B77" s="249" t="s">
        <v>148</v>
      </c>
      <c r="C77" s="307">
        <v>3</v>
      </c>
      <c r="D77" s="307">
        <v>9</v>
      </c>
      <c r="E77" s="307">
        <v>12</v>
      </c>
      <c r="F77" s="307">
        <v>3</v>
      </c>
      <c r="G77" s="307">
        <v>1</v>
      </c>
      <c r="H77" s="284">
        <v>4</v>
      </c>
      <c r="I77" s="307">
        <v>0</v>
      </c>
      <c r="J77" s="284">
        <v>0</v>
      </c>
      <c r="K77" s="307">
        <v>0</v>
      </c>
      <c r="L77" s="284">
        <v>0</v>
      </c>
      <c r="M77" s="307">
        <v>0</v>
      </c>
      <c r="N77" s="284">
        <v>0</v>
      </c>
      <c r="O77" s="284">
        <v>0</v>
      </c>
      <c r="P77" s="307">
        <v>0</v>
      </c>
      <c r="Q77" s="284">
        <v>0</v>
      </c>
      <c r="R77" s="285">
        <v>6</v>
      </c>
      <c r="S77" s="285">
        <v>10</v>
      </c>
      <c r="T77" s="285">
        <v>16</v>
      </c>
    </row>
    <row r="78" spans="2:20" x14ac:dyDescent="0.25">
      <c r="B78" s="249" t="s">
        <v>149</v>
      </c>
      <c r="C78" s="307">
        <v>16</v>
      </c>
      <c r="D78" s="307">
        <v>15</v>
      </c>
      <c r="E78" s="307">
        <v>31</v>
      </c>
      <c r="F78" s="307">
        <v>7</v>
      </c>
      <c r="G78" s="307">
        <v>6</v>
      </c>
      <c r="H78" s="284">
        <v>13</v>
      </c>
      <c r="I78" s="307">
        <v>0</v>
      </c>
      <c r="J78" s="284">
        <v>0</v>
      </c>
      <c r="K78" s="307">
        <v>0</v>
      </c>
      <c r="L78" s="284">
        <v>0</v>
      </c>
      <c r="M78" s="307">
        <v>1</v>
      </c>
      <c r="N78" s="284">
        <v>1</v>
      </c>
      <c r="O78" s="284">
        <v>0</v>
      </c>
      <c r="P78" s="307">
        <v>0</v>
      </c>
      <c r="Q78" s="284">
        <v>0</v>
      </c>
      <c r="R78" s="285">
        <v>23</v>
      </c>
      <c r="S78" s="285">
        <v>22</v>
      </c>
      <c r="T78" s="285">
        <v>45</v>
      </c>
    </row>
    <row r="79" spans="2:20" x14ac:dyDescent="0.25">
      <c r="B79" s="249" t="s">
        <v>490</v>
      </c>
      <c r="C79" s="307">
        <v>11</v>
      </c>
      <c r="D79" s="307">
        <v>10</v>
      </c>
      <c r="E79" s="307">
        <v>21</v>
      </c>
      <c r="F79" s="307">
        <v>12</v>
      </c>
      <c r="G79" s="307">
        <v>5</v>
      </c>
      <c r="H79" s="284">
        <v>17</v>
      </c>
      <c r="I79" s="307">
        <v>1</v>
      </c>
      <c r="J79" s="284">
        <v>0</v>
      </c>
      <c r="K79" s="307">
        <v>1</v>
      </c>
      <c r="L79" s="284">
        <v>0</v>
      </c>
      <c r="M79" s="307">
        <v>0</v>
      </c>
      <c r="N79" s="284">
        <v>0</v>
      </c>
      <c r="O79" s="284">
        <v>0</v>
      </c>
      <c r="P79" s="307">
        <v>0</v>
      </c>
      <c r="Q79" s="284">
        <v>0</v>
      </c>
      <c r="R79" s="285">
        <v>24</v>
      </c>
      <c r="S79" s="285">
        <v>15</v>
      </c>
      <c r="T79" s="285">
        <v>39</v>
      </c>
    </row>
    <row r="80" spans="2:20" x14ac:dyDescent="0.25">
      <c r="B80" s="249" t="s">
        <v>150</v>
      </c>
      <c r="C80" s="307">
        <v>69</v>
      </c>
      <c r="D80" s="307">
        <v>67</v>
      </c>
      <c r="E80" s="307">
        <v>136</v>
      </c>
      <c r="F80" s="307">
        <v>72</v>
      </c>
      <c r="G80" s="307">
        <v>47</v>
      </c>
      <c r="H80" s="284">
        <v>119</v>
      </c>
      <c r="I80" s="307">
        <v>1</v>
      </c>
      <c r="J80" s="284">
        <v>2</v>
      </c>
      <c r="K80" s="307">
        <v>3</v>
      </c>
      <c r="L80" s="284">
        <v>2</v>
      </c>
      <c r="M80" s="307">
        <v>10</v>
      </c>
      <c r="N80" s="284">
        <v>12</v>
      </c>
      <c r="O80" s="284">
        <v>0</v>
      </c>
      <c r="P80" s="307">
        <v>0</v>
      </c>
      <c r="Q80" s="284">
        <v>0</v>
      </c>
      <c r="R80" s="285">
        <v>144</v>
      </c>
      <c r="S80" s="285">
        <v>126</v>
      </c>
      <c r="T80" s="285">
        <v>270</v>
      </c>
    </row>
    <row r="81" spans="2:20" x14ac:dyDescent="0.25">
      <c r="B81" s="249" t="s">
        <v>151</v>
      </c>
      <c r="C81" s="307">
        <v>8</v>
      </c>
      <c r="D81" s="307">
        <v>4</v>
      </c>
      <c r="E81" s="307">
        <v>12</v>
      </c>
      <c r="F81" s="307">
        <v>3</v>
      </c>
      <c r="G81" s="307">
        <v>2</v>
      </c>
      <c r="H81" s="284">
        <v>5</v>
      </c>
      <c r="I81" s="307">
        <v>0</v>
      </c>
      <c r="J81" s="284">
        <v>0</v>
      </c>
      <c r="K81" s="307">
        <v>0</v>
      </c>
      <c r="L81" s="284">
        <v>1</v>
      </c>
      <c r="M81" s="307">
        <v>2</v>
      </c>
      <c r="N81" s="284">
        <v>3</v>
      </c>
      <c r="O81" s="284">
        <v>0</v>
      </c>
      <c r="P81" s="307">
        <v>0</v>
      </c>
      <c r="Q81" s="284">
        <v>0</v>
      </c>
      <c r="R81" s="285">
        <v>12</v>
      </c>
      <c r="S81" s="285">
        <v>8</v>
      </c>
      <c r="T81" s="285">
        <v>20</v>
      </c>
    </row>
    <row r="82" spans="2:20" x14ac:dyDescent="0.25">
      <c r="B82" s="249" t="s">
        <v>152</v>
      </c>
      <c r="C82" s="307">
        <v>6</v>
      </c>
      <c r="D82" s="307">
        <v>7</v>
      </c>
      <c r="E82" s="307">
        <v>13</v>
      </c>
      <c r="F82" s="307">
        <v>1</v>
      </c>
      <c r="G82" s="307">
        <v>2</v>
      </c>
      <c r="H82" s="284">
        <v>3</v>
      </c>
      <c r="I82" s="307">
        <v>0</v>
      </c>
      <c r="J82" s="284">
        <v>0</v>
      </c>
      <c r="K82" s="307">
        <v>0</v>
      </c>
      <c r="L82" s="284">
        <v>0</v>
      </c>
      <c r="M82" s="307">
        <v>1</v>
      </c>
      <c r="N82" s="284">
        <v>1</v>
      </c>
      <c r="O82" s="284">
        <v>0</v>
      </c>
      <c r="P82" s="307">
        <v>0</v>
      </c>
      <c r="Q82" s="284">
        <v>0</v>
      </c>
      <c r="R82" s="285">
        <v>7</v>
      </c>
      <c r="S82" s="285">
        <v>10</v>
      </c>
      <c r="T82" s="285">
        <v>17</v>
      </c>
    </row>
    <row r="83" spans="2:20" x14ac:dyDescent="0.25">
      <c r="B83" s="249" t="s">
        <v>153</v>
      </c>
      <c r="C83" s="307">
        <v>9</v>
      </c>
      <c r="D83" s="307">
        <v>6</v>
      </c>
      <c r="E83" s="307">
        <v>15</v>
      </c>
      <c r="F83" s="307">
        <v>4</v>
      </c>
      <c r="G83" s="307">
        <v>2</v>
      </c>
      <c r="H83" s="284">
        <v>6</v>
      </c>
      <c r="I83" s="307">
        <v>0</v>
      </c>
      <c r="J83" s="284">
        <v>0</v>
      </c>
      <c r="K83" s="307">
        <v>0</v>
      </c>
      <c r="L83" s="284">
        <v>1</v>
      </c>
      <c r="M83" s="307">
        <v>1</v>
      </c>
      <c r="N83" s="284">
        <v>2</v>
      </c>
      <c r="O83" s="284">
        <v>0</v>
      </c>
      <c r="P83" s="307">
        <v>0</v>
      </c>
      <c r="Q83" s="284">
        <v>0</v>
      </c>
      <c r="R83" s="285">
        <v>14</v>
      </c>
      <c r="S83" s="285">
        <v>9</v>
      </c>
      <c r="T83" s="285">
        <v>23</v>
      </c>
    </row>
    <row r="84" spans="2:20" x14ac:dyDescent="0.25">
      <c r="B84" s="249" t="s">
        <v>154</v>
      </c>
      <c r="C84" s="307">
        <v>6</v>
      </c>
      <c r="D84" s="307">
        <v>6</v>
      </c>
      <c r="E84" s="307">
        <v>12</v>
      </c>
      <c r="F84" s="307">
        <v>1</v>
      </c>
      <c r="G84" s="307">
        <v>3</v>
      </c>
      <c r="H84" s="284">
        <v>4</v>
      </c>
      <c r="I84" s="307">
        <v>1</v>
      </c>
      <c r="J84" s="284">
        <v>0</v>
      </c>
      <c r="K84" s="307">
        <v>1</v>
      </c>
      <c r="L84" s="284">
        <v>2</v>
      </c>
      <c r="M84" s="307">
        <v>1</v>
      </c>
      <c r="N84" s="284">
        <v>3</v>
      </c>
      <c r="O84" s="284">
        <v>0</v>
      </c>
      <c r="P84" s="307">
        <v>0</v>
      </c>
      <c r="Q84" s="284">
        <v>0</v>
      </c>
      <c r="R84" s="285">
        <v>10</v>
      </c>
      <c r="S84" s="285">
        <v>10</v>
      </c>
      <c r="T84" s="285">
        <v>20</v>
      </c>
    </row>
    <row r="85" spans="2:20" x14ac:dyDescent="0.25">
      <c r="B85" s="250" t="s">
        <v>155</v>
      </c>
      <c r="C85" s="307">
        <v>43</v>
      </c>
      <c r="D85" s="307">
        <v>22</v>
      </c>
      <c r="E85" s="307">
        <v>65</v>
      </c>
      <c r="F85" s="307">
        <v>16</v>
      </c>
      <c r="G85" s="307">
        <v>16</v>
      </c>
      <c r="H85" s="284">
        <v>32</v>
      </c>
      <c r="I85" s="307">
        <v>2</v>
      </c>
      <c r="J85" s="284">
        <v>1</v>
      </c>
      <c r="K85" s="307">
        <v>3</v>
      </c>
      <c r="L85" s="284">
        <v>2</v>
      </c>
      <c r="M85" s="307">
        <v>4</v>
      </c>
      <c r="N85" s="284">
        <v>6</v>
      </c>
      <c r="O85" s="284">
        <v>0</v>
      </c>
      <c r="P85" s="307">
        <v>0</v>
      </c>
      <c r="Q85" s="284">
        <v>0</v>
      </c>
      <c r="R85" s="285">
        <v>63</v>
      </c>
      <c r="S85" s="285">
        <v>43</v>
      </c>
      <c r="T85" s="285">
        <v>106</v>
      </c>
    </row>
    <row r="86" spans="2:20" x14ac:dyDescent="0.25">
      <c r="B86" s="260" t="s">
        <v>25</v>
      </c>
      <c r="C86" s="282">
        <v>171</v>
      </c>
      <c r="D86" s="282">
        <v>146</v>
      </c>
      <c r="E86" s="282">
        <v>317</v>
      </c>
      <c r="F86" s="282">
        <v>119</v>
      </c>
      <c r="G86" s="282">
        <v>84</v>
      </c>
      <c r="H86" s="285">
        <v>203</v>
      </c>
      <c r="I86" s="282">
        <v>5</v>
      </c>
      <c r="J86" s="285">
        <v>3</v>
      </c>
      <c r="K86" s="282">
        <v>8</v>
      </c>
      <c r="L86" s="285">
        <v>8</v>
      </c>
      <c r="M86" s="282">
        <v>20</v>
      </c>
      <c r="N86" s="285">
        <v>28</v>
      </c>
      <c r="O86" s="285">
        <v>0</v>
      </c>
      <c r="P86" s="282">
        <v>0</v>
      </c>
      <c r="Q86" s="285">
        <v>0</v>
      </c>
      <c r="R86" s="285">
        <v>303</v>
      </c>
      <c r="S86" s="285">
        <v>253</v>
      </c>
      <c r="T86" s="285">
        <v>556</v>
      </c>
    </row>
    <row r="87" spans="2:20" ht="84.75" customHeight="1" x14ac:dyDescent="0.25">
      <c r="B87" s="454" t="s">
        <v>866</v>
      </c>
      <c r="C87" s="454"/>
      <c r="D87" s="454"/>
      <c r="E87" s="454"/>
      <c r="F87" s="454"/>
      <c r="G87" s="454"/>
      <c r="H87" s="454"/>
      <c r="I87" s="454"/>
      <c r="J87" s="454"/>
      <c r="K87" s="454"/>
      <c r="L87" s="454"/>
      <c r="M87" s="454"/>
      <c r="N87" s="454"/>
      <c r="O87" s="454"/>
      <c r="P87" s="454"/>
      <c r="Q87" s="454"/>
    </row>
    <row r="88" spans="2:20" x14ac:dyDescent="0.25">
      <c r="B88" s="157"/>
      <c r="C88" s="157"/>
      <c r="D88" s="157"/>
      <c r="E88"/>
      <c r="F88"/>
      <c r="G88"/>
    </row>
    <row r="89" spans="2:20" x14ac:dyDescent="0.25">
      <c r="B89" s="186" t="s">
        <v>508</v>
      </c>
      <c r="C89"/>
      <c r="D89"/>
      <c r="E89"/>
      <c r="F89"/>
      <c r="G89"/>
    </row>
    <row r="90" spans="2:20" x14ac:dyDescent="0.25">
      <c r="B90" s="186"/>
      <c r="C90"/>
      <c r="D90"/>
      <c r="E90"/>
      <c r="F90"/>
      <c r="G90"/>
    </row>
    <row r="91" spans="2:20" ht="15" customHeight="1" x14ac:dyDescent="0.25">
      <c r="B91" s="488" t="s">
        <v>532</v>
      </c>
      <c r="C91" s="475" t="s">
        <v>477</v>
      </c>
      <c r="D91" s="475"/>
      <c r="E91" s="475"/>
      <c r="F91" s="475"/>
      <c r="G91" s="475"/>
      <c r="H91" s="475"/>
      <c r="I91" s="475"/>
      <c r="J91" s="475"/>
      <c r="K91" s="475"/>
      <c r="L91" s="475"/>
      <c r="M91" s="475"/>
      <c r="N91" s="475"/>
      <c r="O91" s="475"/>
      <c r="P91" s="475"/>
      <c r="Q91" s="475"/>
      <c r="R91" s="469" t="s">
        <v>877</v>
      </c>
      <c r="S91" s="470"/>
      <c r="T91" s="471"/>
    </row>
    <row r="92" spans="2:20" ht="15" customHeight="1" x14ac:dyDescent="0.25">
      <c r="B92" s="489"/>
      <c r="C92" s="463" t="s">
        <v>849</v>
      </c>
      <c r="D92" s="463"/>
      <c r="E92" s="463"/>
      <c r="F92" s="463" t="s">
        <v>850</v>
      </c>
      <c r="G92" s="463"/>
      <c r="H92" s="463"/>
      <c r="I92" s="463" t="s">
        <v>3</v>
      </c>
      <c r="J92" s="463"/>
      <c r="K92" s="463"/>
      <c r="L92" s="463" t="s">
        <v>5</v>
      </c>
      <c r="M92" s="463"/>
      <c r="N92" s="463"/>
      <c r="O92" s="463" t="s">
        <v>859</v>
      </c>
      <c r="P92" s="463"/>
      <c r="Q92" s="463"/>
      <c r="R92" s="472"/>
      <c r="S92" s="473"/>
      <c r="T92" s="474"/>
    </row>
    <row r="93" spans="2:20" x14ac:dyDescent="0.25">
      <c r="B93" s="490"/>
      <c r="C93" s="264" t="s">
        <v>73</v>
      </c>
      <c r="D93" s="264" t="s">
        <v>74</v>
      </c>
      <c r="E93" s="264" t="s">
        <v>25</v>
      </c>
      <c r="F93" s="264" t="s">
        <v>73</v>
      </c>
      <c r="G93" s="264" t="s">
        <v>74</v>
      </c>
      <c r="H93" s="264" t="s">
        <v>25</v>
      </c>
      <c r="I93" s="264" t="s">
        <v>73</v>
      </c>
      <c r="J93" s="264" t="s">
        <v>74</v>
      </c>
      <c r="K93" s="264" t="s">
        <v>25</v>
      </c>
      <c r="L93" s="264" t="s">
        <v>73</v>
      </c>
      <c r="M93" s="264" t="s">
        <v>74</v>
      </c>
      <c r="N93" s="264" t="s">
        <v>25</v>
      </c>
      <c r="O93" s="264" t="s">
        <v>73</v>
      </c>
      <c r="P93" s="264" t="s">
        <v>74</v>
      </c>
      <c r="Q93" s="264" t="s">
        <v>25</v>
      </c>
      <c r="R93" s="274" t="s">
        <v>73</v>
      </c>
      <c r="S93" s="274" t="s">
        <v>74</v>
      </c>
      <c r="T93" s="274" t="s">
        <v>25</v>
      </c>
    </row>
    <row r="94" spans="2:20" x14ac:dyDescent="0.25">
      <c r="B94" s="228" t="s">
        <v>156</v>
      </c>
      <c r="C94" s="307">
        <v>10</v>
      </c>
      <c r="D94" s="307">
        <v>12</v>
      </c>
      <c r="E94" s="307">
        <v>22</v>
      </c>
      <c r="F94" s="307">
        <v>5</v>
      </c>
      <c r="G94" s="307">
        <v>2</v>
      </c>
      <c r="H94" s="284">
        <v>7</v>
      </c>
      <c r="I94" s="307">
        <v>0</v>
      </c>
      <c r="J94" s="284">
        <v>0</v>
      </c>
      <c r="K94" s="307">
        <v>0</v>
      </c>
      <c r="L94" s="284">
        <v>1</v>
      </c>
      <c r="M94" s="307">
        <v>0</v>
      </c>
      <c r="N94" s="284">
        <v>1</v>
      </c>
      <c r="O94" s="284">
        <v>0</v>
      </c>
      <c r="P94" s="284">
        <v>0</v>
      </c>
      <c r="Q94" s="284">
        <v>0</v>
      </c>
      <c r="R94" s="295">
        <v>16</v>
      </c>
      <c r="S94" s="295">
        <v>14</v>
      </c>
      <c r="T94" s="295">
        <v>30</v>
      </c>
    </row>
    <row r="95" spans="2:20" x14ac:dyDescent="0.25">
      <c r="B95" s="229" t="s">
        <v>157</v>
      </c>
      <c r="C95" s="307">
        <v>5</v>
      </c>
      <c r="D95" s="307">
        <v>9</v>
      </c>
      <c r="E95" s="307">
        <v>14</v>
      </c>
      <c r="F95" s="307">
        <v>3</v>
      </c>
      <c r="G95" s="307">
        <v>6</v>
      </c>
      <c r="H95" s="284">
        <v>9</v>
      </c>
      <c r="I95" s="307">
        <v>0</v>
      </c>
      <c r="J95" s="284">
        <v>1</v>
      </c>
      <c r="K95" s="307">
        <v>1</v>
      </c>
      <c r="L95" s="284">
        <v>0</v>
      </c>
      <c r="M95" s="307">
        <v>1</v>
      </c>
      <c r="N95" s="284">
        <v>1</v>
      </c>
      <c r="O95" s="284">
        <v>0</v>
      </c>
      <c r="P95" s="284">
        <v>0</v>
      </c>
      <c r="Q95" s="284">
        <v>0</v>
      </c>
      <c r="R95" s="295">
        <v>8</v>
      </c>
      <c r="S95" s="295">
        <v>17</v>
      </c>
      <c r="T95" s="295">
        <v>25</v>
      </c>
    </row>
    <row r="96" spans="2:20" x14ac:dyDescent="0.25">
      <c r="B96" s="229" t="s">
        <v>158</v>
      </c>
      <c r="C96" s="307">
        <v>5</v>
      </c>
      <c r="D96" s="307">
        <v>6</v>
      </c>
      <c r="E96" s="307">
        <v>11</v>
      </c>
      <c r="F96" s="307">
        <v>3</v>
      </c>
      <c r="G96" s="307">
        <v>4</v>
      </c>
      <c r="H96" s="284">
        <v>7</v>
      </c>
      <c r="I96" s="307">
        <v>0</v>
      </c>
      <c r="J96" s="284">
        <v>0</v>
      </c>
      <c r="K96" s="307">
        <v>0</v>
      </c>
      <c r="L96" s="284">
        <v>0</v>
      </c>
      <c r="M96" s="307">
        <v>2</v>
      </c>
      <c r="N96" s="284">
        <v>2</v>
      </c>
      <c r="O96" s="284">
        <v>0</v>
      </c>
      <c r="P96" s="284">
        <v>0</v>
      </c>
      <c r="Q96" s="284">
        <v>0</v>
      </c>
      <c r="R96" s="295">
        <v>8</v>
      </c>
      <c r="S96" s="295">
        <v>12</v>
      </c>
      <c r="T96" s="295">
        <v>20</v>
      </c>
    </row>
    <row r="97" spans="2:20" x14ac:dyDescent="0.25">
      <c r="B97" s="229" t="s">
        <v>159</v>
      </c>
      <c r="C97" s="307">
        <v>127</v>
      </c>
      <c r="D97" s="307">
        <v>131</v>
      </c>
      <c r="E97" s="307">
        <v>258</v>
      </c>
      <c r="F97" s="307">
        <v>107</v>
      </c>
      <c r="G97" s="307">
        <v>85</v>
      </c>
      <c r="H97" s="284">
        <v>192</v>
      </c>
      <c r="I97" s="307">
        <v>1</v>
      </c>
      <c r="J97" s="284">
        <v>4</v>
      </c>
      <c r="K97" s="307">
        <v>5</v>
      </c>
      <c r="L97" s="284">
        <v>11</v>
      </c>
      <c r="M97" s="307">
        <v>12</v>
      </c>
      <c r="N97" s="284">
        <v>23</v>
      </c>
      <c r="O97" s="284">
        <v>0</v>
      </c>
      <c r="P97" s="284">
        <v>1</v>
      </c>
      <c r="Q97" s="284">
        <v>1</v>
      </c>
      <c r="R97" s="295">
        <v>246</v>
      </c>
      <c r="S97" s="295">
        <v>233</v>
      </c>
      <c r="T97" s="295">
        <v>479</v>
      </c>
    </row>
    <row r="98" spans="2:20" x14ac:dyDescent="0.25">
      <c r="B98" s="229" t="s">
        <v>160</v>
      </c>
      <c r="C98" s="307">
        <v>38</v>
      </c>
      <c r="D98" s="307">
        <v>32</v>
      </c>
      <c r="E98" s="307">
        <v>70</v>
      </c>
      <c r="F98" s="307">
        <v>13</v>
      </c>
      <c r="G98" s="307">
        <v>12</v>
      </c>
      <c r="H98" s="284">
        <v>25</v>
      </c>
      <c r="I98" s="307">
        <v>2</v>
      </c>
      <c r="J98" s="284">
        <v>1</v>
      </c>
      <c r="K98" s="307">
        <v>3</v>
      </c>
      <c r="L98" s="284">
        <v>1</v>
      </c>
      <c r="M98" s="307">
        <v>5</v>
      </c>
      <c r="N98" s="284">
        <v>6</v>
      </c>
      <c r="O98" s="284">
        <v>0</v>
      </c>
      <c r="P98" s="284">
        <v>0</v>
      </c>
      <c r="Q98" s="284">
        <v>0</v>
      </c>
      <c r="R98" s="295">
        <v>54</v>
      </c>
      <c r="S98" s="295">
        <v>50</v>
      </c>
      <c r="T98" s="295">
        <v>104</v>
      </c>
    </row>
    <row r="99" spans="2:20" x14ac:dyDescent="0.25">
      <c r="B99" s="229" t="s">
        <v>161</v>
      </c>
      <c r="C99" s="307">
        <v>7</v>
      </c>
      <c r="D99" s="307">
        <v>4</v>
      </c>
      <c r="E99" s="307">
        <v>11</v>
      </c>
      <c r="F99" s="307">
        <v>1</v>
      </c>
      <c r="G99" s="307">
        <v>2</v>
      </c>
      <c r="H99" s="284">
        <v>3</v>
      </c>
      <c r="I99" s="307">
        <v>0</v>
      </c>
      <c r="J99" s="284">
        <v>0</v>
      </c>
      <c r="K99" s="307">
        <v>0</v>
      </c>
      <c r="L99" s="284">
        <v>1</v>
      </c>
      <c r="M99" s="307">
        <v>0</v>
      </c>
      <c r="N99" s="284">
        <v>1</v>
      </c>
      <c r="O99" s="284">
        <v>0</v>
      </c>
      <c r="P99" s="284">
        <v>0</v>
      </c>
      <c r="Q99" s="284">
        <v>0</v>
      </c>
      <c r="R99" s="295">
        <v>9</v>
      </c>
      <c r="S99" s="295">
        <v>6</v>
      </c>
      <c r="T99" s="295">
        <v>15</v>
      </c>
    </row>
    <row r="100" spans="2:20" x14ac:dyDescent="0.25">
      <c r="B100" s="229" t="s">
        <v>162</v>
      </c>
      <c r="C100" s="307">
        <v>139</v>
      </c>
      <c r="D100" s="307">
        <v>91</v>
      </c>
      <c r="E100" s="307">
        <v>230</v>
      </c>
      <c r="F100" s="307">
        <v>107</v>
      </c>
      <c r="G100" s="307">
        <v>84</v>
      </c>
      <c r="H100" s="284">
        <v>191</v>
      </c>
      <c r="I100" s="307">
        <v>2</v>
      </c>
      <c r="J100" s="284">
        <v>5</v>
      </c>
      <c r="K100" s="307">
        <v>7</v>
      </c>
      <c r="L100" s="284">
        <v>9</v>
      </c>
      <c r="M100" s="307">
        <v>10</v>
      </c>
      <c r="N100" s="284">
        <v>19</v>
      </c>
      <c r="O100" s="284">
        <v>0</v>
      </c>
      <c r="P100" s="284">
        <v>0</v>
      </c>
      <c r="Q100" s="284">
        <v>0</v>
      </c>
      <c r="R100" s="295">
        <v>257</v>
      </c>
      <c r="S100" s="295">
        <v>190</v>
      </c>
      <c r="T100" s="295">
        <v>447</v>
      </c>
    </row>
    <row r="101" spans="2:20" x14ac:dyDescent="0.25">
      <c r="B101" s="229" t="s">
        <v>163</v>
      </c>
      <c r="C101" s="307">
        <v>15</v>
      </c>
      <c r="D101" s="307">
        <v>18</v>
      </c>
      <c r="E101" s="307">
        <v>33</v>
      </c>
      <c r="F101" s="307">
        <v>17</v>
      </c>
      <c r="G101" s="307">
        <v>8</v>
      </c>
      <c r="H101" s="284">
        <v>25</v>
      </c>
      <c r="I101" s="307">
        <v>1</v>
      </c>
      <c r="J101" s="284">
        <v>0</v>
      </c>
      <c r="K101" s="307">
        <v>1</v>
      </c>
      <c r="L101" s="284">
        <v>1</v>
      </c>
      <c r="M101" s="307">
        <v>1</v>
      </c>
      <c r="N101" s="284">
        <v>2</v>
      </c>
      <c r="O101" s="284">
        <v>0</v>
      </c>
      <c r="P101" s="284">
        <v>0</v>
      </c>
      <c r="Q101" s="284">
        <v>0</v>
      </c>
      <c r="R101" s="295">
        <v>34</v>
      </c>
      <c r="S101" s="295">
        <v>27</v>
      </c>
      <c r="T101" s="295">
        <v>61</v>
      </c>
    </row>
    <row r="102" spans="2:20" x14ac:dyDescent="0.25">
      <c r="B102" s="229" t="s">
        <v>164</v>
      </c>
      <c r="C102" s="307">
        <v>21</v>
      </c>
      <c r="D102" s="307">
        <v>18</v>
      </c>
      <c r="E102" s="307">
        <v>39</v>
      </c>
      <c r="F102" s="307">
        <v>11</v>
      </c>
      <c r="G102" s="307">
        <v>10</v>
      </c>
      <c r="H102" s="284">
        <v>21</v>
      </c>
      <c r="I102" s="307">
        <v>0</v>
      </c>
      <c r="J102" s="284">
        <v>1</v>
      </c>
      <c r="K102" s="307">
        <v>1</v>
      </c>
      <c r="L102" s="284">
        <v>2</v>
      </c>
      <c r="M102" s="307">
        <v>2</v>
      </c>
      <c r="N102" s="284">
        <v>4</v>
      </c>
      <c r="O102" s="284">
        <v>0</v>
      </c>
      <c r="P102" s="284">
        <v>0</v>
      </c>
      <c r="Q102" s="284">
        <v>0</v>
      </c>
      <c r="R102" s="295">
        <v>34</v>
      </c>
      <c r="S102" s="295">
        <v>31</v>
      </c>
      <c r="T102" s="295">
        <v>65</v>
      </c>
    </row>
    <row r="103" spans="2:20" x14ac:dyDescent="0.25">
      <c r="B103" s="229" t="s">
        <v>165</v>
      </c>
      <c r="C103" s="307">
        <v>70</v>
      </c>
      <c r="D103" s="307">
        <v>94</v>
      </c>
      <c r="E103" s="307">
        <v>164</v>
      </c>
      <c r="F103" s="307">
        <v>54</v>
      </c>
      <c r="G103" s="307">
        <v>54</v>
      </c>
      <c r="H103" s="284">
        <v>108</v>
      </c>
      <c r="I103" s="307">
        <v>0</v>
      </c>
      <c r="J103" s="284">
        <v>1</v>
      </c>
      <c r="K103" s="307">
        <v>1</v>
      </c>
      <c r="L103" s="284">
        <v>3</v>
      </c>
      <c r="M103" s="307">
        <v>9</v>
      </c>
      <c r="N103" s="284">
        <v>12</v>
      </c>
      <c r="O103" s="284">
        <v>0</v>
      </c>
      <c r="P103" s="284">
        <v>0</v>
      </c>
      <c r="Q103" s="284">
        <v>0</v>
      </c>
      <c r="R103" s="295">
        <v>127</v>
      </c>
      <c r="S103" s="295">
        <v>158</v>
      </c>
      <c r="T103" s="295">
        <v>285</v>
      </c>
    </row>
    <row r="104" spans="2:20" x14ac:dyDescent="0.25">
      <c r="B104" s="229" t="s">
        <v>166</v>
      </c>
      <c r="C104" s="307">
        <v>2</v>
      </c>
      <c r="D104" s="307">
        <v>6</v>
      </c>
      <c r="E104" s="307">
        <v>8</v>
      </c>
      <c r="F104" s="307">
        <v>4</v>
      </c>
      <c r="G104" s="307">
        <v>4</v>
      </c>
      <c r="H104" s="284">
        <v>8</v>
      </c>
      <c r="I104" s="307">
        <v>0</v>
      </c>
      <c r="J104" s="284">
        <v>1</v>
      </c>
      <c r="K104" s="307">
        <v>1</v>
      </c>
      <c r="L104" s="284">
        <v>0</v>
      </c>
      <c r="M104" s="307">
        <v>1</v>
      </c>
      <c r="N104" s="284">
        <v>1</v>
      </c>
      <c r="O104" s="284">
        <v>0</v>
      </c>
      <c r="P104" s="284">
        <v>0</v>
      </c>
      <c r="Q104" s="284">
        <v>0</v>
      </c>
      <c r="R104" s="295">
        <v>6</v>
      </c>
      <c r="S104" s="295">
        <v>12</v>
      </c>
      <c r="T104" s="295">
        <v>18</v>
      </c>
    </row>
    <row r="105" spans="2:20" x14ac:dyDescent="0.25">
      <c r="B105" s="229" t="s">
        <v>167</v>
      </c>
      <c r="C105" s="307">
        <v>8</v>
      </c>
      <c r="D105" s="307">
        <v>4</v>
      </c>
      <c r="E105" s="307">
        <v>12</v>
      </c>
      <c r="F105" s="307">
        <v>5</v>
      </c>
      <c r="G105" s="307">
        <v>6</v>
      </c>
      <c r="H105" s="284">
        <v>11</v>
      </c>
      <c r="I105" s="307">
        <v>0</v>
      </c>
      <c r="J105" s="284">
        <v>0</v>
      </c>
      <c r="K105" s="307">
        <v>0</v>
      </c>
      <c r="L105" s="284">
        <v>0</v>
      </c>
      <c r="M105" s="307">
        <v>2</v>
      </c>
      <c r="N105" s="284">
        <v>2</v>
      </c>
      <c r="O105" s="284">
        <v>0</v>
      </c>
      <c r="P105" s="284">
        <v>0</v>
      </c>
      <c r="Q105" s="284">
        <v>0</v>
      </c>
      <c r="R105" s="295">
        <v>13</v>
      </c>
      <c r="S105" s="295">
        <v>12</v>
      </c>
      <c r="T105" s="295">
        <v>25</v>
      </c>
    </row>
    <row r="106" spans="2:20" x14ac:dyDescent="0.25">
      <c r="B106" s="229" t="s">
        <v>168</v>
      </c>
      <c r="C106" s="307">
        <v>2</v>
      </c>
      <c r="D106" s="307">
        <v>2</v>
      </c>
      <c r="E106" s="307">
        <v>4</v>
      </c>
      <c r="F106" s="307">
        <v>1</v>
      </c>
      <c r="G106" s="307">
        <v>2</v>
      </c>
      <c r="H106" s="284">
        <v>3</v>
      </c>
      <c r="I106" s="307">
        <v>0</v>
      </c>
      <c r="J106" s="284">
        <v>0</v>
      </c>
      <c r="K106" s="307">
        <v>0</v>
      </c>
      <c r="L106" s="284">
        <v>0</v>
      </c>
      <c r="M106" s="307">
        <v>1</v>
      </c>
      <c r="N106" s="284">
        <v>1</v>
      </c>
      <c r="O106" s="284">
        <v>0</v>
      </c>
      <c r="P106" s="284">
        <v>0</v>
      </c>
      <c r="Q106" s="284">
        <v>0</v>
      </c>
      <c r="R106" s="295">
        <v>3</v>
      </c>
      <c r="S106" s="295">
        <v>5</v>
      </c>
      <c r="T106" s="295">
        <v>8</v>
      </c>
    </row>
    <row r="107" spans="2:20" x14ac:dyDescent="0.25">
      <c r="B107" s="230" t="s">
        <v>169</v>
      </c>
      <c r="C107" s="307">
        <v>24</v>
      </c>
      <c r="D107" s="307">
        <v>21</v>
      </c>
      <c r="E107" s="307">
        <v>45</v>
      </c>
      <c r="F107" s="307">
        <v>15</v>
      </c>
      <c r="G107" s="307">
        <v>13</v>
      </c>
      <c r="H107" s="284">
        <v>28</v>
      </c>
      <c r="I107" s="307">
        <v>0</v>
      </c>
      <c r="J107" s="284">
        <v>0</v>
      </c>
      <c r="K107" s="307">
        <v>0</v>
      </c>
      <c r="L107" s="284">
        <v>1</v>
      </c>
      <c r="M107" s="307">
        <v>0</v>
      </c>
      <c r="N107" s="284">
        <v>1</v>
      </c>
      <c r="O107" s="284">
        <v>0</v>
      </c>
      <c r="P107" s="284">
        <v>0</v>
      </c>
      <c r="Q107" s="284">
        <v>0</v>
      </c>
      <c r="R107" s="295">
        <v>40</v>
      </c>
      <c r="S107" s="295">
        <v>34</v>
      </c>
      <c r="T107" s="295">
        <v>74</v>
      </c>
    </row>
    <row r="108" spans="2:20" x14ac:dyDescent="0.25">
      <c r="B108" s="175" t="s">
        <v>491</v>
      </c>
      <c r="C108" s="307">
        <v>21</v>
      </c>
      <c r="D108" s="307">
        <v>18</v>
      </c>
      <c r="E108" s="307">
        <v>39</v>
      </c>
      <c r="F108" s="307">
        <v>12</v>
      </c>
      <c r="G108" s="307">
        <v>13</v>
      </c>
      <c r="H108" s="284">
        <v>25</v>
      </c>
      <c r="I108" s="307">
        <v>1</v>
      </c>
      <c r="J108" s="284">
        <v>2</v>
      </c>
      <c r="K108" s="307">
        <v>3</v>
      </c>
      <c r="L108" s="284">
        <v>2</v>
      </c>
      <c r="M108" s="307">
        <v>1</v>
      </c>
      <c r="N108" s="284">
        <v>3</v>
      </c>
      <c r="O108" s="284">
        <v>0</v>
      </c>
      <c r="P108" s="284">
        <v>0</v>
      </c>
      <c r="Q108" s="284">
        <v>0</v>
      </c>
      <c r="R108" s="295">
        <v>36</v>
      </c>
      <c r="S108" s="295">
        <v>34</v>
      </c>
      <c r="T108" s="295">
        <v>70</v>
      </c>
    </row>
    <row r="109" spans="2:20" x14ac:dyDescent="0.25">
      <c r="B109" s="260" t="s">
        <v>25</v>
      </c>
      <c r="C109" s="282">
        <v>494</v>
      </c>
      <c r="D109" s="282">
        <v>466</v>
      </c>
      <c r="E109" s="282">
        <v>960</v>
      </c>
      <c r="F109" s="282">
        <v>358</v>
      </c>
      <c r="G109" s="282">
        <v>305</v>
      </c>
      <c r="H109" s="285">
        <v>663</v>
      </c>
      <c r="I109" s="282">
        <v>7</v>
      </c>
      <c r="J109" s="285">
        <v>16</v>
      </c>
      <c r="K109" s="282">
        <v>23</v>
      </c>
      <c r="L109" s="285">
        <v>32</v>
      </c>
      <c r="M109" s="282">
        <v>47</v>
      </c>
      <c r="N109" s="285">
        <v>79</v>
      </c>
      <c r="O109" s="285">
        <v>0</v>
      </c>
      <c r="P109" s="285">
        <v>1</v>
      </c>
      <c r="Q109" s="285">
        <v>1</v>
      </c>
      <c r="R109" s="295">
        <v>891</v>
      </c>
      <c r="S109" s="295">
        <v>835</v>
      </c>
      <c r="T109" s="295">
        <v>1726</v>
      </c>
    </row>
    <row r="110" spans="2:20" ht="81" customHeight="1" x14ac:dyDescent="0.25">
      <c r="B110" s="454" t="s">
        <v>866</v>
      </c>
      <c r="C110" s="454"/>
      <c r="D110" s="454"/>
      <c r="E110" s="454"/>
      <c r="F110" s="454"/>
      <c r="G110" s="454"/>
      <c r="H110" s="454"/>
      <c r="I110" s="454"/>
      <c r="J110" s="454"/>
      <c r="K110" s="454"/>
      <c r="L110" s="454"/>
      <c r="M110" s="454"/>
      <c r="N110" s="454"/>
      <c r="O110" s="454"/>
      <c r="P110" s="454"/>
      <c r="Q110" s="454"/>
    </row>
    <row r="111" spans="2:20" x14ac:dyDescent="0.25">
      <c r="B111" s="157"/>
      <c r="C111" s="189"/>
      <c r="D111" s="189"/>
      <c r="E111" s="189"/>
      <c r="F111" s="189"/>
      <c r="G111"/>
    </row>
    <row r="112" spans="2:20" x14ac:dyDescent="0.25">
      <c r="B112" s="186" t="s">
        <v>509</v>
      </c>
      <c r="C112"/>
      <c r="D112"/>
      <c r="E112"/>
      <c r="F112"/>
      <c r="G112"/>
    </row>
    <row r="113" spans="2:20" x14ac:dyDescent="0.25">
      <c r="B113" s="186"/>
      <c r="C113"/>
      <c r="D113"/>
      <c r="E113"/>
      <c r="F113"/>
      <c r="G113"/>
    </row>
    <row r="114" spans="2:20" ht="15" customHeight="1" x14ac:dyDescent="0.25">
      <c r="B114" s="426" t="s">
        <v>532</v>
      </c>
      <c r="C114" s="475" t="s">
        <v>477</v>
      </c>
      <c r="D114" s="475"/>
      <c r="E114" s="475"/>
      <c r="F114" s="475"/>
      <c r="G114" s="475"/>
      <c r="H114" s="475"/>
      <c r="I114" s="475"/>
      <c r="J114" s="475"/>
      <c r="K114" s="475"/>
      <c r="L114" s="475"/>
      <c r="M114" s="475"/>
      <c r="N114" s="475"/>
      <c r="O114" s="475"/>
      <c r="P114" s="475"/>
      <c r="Q114" s="475"/>
      <c r="R114" s="469" t="s">
        <v>877</v>
      </c>
      <c r="S114" s="470"/>
      <c r="T114" s="471"/>
    </row>
    <row r="115" spans="2:20" ht="15" customHeight="1" x14ac:dyDescent="0.25">
      <c r="B115" s="427"/>
      <c r="C115" s="463" t="s">
        <v>849</v>
      </c>
      <c r="D115" s="463"/>
      <c r="E115" s="463"/>
      <c r="F115" s="463" t="s">
        <v>850</v>
      </c>
      <c r="G115" s="463"/>
      <c r="H115" s="463"/>
      <c r="I115" s="463" t="s">
        <v>3</v>
      </c>
      <c r="J115" s="463"/>
      <c r="K115" s="463"/>
      <c r="L115" s="463" t="s">
        <v>5</v>
      </c>
      <c r="M115" s="463"/>
      <c r="N115" s="463"/>
      <c r="O115" s="463" t="s">
        <v>859</v>
      </c>
      <c r="P115" s="463"/>
      <c r="Q115" s="463"/>
      <c r="R115" s="472"/>
      <c r="S115" s="473"/>
      <c r="T115" s="474"/>
    </row>
    <row r="116" spans="2:20" x14ac:dyDescent="0.25">
      <c r="B116" s="428"/>
      <c r="C116" s="264" t="s">
        <v>73</v>
      </c>
      <c r="D116" s="264" t="s">
        <v>74</v>
      </c>
      <c r="E116" s="264" t="s">
        <v>25</v>
      </c>
      <c r="F116" s="264" t="s">
        <v>73</v>
      </c>
      <c r="G116" s="264" t="s">
        <v>74</v>
      </c>
      <c r="H116" s="264" t="s">
        <v>25</v>
      </c>
      <c r="I116" s="264" t="s">
        <v>73</v>
      </c>
      <c r="J116" s="264" t="s">
        <v>74</v>
      </c>
      <c r="K116" s="264" t="s">
        <v>25</v>
      </c>
      <c r="L116" s="264" t="s">
        <v>73</v>
      </c>
      <c r="M116" s="264" t="s">
        <v>74</v>
      </c>
      <c r="N116" s="264" t="s">
        <v>25</v>
      </c>
      <c r="O116" s="264" t="s">
        <v>73</v>
      </c>
      <c r="P116" s="264" t="s">
        <v>74</v>
      </c>
      <c r="Q116" s="264" t="s">
        <v>25</v>
      </c>
      <c r="R116" s="274" t="s">
        <v>73</v>
      </c>
      <c r="S116" s="274" t="s">
        <v>74</v>
      </c>
      <c r="T116" s="274" t="s">
        <v>25</v>
      </c>
    </row>
    <row r="117" spans="2:20" x14ac:dyDescent="0.25">
      <c r="B117" s="229" t="s">
        <v>170</v>
      </c>
      <c r="C117" s="307">
        <v>8</v>
      </c>
      <c r="D117" s="307">
        <v>12</v>
      </c>
      <c r="E117" s="307">
        <v>20</v>
      </c>
      <c r="F117" s="307">
        <v>21</v>
      </c>
      <c r="G117" s="307">
        <v>9</v>
      </c>
      <c r="H117" s="284">
        <v>30</v>
      </c>
      <c r="I117" s="307">
        <v>0</v>
      </c>
      <c r="J117" s="284">
        <v>0</v>
      </c>
      <c r="K117" s="307">
        <v>0</v>
      </c>
      <c r="L117" s="307">
        <v>1</v>
      </c>
      <c r="M117" s="284">
        <v>2</v>
      </c>
      <c r="N117" s="307">
        <v>3</v>
      </c>
      <c r="O117" s="307">
        <v>0</v>
      </c>
      <c r="P117" s="307">
        <v>0</v>
      </c>
      <c r="Q117" s="307">
        <v>0</v>
      </c>
      <c r="R117" s="285">
        <v>30</v>
      </c>
      <c r="S117" s="285">
        <v>23</v>
      </c>
      <c r="T117" s="285">
        <v>53</v>
      </c>
    </row>
    <row r="118" spans="2:20" x14ac:dyDescent="0.25">
      <c r="B118" s="229" t="s">
        <v>171</v>
      </c>
      <c r="C118" s="307">
        <v>21</v>
      </c>
      <c r="D118" s="307">
        <v>19</v>
      </c>
      <c r="E118" s="307">
        <v>40</v>
      </c>
      <c r="F118" s="307">
        <v>9</v>
      </c>
      <c r="G118" s="307">
        <v>9</v>
      </c>
      <c r="H118" s="284">
        <v>18</v>
      </c>
      <c r="I118" s="307">
        <v>1</v>
      </c>
      <c r="J118" s="284">
        <v>0</v>
      </c>
      <c r="K118" s="307">
        <v>1</v>
      </c>
      <c r="L118" s="307">
        <v>1</v>
      </c>
      <c r="M118" s="284">
        <v>0</v>
      </c>
      <c r="N118" s="307">
        <v>1</v>
      </c>
      <c r="O118" s="307">
        <v>0</v>
      </c>
      <c r="P118" s="307">
        <v>0</v>
      </c>
      <c r="Q118" s="307">
        <v>0</v>
      </c>
      <c r="R118" s="285">
        <v>32</v>
      </c>
      <c r="S118" s="285">
        <v>28</v>
      </c>
      <c r="T118" s="285">
        <v>60</v>
      </c>
    </row>
    <row r="119" spans="2:20" x14ac:dyDescent="0.25">
      <c r="B119" s="229" t="s">
        <v>172</v>
      </c>
      <c r="C119" s="307">
        <v>2</v>
      </c>
      <c r="D119" s="307">
        <v>5</v>
      </c>
      <c r="E119" s="307">
        <v>7</v>
      </c>
      <c r="F119" s="307">
        <v>7</v>
      </c>
      <c r="G119" s="307">
        <v>3</v>
      </c>
      <c r="H119" s="284">
        <v>10</v>
      </c>
      <c r="I119" s="307">
        <v>0</v>
      </c>
      <c r="J119" s="284">
        <v>0</v>
      </c>
      <c r="K119" s="307">
        <v>0</v>
      </c>
      <c r="L119" s="307">
        <v>1</v>
      </c>
      <c r="M119" s="284">
        <v>1</v>
      </c>
      <c r="N119" s="307">
        <v>2</v>
      </c>
      <c r="O119" s="307">
        <v>0</v>
      </c>
      <c r="P119" s="307">
        <v>0</v>
      </c>
      <c r="Q119" s="307">
        <v>0</v>
      </c>
      <c r="R119" s="285">
        <v>10</v>
      </c>
      <c r="S119" s="285">
        <v>9</v>
      </c>
      <c r="T119" s="285">
        <v>19</v>
      </c>
    </row>
    <row r="120" spans="2:20" x14ac:dyDescent="0.25">
      <c r="B120" s="229" t="s">
        <v>173</v>
      </c>
      <c r="C120" s="307">
        <v>13</v>
      </c>
      <c r="D120" s="307">
        <v>16</v>
      </c>
      <c r="E120" s="307">
        <v>29</v>
      </c>
      <c r="F120" s="307">
        <v>20</v>
      </c>
      <c r="G120" s="307">
        <v>11</v>
      </c>
      <c r="H120" s="284">
        <v>31</v>
      </c>
      <c r="I120" s="307">
        <v>1</v>
      </c>
      <c r="J120" s="284">
        <v>0</v>
      </c>
      <c r="K120" s="307">
        <v>1</v>
      </c>
      <c r="L120" s="307">
        <v>3</v>
      </c>
      <c r="M120" s="284">
        <v>3</v>
      </c>
      <c r="N120" s="307">
        <v>6</v>
      </c>
      <c r="O120" s="307">
        <v>0</v>
      </c>
      <c r="P120" s="307">
        <v>0</v>
      </c>
      <c r="Q120" s="307">
        <v>0</v>
      </c>
      <c r="R120" s="285">
        <v>37</v>
      </c>
      <c r="S120" s="285">
        <v>30</v>
      </c>
      <c r="T120" s="285">
        <v>67</v>
      </c>
    </row>
    <row r="121" spans="2:20" x14ac:dyDescent="0.25">
      <c r="B121" s="229" t="s">
        <v>174</v>
      </c>
      <c r="C121" s="307">
        <v>20</v>
      </c>
      <c r="D121" s="307">
        <v>22</v>
      </c>
      <c r="E121" s="307">
        <v>42</v>
      </c>
      <c r="F121" s="307">
        <v>12</v>
      </c>
      <c r="G121" s="307">
        <v>7</v>
      </c>
      <c r="H121" s="284">
        <v>19</v>
      </c>
      <c r="I121" s="307">
        <v>1</v>
      </c>
      <c r="J121" s="284">
        <v>0</v>
      </c>
      <c r="K121" s="307">
        <v>1</v>
      </c>
      <c r="L121" s="307">
        <v>1</v>
      </c>
      <c r="M121" s="284">
        <v>4</v>
      </c>
      <c r="N121" s="307">
        <v>5</v>
      </c>
      <c r="O121" s="307">
        <v>0</v>
      </c>
      <c r="P121" s="307">
        <v>0</v>
      </c>
      <c r="Q121" s="307">
        <v>0</v>
      </c>
      <c r="R121" s="285">
        <v>34</v>
      </c>
      <c r="S121" s="285">
        <v>33</v>
      </c>
      <c r="T121" s="285">
        <v>67</v>
      </c>
    </row>
    <row r="122" spans="2:20" x14ac:dyDescent="0.25">
      <c r="B122" s="229" t="s">
        <v>175</v>
      </c>
      <c r="C122" s="307">
        <v>15</v>
      </c>
      <c r="D122" s="307">
        <v>12</v>
      </c>
      <c r="E122" s="307">
        <v>27</v>
      </c>
      <c r="F122" s="307">
        <v>4</v>
      </c>
      <c r="G122" s="307">
        <v>4</v>
      </c>
      <c r="H122" s="284">
        <v>8</v>
      </c>
      <c r="I122" s="307">
        <v>1</v>
      </c>
      <c r="J122" s="284">
        <v>0</v>
      </c>
      <c r="K122" s="307">
        <v>1</v>
      </c>
      <c r="L122" s="307">
        <v>0</v>
      </c>
      <c r="M122" s="284">
        <v>0</v>
      </c>
      <c r="N122" s="307">
        <v>0</v>
      </c>
      <c r="O122" s="307">
        <v>0</v>
      </c>
      <c r="P122" s="307">
        <v>0</v>
      </c>
      <c r="Q122" s="307">
        <v>0</v>
      </c>
      <c r="R122" s="285">
        <v>20</v>
      </c>
      <c r="S122" s="285">
        <v>16</v>
      </c>
      <c r="T122" s="285">
        <v>36</v>
      </c>
    </row>
    <row r="123" spans="2:20" x14ac:dyDescent="0.25">
      <c r="B123" s="229" t="s">
        <v>176</v>
      </c>
      <c r="C123" s="307">
        <v>24</v>
      </c>
      <c r="D123" s="307">
        <v>20</v>
      </c>
      <c r="E123" s="307">
        <v>44</v>
      </c>
      <c r="F123" s="307">
        <v>27</v>
      </c>
      <c r="G123" s="307">
        <v>15</v>
      </c>
      <c r="H123" s="284">
        <v>42</v>
      </c>
      <c r="I123" s="307">
        <v>2</v>
      </c>
      <c r="J123" s="284">
        <v>1</v>
      </c>
      <c r="K123" s="307">
        <v>3</v>
      </c>
      <c r="L123" s="307">
        <v>2</v>
      </c>
      <c r="M123" s="284">
        <v>2</v>
      </c>
      <c r="N123" s="307">
        <v>4</v>
      </c>
      <c r="O123" s="307">
        <v>0</v>
      </c>
      <c r="P123" s="307">
        <v>0</v>
      </c>
      <c r="Q123" s="307">
        <v>0</v>
      </c>
      <c r="R123" s="285">
        <v>55</v>
      </c>
      <c r="S123" s="285">
        <v>38</v>
      </c>
      <c r="T123" s="285">
        <v>93</v>
      </c>
    </row>
    <row r="124" spans="2:20" x14ac:dyDescent="0.25">
      <c r="B124" s="229" t="s">
        <v>177</v>
      </c>
      <c r="C124" s="307">
        <v>16</v>
      </c>
      <c r="D124" s="307">
        <v>11</v>
      </c>
      <c r="E124" s="307">
        <v>27</v>
      </c>
      <c r="F124" s="307">
        <v>10</v>
      </c>
      <c r="G124" s="307">
        <v>5</v>
      </c>
      <c r="H124" s="284">
        <v>15</v>
      </c>
      <c r="I124" s="307">
        <v>1</v>
      </c>
      <c r="J124" s="284">
        <v>0</v>
      </c>
      <c r="K124" s="307">
        <v>1</v>
      </c>
      <c r="L124" s="307">
        <v>0</v>
      </c>
      <c r="M124" s="284">
        <v>1</v>
      </c>
      <c r="N124" s="307">
        <v>1</v>
      </c>
      <c r="O124" s="307">
        <v>0</v>
      </c>
      <c r="P124" s="307">
        <v>0</v>
      </c>
      <c r="Q124" s="307">
        <v>0</v>
      </c>
      <c r="R124" s="285">
        <v>27</v>
      </c>
      <c r="S124" s="285">
        <v>17</v>
      </c>
      <c r="T124" s="285">
        <v>44</v>
      </c>
    </row>
    <row r="125" spans="2:20" x14ac:dyDescent="0.25">
      <c r="B125" s="229" t="s">
        <v>178</v>
      </c>
      <c r="C125" s="307">
        <v>16</v>
      </c>
      <c r="D125" s="307">
        <v>15</v>
      </c>
      <c r="E125" s="307">
        <v>31</v>
      </c>
      <c r="F125" s="307">
        <v>9</v>
      </c>
      <c r="G125" s="307">
        <v>11</v>
      </c>
      <c r="H125" s="284">
        <v>20</v>
      </c>
      <c r="I125" s="307">
        <v>0</v>
      </c>
      <c r="J125" s="284">
        <v>1</v>
      </c>
      <c r="K125" s="307">
        <v>1</v>
      </c>
      <c r="L125" s="307">
        <v>1</v>
      </c>
      <c r="M125" s="284">
        <v>1</v>
      </c>
      <c r="N125" s="307">
        <v>2</v>
      </c>
      <c r="O125" s="307">
        <v>0</v>
      </c>
      <c r="P125" s="307">
        <v>0</v>
      </c>
      <c r="Q125" s="307">
        <v>0</v>
      </c>
      <c r="R125" s="285">
        <v>26</v>
      </c>
      <c r="S125" s="285">
        <v>28</v>
      </c>
      <c r="T125" s="285">
        <v>54</v>
      </c>
    </row>
    <row r="126" spans="2:20" x14ac:dyDescent="0.25">
      <c r="B126" s="229" t="s">
        <v>179</v>
      </c>
      <c r="C126" s="307">
        <v>11</v>
      </c>
      <c r="D126" s="307">
        <v>12</v>
      </c>
      <c r="E126" s="307">
        <v>23</v>
      </c>
      <c r="F126" s="307">
        <v>5</v>
      </c>
      <c r="G126" s="307">
        <v>9</v>
      </c>
      <c r="H126" s="284">
        <v>14</v>
      </c>
      <c r="I126" s="307">
        <v>0</v>
      </c>
      <c r="J126" s="284">
        <v>0</v>
      </c>
      <c r="K126" s="307">
        <v>0</v>
      </c>
      <c r="L126" s="307">
        <v>4</v>
      </c>
      <c r="M126" s="284">
        <v>2</v>
      </c>
      <c r="N126" s="307">
        <v>6</v>
      </c>
      <c r="O126" s="307">
        <v>0</v>
      </c>
      <c r="P126" s="307">
        <v>0</v>
      </c>
      <c r="Q126" s="307">
        <v>0</v>
      </c>
      <c r="R126" s="285">
        <v>20</v>
      </c>
      <c r="S126" s="285">
        <v>23</v>
      </c>
      <c r="T126" s="285">
        <v>43</v>
      </c>
    </row>
    <row r="127" spans="2:20" x14ac:dyDescent="0.25">
      <c r="B127" s="229" t="s">
        <v>180</v>
      </c>
      <c r="C127" s="307">
        <v>1</v>
      </c>
      <c r="D127" s="307">
        <v>5</v>
      </c>
      <c r="E127" s="307">
        <v>6</v>
      </c>
      <c r="F127" s="307">
        <v>4</v>
      </c>
      <c r="G127" s="307">
        <v>1</v>
      </c>
      <c r="H127" s="284">
        <v>5</v>
      </c>
      <c r="I127" s="307">
        <v>0</v>
      </c>
      <c r="J127" s="284">
        <v>0</v>
      </c>
      <c r="K127" s="307">
        <v>0</v>
      </c>
      <c r="L127" s="307">
        <v>0</v>
      </c>
      <c r="M127" s="284">
        <v>1</v>
      </c>
      <c r="N127" s="307">
        <v>1</v>
      </c>
      <c r="O127" s="307">
        <v>0</v>
      </c>
      <c r="P127" s="307">
        <v>0</v>
      </c>
      <c r="Q127" s="307">
        <v>0</v>
      </c>
      <c r="R127" s="285">
        <v>5</v>
      </c>
      <c r="S127" s="285">
        <v>7</v>
      </c>
      <c r="T127" s="285">
        <v>12</v>
      </c>
    </row>
    <row r="128" spans="2:20" x14ac:dyDescent="0.25">
      <c r="B128" s="229" t="s">
        <v>181</v>
      </c>
      <c r="C128" s="307">
        <v>1</v>
      </c>
      <c r="D128" s="307">
        <v>0</v>
      </c>
      <c r="E128" s="307">
        <v>1</v>
      </c>
      <c r="F128" s="307">
        <v>0</v>
      </c>
      <c r="G128" s="307">
        <v>0</v>
      </c>
      <c r="H128" s="284">
        <v>0</v>
      </c>
      <c r="I128" s="307">
        <v>0</v>
      </c>
      <c r="J128" s="284">
        <v>0</v>
      </c>
      <c r="K128" s="307">
        <v>0</v>
      </c>
      <c r="L128" s="307">
        <v>0</v>
      </c>
      <c r="M128" s="284">
        <v>0</v>
      </c>
      <c r="N128" s="307">
        <v>0</v>
      </c>
      <c r="O128" s="307">
        <v>0</v>
      </c>
      <c r="P128" s="307">
        <v>0</v>
      </c>
      <c r="Q128" s="307">
        <v>0</v>
      </c>
      <c r="R128" s="285">
        <v>1</v>
      </c>
      <c r="S128" s="285">
        <v>0</v>
      </c>
      <c r="T128" s="285">
        <v>1</v>
      </c>
    </row>
    <row r="129" spans="2:20" x14ac:dyDescent="0.25">
      <c r="B129" s="229" t="s">
        <v>182</v>
      </c>
      <c r="C129" s="307">
        <v>37</v>
      </c>
      <c r="D129" s="307">
        <v>33</v>
      </c>
      <c r="E129" s="307">
        <v>70</v>
      </c>
      <c r="F129" s="307">
        <v>22</v>
      </c>
      <c r="G129" s="307">
        <v>15</v>
      </c>
      <c r="H129" s="284">
        <v>37</v>
      </c>
      <c r="I129" s="307">
        <v>1</v>
      </c>
      <c r="J129" s="284">
        <v>2</v>
      </c>
      <c r="K129" s="307">
        <v>3</v>
      </c>
      <c r="L129" s="307">
        <v>4</v>
      </c>
      <c r="M129" s="284">
        <v>7</v>
      </c>
      <c r="N129" s="307">
        <v>11</v>
      </c>
      <c r="O129" s="307">
        <v>0</v>
      </c>
      <c r="P129" s="307">
        <v>0</v>
      </c>
      <c r="Q129" s="307">
        <v>0</v>
      </c>
      <c r="R129" s="285">
        <v>64</v>
      </c>
      <c r="S129" s="285">
        <v>57</v>
      </c>
      <c r="T129" s="285">
        <v>121</v>
      </c>
    </row>
    <row r="130" spans="2:20" x14ac:dyDescent="0.25">
      <c r="B130" s="229" t="s">
        <v>183</v>
      </c>
      <c r="C130" s="307">
        <v>16</v>
      </c>
      <c r="D130" s="307">
        <v>12</v>
      </c>
      <c r="E130" s="307">
        <v>28</v>
      </c>
      <c r="F130" s="307">
        <v>21</v>
      </c>
      <c r="G130" s="307">
        <v>3</v>
      </c>
      <c r="H130" s="284">
        <v>24</v>
      </c>
      <c r="I130" s="307">
        <v>0</v>
      </c>
      <c r="J130" s="284">
        <v>0</v>
      </c>
      <c r="K130" s="307">
        <v>0</v>
      </c>
      <c r="L130" s="307">
        <v>1</v>
      </c>
      <c r="M130" s="284">
        <v>2</v>
      </c>
      <c r="N130" s="307">
        <v>3</v>
      </c>
      <c r="O130" s="307">
        <v>0</v>
      </c>
      <c r="P130" s="307">
        <v>0</v>
      </c>
      <c r="Q130" s="307">
        <v>0</v>
      </c>
      <c r="R130" s="285">
        <v>38</v>
      </c>
      <c r="S130" s="285">
        <v>17</v>
      </c>
      <c r="T130" s="285">
        <v>55</v>
      </c>
    </row>
    <row r="131" spans="2:20" x14ac:dyDescent="0.25">
      <c r="B131" s="229" t="s">
        <v>184</v>
      </c>
      <c r="C131" s="307">
        <v>33</v>
      </c>
      <c r="D131" s="307">
        <v>25</v>
      </c>
      <c r="E131" s="307">
        <v>58</v>
      </c>
      <c r="F131" s="307">
        <v>20</v>
      </c>
      <c r="G131" s="307">
        <v>9</v>
      </c>
      <c r="H131" s="284">
        <v>29</v>
      </c>
      <c r="I131" s="307">
        <v>1</v>
      </c>
      <c r="J131" s="284">
        <v>1</v>
      </c>
      <c r="K131" s="307">
        <v>2</v>
      </c>
      <c r="L131" s="307">
        <v>3</v>
      </c>
      <c r="M131" s="284">
        <v>3</v>
      </c>
      <c r="N131" s="307">
        <v>6</v>
      </c>
      <c r="O131" s="307">
        <v>0</v>
      </c>
      <c r="P131" s="307">
        <v>0</v>
      </c>
      <c r="Q131" s="307">
        <v>0</v>
      </c>
      <c r="R131" s="285">
        <v>57</v>
      </c>
      <c r="S131" s="285">
        <v>38</v>
      </c>
      <c r="T131" s="285">
        <v>95</v>
      </c>
    </row>
    <row r="132" spans="2:20" x14ac:dyDescent="0.25">
      <c r="B132" s="229" t="s">
        <v>185</v>
      </c>
      <c r="C132" s="307">
        <v>26</v>
      </c>
      <c r="D132" s="307">
        <v>28</v>
      </c>
      <c r="E132" s="307">
        <v>54</v>
      </c>
      <c r="F132" s="307">
        <v>12</v>
      </c>
      <c r="G132" s="307">
        <v>12</v>
      </c>
      <c r="H132" s="284">
        <v>24</v>
      </c>
      <c r="I132" s="307">
        <v>0</v>
      </c>
      <c r="J132" s="284">
        <v>1</v>
      </c>
      <c r="K132" s="307">
        <v>1</v>
      </c>
      <c r="L132" s="307">
        <v>1</v>
      </c>
      <c r="M132" s="284">
        <v>4</v>
      </c>
      <c r="N132" s="307">
        <v>5</v>
      </c>
      <c r="O132" s="307">
        <v>0</v>
      </c>
      <c r="P132" s="307">
        <v>0</v>
      </c>
      <c r="Q132" s="307">
        <v>0</v>
      </c>
      <c r="R132" s="285">
        <v>39</v>
      </c>
      <c r="S132" s="285">
        <v>45</v>
      </c>
      <c r="T132" s="285">
        <v>84</v>
      </c>
    </row>
    <row r="133" spans="2:20" x14ac:dyDescent="0.25">
      <c r="B133" s="229" t="s">
        <v>186</v>
      </c>
      <c r="C133" s="307">
        <v>10</v>
      </c>
      <c r="D133" s="307">
        <v>16</v>
      </c>
      <c r="E133" s="307">
        <v>26</v>
      </c>
      <c r="F133" s="307">
        <v>13</v>
      </c>
      <c r="G133" s="307">
        <v>7</v>
      </c>
      <c r="H133" s="284">
        <v>20</v>
      </c>
      <c r="I133" s="307">
        <v>0</v>
      </c>
      <c r="J133" s="284">
        <v>0</v>
      </c>
      <c r="K133" s="307">
        <v>0</v>
      </c>
      <c r="L133" s="307">
        <v>1</v>
      </c>
      <c r="M133" s="284">
        <v>2</v>
      </c>
      <c r="N133" s="307">
        <v>3</v>
      </c>
      <c r="O133" s="307">
        <v>0</v>
      </c>
      <c r="P133" s="307">
        <v>0</v>
      </c>
      <c r="Q133" s="307">
        <v>0</v>
      </c>
      <c r="R133" s="285">
        <v>24</v>
      </c>
      <c r="S133" s="285">
        <v>25</v>
      </c>
      <c r="T133" s="285">
        <v>49</v>
      </c>
    </row>
    <row r="134" spans="2:20" x14ac:dyDescent="0.25">
      <c r="B134" s="229" t="s">
        <v>187</v>
      </c>
      <c r="C134" s="307">
        <v>39</v>
      </c>
      <c r="D134" s="307">
        <v>45</v>
      </c>
      <c r="E134" s="307">
        <v>84</v>
      </c>
      <c r="F134" s="307">
        <v>44</v>
      </c>
      <c r="G134" s="307">
        <v>27</v>
      </c>
      <c r="H134" s="284">
        <v>71</v>
      </c>
      <c r="I134" s="307">
        <v>0</v>
      </c>
      <c r="J134" s="284">
        <v>0</v>
      </c>
      <c r="K134" s="307">
        <v>0</v>
      </c>
      <c r="L134" s="307">
        <v>7</v>
      </c>
      <c r="M134" s="284">
        <v>5</v>
      </c>
      <c r="N134" s="307">
        <v>12</v>
      </c>
      <c r="O134" s="307">
        <v>0</v>
      </c>
      <c r="P134" s="307">
        <v>0</v>
      </c>
      <c r="Q134" s="307">
        <v>0</v>
      </c>
      <c r="R134" s="285">
        <v>90</v>
      </c>
      <c r="S134" s="285">
        <v>77</v>
      </c>
      <c r="T134" s="285">
        <v>167</v>
      </c>
    </row>
    <row r="135" spans="2:20" x14ac:dyDescent="0.25">
      <c r="B135" s="229" t="s">
        <v>188</v>
      </c>
      <c r="C135" s="307">
        <v>12</v>
      </c>
      <c r="D135" s="307">
        <v>16</v>
      </c>
      <c r="E135" s="307">
        <v>28</v>
      </c>
      <c r="F135" s="307">
        <v>19</v>
      </c>
      <c r="G135" s="307">
        <v>9</v>
      </c>
      <c r="H135" s="284">
        <v>28</v>
      </c>
      <c r="I135" s="307">
        <v>1</v>
      </c>
      <c r="J135" s="284">
        <v>0</v>
      </c>
      <c r="K135" s="307">
        <v>1</v>
      </c>
      <c r="L135" s="307">
        <v>0</v>
      </c>
      <c r="M135" s="284">
        <v>1</v>
      </c>
      <c r="N135" s="307">
        <v>1</v>
      </c>
      <c r="O135" s="307">
        <v>0</v>
      </c>
      <c r="P135" s="307">
        <v>0</v>
      </c>
      <c r="Q135" s="307">
        <v>0</v>
      </c>
      <c r="R135" s="285">
        <v>32</v>
      </c>
      <c r="S135" s="285">
        <v>26</v>
      </c>
      <c r="T135" s="285">
        <v>58</v>
      </c>
    </row>
    <row r="136" spans="2:20" x14ac:dyDescent="0.25">
      <c r="B136" s="229" t="s">
        <v>189</v>
      </c>
      <c r="C136" s="307">
        <v>12</v>
      </c>
      <c r="D136" s="307">
        <v>11</v>
      </c>
      <c r="E136" s="307">
        <v>23</v>
      </c>
      <c r="F136" s="307">
        <v>8</v>
      </c>
      <c r="G136" s="307">
        <v>3</v>
      </c>
      <c r="H136" s="284">
        <v>11</v>
      </c>
      <c r="I136" s="307">
        <v>1</v>
      </c>
      <c r="J136" s="284">
        <v>0</v>
      </c>
      <c r="K136" s="307">
        <v>1</v>
      </c>
      <c r="L136" s="307">
        <v>1</v>
      </c>
      <c r="M136" s="284">
        <v>1</v>
      </c>
      <c r="N136" s="307">
        <v>2</v>
      </c>
      <c r="O136" s="307">
        <v>0</v>
      </c>
      <c r="P136" s="307">
        <v>0</v>
      </c>
      <c r="Q136" s="307">
        <v>0</v>
      </c>
      <c r="R136" s="285">
        <v>22</v>
      </c>
      <c r="S136" s="285">
        <v>15</v>
      </c>
      <c r="T136" s="285">
        <v>37</v>
      </c>
    </row>
    <row r="137" spans="2:20" x14ac:dyDescent="0.25">
      <c r="B137" s="229" t="s">
        <v>190</v>
      </c>
      <c r="C137" s="307">
        <v>6</v>
      </c>
      <c r="D137" s="307">
        <v>8</v>
      </c>
      <c r="E137" s="307">
        <v>14</v>
      </c>
      <c r="F137" s="307">
        <v>2</v>
      </c>
      <c r="G137" s="307">
        <v>2</v>
      </c>
      <c r="H137" s="284">
        <v>4</v>
      </c>
      <c r="I137" s="307">
        <v>0</v>
      </c>
      <c r="J137" s="284">
        <v>0</v>
      </c>
      <c r="K137" s="307">
        <v>0</v>
      </c>
      <c r="L137" s="307">
        <v>0</v>
      </c>
      <c r="M137" s="284">
        <v>0</v>
      </c>
      <c r="N137" s="307">
        <v>0</v>
      </c>
      <c r="O137" s="307">
        <v>0</v>
      </c>
      <c r="P137" s="307">
        <v>0</v>
      </c>
      <c r="Q137" s="307">
        <v>0</v>
      </c>
      <c r="R137" s="285">
        <v>8</v>
      </c>
      <c r="S137" s="285">
        <v>10</v>
      </c>
      <c r="T137" s="285">
        <v>18</v>
      </c>
    </row>
    <row r="138" spans="2:20" x14ac:dyDescent="0.25">
      <c r="B138" s="229" t="s">
        <v>191</v>
      </c>
      <c r="C138" s="307">
        <v>7</v>
      </c>
      <c r="D138" s="307">
        <v>7</v>
      </c>
      <c r="E138" s="307">
        <v>14</v>
      </c>
      <c r="F138" s="307">
        <v>6</v>
      </c>
      <c r="G138" s="307">
        <v>4</v>
      </c>
      <c r="H138" s="284">
        <v>10</v>
      </c>
      <c r="I138" s="307">
        <v>0</v>
      </c>
      <c r="J138" s="284">
        <v>0</v>
      </c>
      <c r="K138" s="307">
        <v>0</v>
      </c>
      <c r="L138" s="307">
        <v>0</v>
      </c>
      <c r="M138" s="284">
        <v>1</v>
      </c>
      <c r="N138" s="307">
        <v>1</v>
      </c>
      <c r="O138" s="307">
        <v>0</v>
      </c>
      <c r="P138" s="307">
        <v>0</v>
      </c>
      <c r="Q138" s="307">
        <v>0</v>
      </c>
      <c r="R138" s="285">
        <v>13</v>
      </c>
      <c r="S138" s="285">
        <v>12</v>
      </c>
      <c r="T138" s="285">
        <v>25</v>
      </c>
    </row>
    <row r="139" spans="2:20" x14ac:dyDescent="0.25">
      <c r="B139" s="229" t="s">
        <v>192</v>
      </c>
      <c r="C139" s="307">
        <v>9</v>
      </c>
      <c r="D139" s="307">
        <v>4</v>
      </c>
      <c r="E139" s="307">
        <v>13</v>
      </c>
      <c r="F139" s="307">
        <v>3</v>
      </c>
      <c r="G139" s="307">
        <v>4</v>
      </c>
      <c r="H139" s="284">
        <v>7</v>
      </c>
      <c r="I139" s="307">
        <v>0</v>
      </c>
      <c r="J139" s="284">
        <v>0</v>
      </c>
      <c r="K139" s="307">
        <v>0</v>
      </c>
      <c r="L139" s="307">
        <v>0</v>
      </c>
      <c r="M139" s="284">
        <v>1</v>
      </c>
      <c r="N139" s="307">
        <v>1</v>
      </c>
      <c r="O139" s="307">
        <v>0</v>
      </c>
      <c r="P139" s="307">
        <v>0</v>
      </c>
      <c r="Q139" s="307">
        <v>0</v>
      </c>
      <c r="R139" s="285">
        <v>12</v>
      </c>
      <c r="S139" s="285">
        <v>9</v>
      </c>
      <c r="T139" s="285">
        <v>21</v>
      </c>
    </row>
    <row r="140" spans="2:20" x14ac:dyDescent="0.25">
      <c r="B140" s="229" t="s">
        <v>193</v>
      </c>
      <c r="C140" s="307">
        <v>21</v>
      </c>
      <c r="D140" s="307">
        <v>18</v>
      </c>
      <c r="E140" s="307">
        <v>39</v>
      </c>
      <c r="F140" s="307">
        <v>18</v>
      </c>
      <c r="G140" s="307">
        <v>9</v>
      </c>
      <c r="H140" s="284">
        <v>27</v>
      </c>
      <c r="I140" s="307">
        <v>1</v>
      </c>
      <c r="J140" s="284">
        <v>0</v>
      </c>
      <c r="K140" s="307">
        <v>1</v>
      </c>
      <c r="L140" s="307">
        <v>0</v>
      </c>
      <c r="M140" s="284">
        <v>0</v>
      </c>
      <c r="N140" s="307">
        <v>0</v>
      </c>
      <c r="O140" s="307">
        <v>0</v>
      </c>
      <c r="P140" s="307">
        <v>0</v>
      </c>
      <c r="Q140" s="307">
        <v>0</v>
      </c>
      <c r="R140" s="285">
        <v>40</v>
      </c>
      <c r="S140" s="285">
        <v>27</v>
      </c>
      <c r="T140" s="285">
        <v>67</v>
      </c>
    </row>
    <row r="141" spans="2:20" x14ac:dyDescent="0.25">
      <c r="B141" s="229" t="s">
        <v>194</v>
      </c>
      <c r="C141" s="307">
        <v>14</v>
      </c>
      <c r="D141" s="307">
        <v>10</v>
      </c>
      <c r="E141" s="307">
        <v>24</v>
      </c>
      <c r="F141" s="307">
        <v>5</v>
      </c>
      <c r="G141" s="307">
        <v>7</v>
      </c>
      <c r="H141" s="284">
        <v>12</v>
      </c>
      <c r="I141" s="307">
        <v>0</v>
      </c>
      <c r="J141" s="284">
        <v>1</v>
      </c>
      <c r="K141" s="307">
        <v>1</v>
      </c>
      <c r="L141" s="307">
        <v>1</v>
      </c>
      <c r="M141" s="284">
        <v>0</v>
      </c>
      <c r="N141" s="307">
        <v>1</v>
      </c>
      <c r="O141" s="307">
        <v>0</v>
      </c>
      <c r="P141" s="307">
        <v>0</v>
      </c>
      <c r="Q141" s="307">
        <v>0</v>
      </c>
      <c r="R141" s="285">
        <v>20</v>
      </c>
      <c r="S141" s="285">
        <v>18</v>
      </c>
      <c r="T141" s="285">
        <v>38</v>
      </c>
    </row>
    <row r="142" spans="2:20" x14ac:dyDescent="0.25">
      <c r="B142" s="229" t="s">
        <v>195</v>
      </c>
      <c r="C142" s="307">
        <v>54</v>
      </c>
      <c r="D142" s="307">
        <v>53</v>
      </c>
      <c r="E142" s="307">
        <v>107</v>
      </c>
      <c r="F142" s="307">
        <v>36</v>
      </c>
      <c r="G142" s="307">
        <v>34</v>
      </c>
      <c r="H142" s="284">
        <v>70</v>
      </c>
      <c r="I142" s="307">
        <v>1</v>
      </c>
      <c r="J142" s="284">
        <v>0</v>
      </c>
      <c r="K142" s="307">
        <v>1</v>
      </c>
      <c r="L142" s="307">
        <v>4</v>
      </c>
      <c r="M142" s="284">
        <v>5</v>
      </c>
      <c r="N142" s="307">
        <v>9</v>
      </c>
      <c r="O142" s="307">
        <v>0</v>
      </c>
      <c r="P142" s="307">
        <v>0</v>
      </c>
      <c r="Q142" s="307">
        <v>0</v>
      </c>
      <c r="R142" s="285">
        <v>95</v>
      </c>
      <c r="S142" s="285">
        <v>92</v>
      </c>
      <c r="T142" s="285">
        <v>187</v>
      </c>
    </row>
    <row r="143" spans="2:20" x14ac:dyDescent="0.25">
      <c r="B143" s="229" t="s">
        <v>196</v>
      </c>
      <c r="C143" s="307">
        <v>110</v>
      </c>
      <c r="D143" s="307">
        <v>95</v>
      </c>
      <c r="E143" s="307">
        <v>205</v>
      </c>
      <c r="F143" s="307">
        <v>80</v>
      </c>
      <c r="G143" s="307">
        <v>45</v>
      </c>
      <c r="H143" s="284">
        <v>125</v>
      </c>
      <c r="I143" s="307">
        <v>0</v>
      </c>
      <c r="J143" s="284">
        <v>3</v>
      </c>
      <c r="K143" s="307">
        <v>3</v>
      </c>
      <c r="L143" s="307">
        <v>4</v>
      </c>
      <c r="M143" s="284">
        <v>6</v>
      </c>
      <c r="N143" s="307">
        <v>10</v>
      </c>
      <c r="O143" s="307">
        <v>0</v>
      </c>
      <c r="P143" s="307">
        <v>1</v>
      </c>
      <c r="Q143" s="307">
        <v>1</v>
      </c>
      <c r="R143" s="285">
        <v>194</v>
      </c>
      <c r="S143" s="285">
        <v>150</v>
      </c>
      <c r="T143" s="285">
        <v>344</v>
      </c>
    </row>
    <row r="144" spans="2:20" x14ac:dyDescent="0.25">
      <c r="B144" s="229" t="s">
        <v>197</v>
      </c>
      <c r="C144" s="307">
        <v>17</v>
      </c>
      <c r="D144" s="307">
        <v>27</v>
      </c>
      <c r="E144" s="307">
        <v>44</v>
      </c>
      <c r="F144" s="307">
        <v>18</v>
      </c>
      <c r="G144" s="307">
        <v>9</v>
      </c>
      <c r="H144" s="284">
        <v>27</v>
      </c>
      <c r="I144" s="307">
        <v>1</v>
      </c>
      <c r="J144" s="284">
        <v>0</v>
      </c>
      <c r="K144" s="307">
        <v>1</v>
      </c>
      <c r="L144" s="307">
        <v>1</v>
      </c>
      <c r="M144" s="284">
        <v>3</v>
      </c>
      <c r="N144" s="307">
        <v>4</v>
      </c>
      <c r="O144" s="307">
        <v>0</v>
      </c>
      <c r="P144" s="307">
        <v>0</v>
      </c>
      <c r="Q144" s="307">
        <v>0</v>
      </c>
      <c r="R144" s="285">
        <v>37</v>
      </c>
      <c r="S144" s="285">
        <v>39</v>
      </c>
      <c r="T144" s="285">
        <v>76</v>
      </c>
    </row>
    <row r="145" spans="2:20" x14ac:dyDescent="0.25">
      <c r="B145" s="229" t="s">
        <v>198</v>
      </c>
      <c r="C145" s="307">
        <v>2</v>
      </c>
      <c r="D145" s="307">
        <v>6</v>
      </c>
      <c r="E145" s="307">
        <v>8</v>
      </c>
      <c r="F145" s="307">
        <v>4</v>
      </c>
      <c r="G145" s="307">
        <v>2</v>
      </c>
      <c r="H145" s="284">
        <v>6</v>
      </c>
      <c r="I145" s="307">
        <v>0</v>
      </c>
      <c r="J145" s="284">
        <v>0</v>
      </c>
      <c r="K145" s="307">
        <v>0</v>
      </c>
      <c r="L145" s="307">
        <v>1</v>
      </c>
      <c r="M145" s="284">
        <v>0</v>
      </c>
      <c r="N145" s="307">
        <v>1</v>
      </c>
      <c r="O145" s="307">
        <v>0</v>
      </c>
      <c r="P145" s="307">
        <v>0</v>
      </c>
      <c r="Q145" s="307">
        <v>0</v>
      </c>
      <c r="R145" s="285">
        <v>7</v>
      </c>
      <c r="S145" s="285">
        <v>8</v>
      </c>
      <c r="T145" s="285">
        <v>15</v>
      </c>
    </row>
    <row r="146" spans="2:20" x14ac:dyDescent="0.25">
      <c r="B146" s="229" t="s">
        <v>199</v>
      </c>
      <c r="C146" s="307">
        <v>66</v>
      </c>
      <c r="D146" s="307">
        <v>42</v>
      </c>
      <c r="E146" s="307">
        <v>108</v>
      </c>
      <c r="F146" s="307">
        <v>46</v>
      </c>
      <c r="G146" s="307">
        <v>36</v>
      </c>
      <c r="H146" s="284">
        <v>82</v>
      </c>
      <c r="I146" s="307">
        <v>2</v>
      </c>
      <c r="J146" s="284">
        <v>4</v>
      </c>
      <c r="K146" s="307">
        <v>6</v>
      </c>
      <c r="L146" s="307">
        <v>3</v>
      </c>
      <c r="M146" s="284">
        <v>10</v>
      </c>
      <c r="N146" s="307">
        <v>13</v>
      </c>
      <c r="O146" s="307">
        <v>0</v>
      </c>
      <c r="P146" s="307">
        <v>0</v>
      </c>
      <c r="Q146" s="307">
        <v>0</v>
      </c>
      <c r="R146" s="285">
        <v>117</v>
      </c>
      <c r="S146" s="285">
        <v>92</v>
      </c>
      <c r="T146" s="285">
        <v>209</v>
      </c>
    </row>
    <row r="147" spans="2:20" x14ac:dyDescent="0.25">
      <c r="B147" s="229" t="s">
        <v>200</v>
      </c>
      <c r="C147" s="307">
        <v>13</v>
      </c>
      <c r="D147" s="307">
        <v>13</v>
      </c>
      <c r="E147" s="307">
        <v>26</v>
      </c>
      <c r="F147" s="307">
        <v>9</v>
      </c>
      <c r="G147" s="307">
        <v>5</v>
      </c>
      <c r="H147" s="284">
        <v>14</v>
      </c>
      <c r="I147" s="307">
        <v>0</v>
      </c>
      <c r="J147" s="284">
        <v>1</v>
      </c>
      <c r="K147" s="307">
        <v>1</v>
      </c>
      <c r="L147" s="307">
        <v>0</v>
      </c>
      <c r="M147" s="284">
        <v>2</v>
      </c>
      <c r="N147" s="307">
        <v>2</v>
      </c>
      <c r="O147" s="307">
        <v>0</v>
      </c>
      <c r="P147" s="307">
        <v>0</v>
      </c>
      <c r="Q147" s="307">
        <v>0</v>
      </c>
      <c r="R147" s="285">
        <v>22</v>
      </c>
      <c r="S147" s="285">
        <v>21</v>
      </c>
      <c r="T147" s="285">
        <v>43</v>
      </c>
    </row>
    <row r="148" spans="2:20" x14ac:dyDescent="0.25">
      <c r="B148" s="229" t="s">
        <v>201</v>
      </c>
      <c r="C148" s="307">
        <v>38</v>
      </c>
      <c r="D148" s="307">
        <v>52</v>
      </c>
      <c r="E148" s="307">
        <v>90</v>
      </c>
      <c r="F148" s="307">
        <v>52</v>
      </c>
      <c r="G148" s="307">
        <v>21</v>
      </c>
      <c r="H148" s="284">
        <v>73</v>
      </c>
      <c r="I148" s="307">
        <v>0</v>
      </c>
      <c r="J148" s="284">
        <v>1</v>
      </c>
      <c r="K148" s="307">
        <v>1</v>
      </c>
      <c r="L148" s="307">
        <v>3</v>
      </c>
      <c r="M148" s="284">
        <v>3</v>
      </c>
      <c r="N148" s="307">
        <v>6</v>
      </c>
      <c r="O148" s="307">
        <v>0</v>
      </c>
      <c r="P148" s="307">
        <v>0</v>
      </c>
      <c r="Q148" s="307">
        <v>0</v>
      </c>
      <c r="R148" s="285">
        <v>93</v>
      </c>
      <c r="S148" s="285">
        <v>77</v>
      </c>
      <c r="T148" s="285">
        <v>170</v>
      </c>
    </row>
    <row r="149" spans="2:20" x14ac:dyDescent="0.25">
      <c r="B149" s="229" t="s">
        <v>202</v>
      </c>
      <c r="C149" s="307">
        <v>9</v>
      </c>
      <c r="D149" s="307">
        <v>10</v>
      </c>
      <c r="E149" s="307">
        <v>19</v>
      </c>
      <c r="F149" s="307">
        <v>9</v>
      </c>
      <c r="G149" s="307">
        <v>3</v>
      </c>
      <c r="H149" s="284">
        <v>12</v>
      </c>
      <c r="I149" s="307">
        <v>0</v>
      </c>
      <c r="J149" s="284">
        <v>1</v>
      </c>
      <c r="K149" s="307">
        <v>1</v>
      </c>
      <c r="L149" s="307">
        <v>0</v>
      </c>
      <c r="M149" s="284">
        <v>1</v>
      </c>
      <c r="N149" s="307">
        <v>1</v>
      </c>
      <c r="O149" s="307">
        <v>0</v>
      </c>
      <c r="P149" s="307">
        <v>0</v>
      </c>
      <c r="Q149" s="307">
        <v>0</v>
      </c>
      <c r="R149" s="285">
        <v>18</v>
      </c>
      <c r="S149" s="285">
        <v>15</v>
      </c>
      <c r="T149" s="285">
        <v>33</v>
      </c>
    </row>
    <row r="150" spans="2:20" x14ac:dyDescent="0.25">
      <c r="B150" s="229" t="s">
        <v>203</v>
      </c>
      <c r="C150" s="307">
        <v>7</v>
      </c>
      <c r="D150" s="307">
        <v>8</v>
      </c>
      <c r="E150" s="307">
        <v>15</v>
      </c>
      <c r="F150" s="307">
        <v>10</v>
      </c>
      <c r="G150" s="307">
        <v>4</v>
      </c>
      <c r="H150" s="284">
        <v>14</v>
      </c>
      <c r="I150" s="307">
        <v>0</v>
      </c>
      <c r="J150" s="284">
        <v>0</v>
      </c>
      <c r="K150" s="307">
        <v>0</v>
      </c>
      <c r="L150" s="307">
        <v>0</v>
      </c>
      <c r="M150" s="284">
        <v>0</v>
      </c>
      <c r="N150" s="307">
        <v>0</v>
      </c>
      <c r="O150" s="307">
        <v>0</v>
      </c>
      <c r="P150" s="307">
        <v>0</v>
      </c>
      <c r="Q150" s="307">
        <v>0</v>
      </c>
      <c r="R150" s="285">
        <v>17</v>
      </c>
      <c r="S150" s="285">
        <v>12</v>
      </c>
      <c r="T150" s="285">
        <v>29</v>
      </c>
    </row>
    <row r="151" spans="2:20" x14ac:dyDescent="0.25">
      <c r="B151" s="229" t="s">
        <v>204</v>
      </c>
      <c r="C151" s="307">
        <v>167</v>
      </c>
      <c r="D151" s="307">
        <v>155</v>
      </c>
      <c r="E151" s="307">
        <v>322</v>
      </c>
      <c r="F151" s="307">
        <v>158</v>
      </c>
      <c r="G151" s="307">
        <v>97</v>
      </c>
      <c r="H151" s="284">
        <v>255</v>
      </c>
      <c r="I151" s="307">
        <v>3</v>
      </c>
      <c r="J151" s="284">
        <v>4</v>
      </c>
      <c r="K151" s="307">
        <v>7</v>
      </c>
      <c r="L151" s="307">
        <v>10</v>
      </c>
      <c r="M151" s="284">
        <v>14</v>
      </c>
      <c r="N151" s="307">
        <v>24</v>
      </c>
      <c r="O151" s="307">
        <v>1</v>
      </c>
      <c r="P151" s="307">
        <v>0</v>
      </c>
      <c r="Q151" s="307">
        <v>1</v>
      </c>
      <c r="R151" s="285">
        <v>339</v>
      </c>
      <c r="S151" s="285">
        <v>270</v>
      </c>
      <c r="T151" s="285">
        <v>609</v>
      </c>
    </row>
    <row r="152" spans="2:20" x14ac:dyDescent="0.25">
      <c r="B152" s="229" t="s">
        <v>205</v>
      </c>
      <c r="C152" s="307">
        <v>81</v>
      </c>
      <c r="D152" s="307">
        <v>56</v>
      </c>
      <c r="E152" s="307">
        <v>137</v>
      </c>
      <c r="F152" s="307">
        <v>66</v>
      </c>
      <c r="G152" s="307">
        <v>40</v>
      </c>
      <c r="H152" s="284">
        <v>106</v>
      </c>
      <c r="I152" s="307">
        <v>1</v>
      </c>
      <c r="J152" s="284">
        <v>1</v>
      </c>
      <c r="K152" s="307">
        <v>2</v>
      </c>
      <c r="L152" s="307">
        <v>6</v>
      </c>
      <c r="M152" s="284">
        <v>8</v>
      </c>
      <c r="N152" s="307">
        <v>14</v>
      </c>
      <c r="O152" s="307">
        <v>0</v>
      </c>
      <c r="P152" s="307">
        <v>0</v>
      </c>
      <c r="Q152" s="307">
        <v>0</v>
      </c>
      <c r="R152" s="285">
        <v>154</v>
      </c>
      <c r="S152" s="285">
        <v>105</v>
      </c>
      <c r="T152" s="285">
        <v>259</v>
      </c>
    </row>
    <row r="153" spans="2:20" x14ac:dyDescent="0.25">
      <c r="B153" s="230" t="s">
        <v>492</v>
      </c>
      <c r="C153" s="307">
        <v>164</v>
      </c>
      <c r="D153" s="307">
        <v>194</v>
      </c>
      <c r="E153" s="307">
        <v>358</v>
      </c>
      <c r="F153" s="307">
        <v>194</v>
      </c>
      <c r="G153" s="307">
        <v>108</v>
      </c>
      <c r="H153" s="284">
        <v>302</v>
      </c>
      <c r="I153" s="307">
        <v>6</v>
      </c>
      <c r="J153" s="284">
        <v>2</v>
      </c>
      <c r="K153" s="307">
        <v>8</v>
      </c>
      <c r="L153" s="307">
        <v>12</v>
      </c>
      <c r="M153" s="284">
        <v>15</v>
      </c>
      <c r="N153" s="307">
        <v>27</v>
      </c>
      <c r="O153" s="307">
        <v>0</v>
      </c>
      <c r="P153" s="307">
        <v>1</v>
      </c>
      <c r="Q153" s="307">
        <v>1</v>
      </c>
      <c r="R153" s="285">
        <v>376</v>
      </c>
      <c r="S153" s="285">
        <v>320</v>
      </c>
      <c r="T153" s="285">
        <v>696</v>
      </c>
    </row>
    <row r="154" spans="2:20" x14ac:dyDescent="0.25">
      <c r="B154" s="175" t="s">
        <v>206</v>
      </c>
      <c r="C154" s="307">
        <v>9</v>
      </c>
      <c r="D154" s="307">
        <v>14</v>
      </c>
      <c r="E154" s="307">
        <v>23</v>
      </c>
      <c r="F154" s="307">
        <v>7</v>
      </c>
      <c r="G154" s="307">
        <v>3</v>
      </c>
      <c r="H154" s="284">
        <v>10</v>
      </c>
      <c r="I154" s="307">
        <v>0</v>
      </c>
      <c r="J154" s="284">
        <v>0</v>
      </c>
      <c r="K154" s="307">
        <v>0</v>
      </c>
      <c r="L154" s="307">
        <v>0</v>
      </c>
      <c r="M154" s="284">
        <v>1</v>
      </c>
      <c r="N154" s="307">
        <v>1</v>
      </c>
      <c r="O154" s="307">
        <v>0</v>
      </c>
      <c r="P154" s="307">
        <v>0</v>
      </c>
      <c r="Q154" s="307">
        <v>0</v>
      </c>
      <c r="R154" s="285">
        <v>16</v>
      </c>
      <c r="S154" s="285">
        <v>18</v>
      </c>
      <c r="T154" s="285">
        <v>34</v>
      </c>
    </row>
    <row r="155" spans="2:20" x14ac:dyDescent="0.25">
      <c r="B155" s="260" t="s">
        <v>25</v>
      </c>
      <c r="C155" s="282">
        <v>1127</v>
      </c>
      <c r="D155" s="282">
        <v>1107</v>
      </c>
      <c r="E155" s="282">
        <v>2234</v>
      </c>
      <c r="F155" s="282">
        <v>1010</v>
      </c>
      <c r="G155" s="282">
        <v>602</v>
      </c>
      <c r="H155" s="285">
        <v>1612</v>
      </c>
      <c r="I155" s="282">
        <v>26</v>
      </c>
      <c r="J155" s="285">
        <v>24</v>
      </c>
      <c r="K155" s="282">
        <v>50</v>
      </c>
      <c r="L155" s="282">
        <v>77</v>
      </c>
      <c r="M155" s="285">
        <v>112</v>
      </c>
      <c r="N155" s="282">
        <v>189</v>
      </c>
      <c r="O155" s="282">
        <v>1</v>
      </c>
      <c r="P155" s="282">
        <v>2</v>
      </c>
      <c r="Q155" s="282">
        <v>3</v>
      </c>
      <c r="R155" s="285">
        <v>2241</v>
      </c>
      <c r="S155" s="285">
        <v>1847</v>
      </c>
      <c r="T155" s="285">
        <v>4088</v>
      </c>
    </row>
    <row r="156" spans="2:20" ht="81.75" customHeight="1" x14ac:dyDescent="0.25">
      <c r="B156" s="454" t="s">
        <v>866</v>
      </c>
      <c r="C156" s="454"/>
      <c r="D156" s="454"/>
      <c r="E156" s="454"/>
      <c r="F156" s="454"/>
      <c r="G156" s="454"/>
      <c r="H156" s="454"/>
      <c r="I156" s="454"/>
      <c r="J156" s="454"/>
      <c r="K156" s="454"/>
      <c r="L156" s="454"/>
      <c r="M156" s="454"/>
      <c r="N156" s="454"/>
      <c r="O156" s="454"/>
      <c r="P156" s="454"/>
      <c r="Q156" s="454"/>
    </row>
    <row r="157" spans="2:20" x14ac:dyDescent="0.25">
      <c r="B157" s="157"/>
      <c r="C157" s="157"/>
      <c r="D157" s="157"/>
      <c r="E157" s="157"/>
      <c r="F157" s="157"/>
      <c r="G157"/>
    </row>
    <row r="158" spans="2:20" x14ac:dyDescent="0.25">
      <c r="B158" s="186" t="s">
        <v>517</v>
      </c>
      <c r="C158"/>
      <c r="D158"/>
      <c r="E158"/>
      <c r="F158"/>
      <c r="G158"/>
    </row>
    <row r="159" spans="2:20" x14ac:dyDescent="0.25">
      <c r="B159" s="186"/>
      <c r="C159"/>
      <c r="D159"/>
      <c r="E159"/>
      <c r="F159"/>
      <c r="G159"/>
    </row>
    <row r="160" spans="2:20" ht="15" customHeight="1" x14ac:dyDescent="0.25">
      <c r="B160" s="426" t="s">
        <v>532</v>
      </c>
      <c r="C160" s="475" t="s">
        <v>477</v>
      </c>
      <c r="D160" s="475"/>
      <c r="E160" s="475"/>
      <c r="F160" s="475"/>
      <c r="G160" s="475"/>
      <c r="H160" s="475"/>
      <c r="I160" s="475"/>
      <c r="J160" s="475"/>
      <c r="K160" s="475"/>
      <c r="L160" s="475"/>
      <c r="M160" s="475"/>
      <c r="N160" s="475"/>
      <c r="O160" s="475"/>
      <c r="P160" s="475"/>
      <c r="Q160" s="475"/>
      <c r="R160" s="469" t="s">
        <v>877</v>
      </c>
      <c r="S160" s="470"/>
      <c r="T160" s="471"/>
    </row>
    <row r="161" spans="2:20" ht="15" customHeight="1" x14ac:dyDescent="0.25">
      <c r="B161" s="427"/>
      <c r="C161" s="463" t="s">
        <v>849</v>
      </c>
      <c r="D161" s="463"/>
      <c r="E161" s="463"/>
      <c r="F161" s="463" t="s">
        <v>850</v>
      </c>
      <c r="G161" s="463"/>
      <c r="H161" s="463"/>
      <c r="I161" s="463" t="s">
        <v>3</v>
      </c>
      <c r="J161" s="463"/>
      <c r="K161" s="463"/>
      <c r="L161" s="463" t="s">
        <v>5</v>
      </c>
      <c r="M161" s="463"/>
      <c r="N161" s="463"/>
      <c r="O161" s="463" t="s">
        <v>859</v>
      </c>
      <c r="P161" s="463"/>
      <c r="Q161" s="463"/>
      <c r="R161" s="472"/>
      <c r="S161" s="473"/>
      <c r="T161" s="474"/>
    </row>
    <row r="162" spans="2:20" x14ac:dyDescent="0.25">
      <c r="B162" s="428"/>
      <c r="C162" s="264" t="s">
        <v>73</v>
      </c>
      <c r="D162" s="264" t="s">
        <v>74</v>
      </c>
      <c r="E162" s="264" t="s">
        <v>25</v>
      </c>
      <c r="F162" s="264" t="s">
        <v>73</v>
      </c>
      <c r="G162" s="264" t="s">
        <v>74</v>
      </c>
      <c r="H162" s="264" t="s">
        <v>25</v>
      </c>
      <c r="I162" s="264" t="s">
        <v>73</v>
      </c>
      <c r="J162" s="264" t="s">
        <v>74</v>
      </c>
      <c r="K162" s="264" t="s">
        <v>25</v>
      </c>
      <c r="L162" s="264" t="s">
        <v>73</v>
      </c>
      <c r="M162" s="264" t="s">
        <v>74</v>
      </c>
      <c r="N162" s="264" t="s">
        <v>25</v>
      </c>
      <c r="O162" s="264" t="s">
        <v>73</v>
      </c>
      <c r="P162" s="264" t="s">
        <v>74</v>
      </c>
      <c r="Q162" s="264" t="s">
        <v>25</v>
      </c>
      <c r="R162" s="274" t="s">
        <v>73</v>
      </c>
      <c r="S162" s="274" t="s">
        <v>74</v>
      </c>
      <c r="T162" s="274" t="s">
        <v>25</v>
      </c>
    </row>
    <row r="163" spans="2:20" x14ac:dyDescent="0.25">
      <c r="B163" s="228" t="s">
        <v>385</v>
      </c>
      <c r="C163" s="307">
        <v>5</v>
      </c>
      <c r="D163" s="307">
        <v>9</v>
      </c>
      <c r="E163" s="307">
        <v>14</v>
      </c>
      <c r="F163" s="307">
        <v>2</v>
      </c>
      <c r="G163" s="307">
        <v>2</v>
      </c>
      <c r="H163" s="284">
        <v>4</v>
      </c>
      <c r="I163" s="307">
        <v>0</v>
      </c>
      <c r="J163" s="284">
        <v>0</v>
      </c>
      <c r="K163" s="307">
        <v>0</v>
      </c>
      <c r="L163" s="284">
        <v>0</v>
      </c>
      <c r="M163" s="307">
        <v>0</v>
      </c>
      <c r="N163" s="284">
        <v>0</v>
      </c>
      <c r="O163" s="284">
        <v>0</v>
      </c>
      <c r="P163" s="284">
        <v>0</v>
      </c>
      <c r="Q163" s="284">
        <v>0</v>
      </c>
      <c r="R163" s="285">
        <v>7</v>
      </c>
      <c r="S163" s="285">
        <v>11</v>
      </c>
      <c r="T163" s="285">
        <v>18</v>
      </c>
    </row>
    <row r="164" spans="2:20" x14ac:dyDescent="0.25">
      <c r="B164" s="229" t="s">
        <v>386</v>
      </c>
      <c r="C164" s="307">
        <v>51</v>
      </c>
      <c r="D164" s="307">
        <v>56</v>
      </c>
      <c r="E164" s="307">
        <v>107</v>
      </c>
      <c r="F164" s="307">
        <v>53</v>
      </c>
      <c r="G164" s="307">
        <v>25</v>
      </c>
      <c r="H164" s="284">
        <v>78</v>
      </c>
      <c r="I164" s="307">
        <v>1</v>
      </c>
      <c r="J164" s="284">
        <v>2</v>
      </c>
      <c r="K164" s="307">
        <v>3</v>
      </c>
      <c r="L164" s="284">
        <v>5</v>
      </c>
      <c r="M164" s="307">
        <v>6</v>
      </c>
      <c r="N164" s="284">
        <v>11</v>
      </c>
      <c r="O164" s="284">
        <v>0</v>
      </c>
      <c r="P164" s="284">
        <v>0</v>
      </c>
      <c r="Q164" s="284">
        <v>0</v>
      </c>
      <c r="R164" s="285">
        <v>110</v>
      </c>
      <c r="S164" s="285">
        <v>89</v>
      </c>
      <c r="T164" s="285">
        <v>199</v>
      </c>
    </row>
    <row r="165" spans="2:20" x14ac:dyDescent="0.25">
      <c r="B165" s="229" t="s">
        <v>387</v>
      </c>
      <c r="C165" s="307">
        <v>20</v>
      </c>
      <c r="D165" s="307">
        <v>13</v>
      </c>
      <c r="E165" s="307">
        <v>33</v>
      </c>
      <c r="F165" s="307">
        <v>13</v>
      </c>
      <c r="G165" s="307">
        <v>8</v>
      </c>
      <c r="H165" s="284">
        <v>21</v>
      </c>
      <c r="I165" s="307">
        <v>1</v>
      </c>
      <c r="J165" s="284">
        <v>0</v>
      </c>
      <c r="K165" s="307">
        <v>1</v>
      </c>
      <c r="L165" s="284">
        <v>2</v>
      </c>
      <c r="M165" s="307">
        <v>3</v>
      </c>
      <c r="N165" s="284">
        <v>5</v>
      </c>
      <c r="O165" s="284">
        <v>0</v>
      </c>
      <c r="P165" s="284">
        <v>0</v>
      </c>
      <c r="Q165" s="284">
        <v>0</v>
      </c>
      <c r="R165" s="285">
        <v>36</v>
      </c>
      <c r="S165" s="285">
        <v>24</v>
      </c>
      <c r="T165" s="285">
        <v>60</v>
      </c>
    </row>
    <row r="166" spans="2:20" x14ac:dyDescent="0.25">
      <c r="B166" s="229" t="s">
        <v>388</v>
      </c>
      <c r="C166" s="307">
        <v>41</v>
      </c>
      <c r="D166" s="307">
        <v>38</v>
      </c>
      <c r="E166" s="307">
        <v>79</v>
      </c>
      <c r="F166" s="307">
        <v>37</v>
      </c>
      <c r="G166" s="307">
        <v>24</v>
      </c>
      <c r="H166" s="284">
        <v>61</v>
      </c>
      <c r="I166" s="307">
        <v>0</v>
      </c>
      <c r="J166" s="284">
        <v>0</v>
      </c>
      <c r="K166" s="307">
        <v>0</v>
      </c>
      <c r="L166" s="284">
        <v>3</v>
      </c>
      <c r="M166" s="307">
        <v>6</v>
      </c>
      <c r="N166" s="284">
        <v>9</v>
      </c>
      <c r="O166" s="284">
        <v>0</v>
      </c>
      <c r="P166" s="284">
        <v>0</v>
      </c>
      <c r="Q166" s="284">
        <v>0</v>
      </c>
      <c r="R166" s="285">
        <v>81</v>
      </c>
      <c r="S166" s="285">
        <v>68</v>
      </c>
      <c r="T166" s="285">
        <v>149</v>
      </c>
    </row>
    <row r="167" spans="2:20" x14ac:dyDescent="0.25">
      <c r="B167" s="229" t="s">
        <v>389</v>
      </c>
      <c r="C167" s="307">
        <v>67</v>
      </c>
      <c r="D167" s="307">
        <v>66</v>
      </c>
      <c r="E167" s="307">
        <v>133</v>
      </c>
      <c r="F167" s="307">
        <v>48</v>
      </c>
      <c r="G167" s="307">
        <v>35</v>
      </c>
      <c r="H167" s="284">
        <v>83</v>
      </c>
      <c r="I167" s="307">
        <v>4</v>
      </c>
      <c r="J167" s="284">
        <v>1</v>
      </c>
      <c r="K167" s="307">
        <v>5</v>
      </c>
      <c r="L167" s="284">
        <v>6</v>
      </c>
      <c r="M167" s="307">
        <v>16</v>
      </c>
      <c r="N167" s="284">
        <v>22</v>
      </c>
      <c r="O167" s="284">
        <v>0</v>
      </c>
      <c r="P167" s="284">
        <v>0</v>
      </c>
      <c r="Q167" s="284">
        <v>0</v>
      </c>
      <c r="R167" s="285">
        <v>125</v>
      </c>
      <c r="S167" s="285">
        <v>118</v>
      </c>
      <c r="T167" s="285">
        <v>243</v>
      </c>
    </row>
    <row r="168" spans="2:20" x14ac:dyDescent="0.25">
      <c r="B168" s="229" t="s">
        <v>390</v>
      </c>
      <c r="C168" s="307">
        <v>49</v>
      </c>
      <c r="D168" s="307">
        <v>63</v>
      </c>
      <c r="E168" s="307">
        <v>112</v>
      </c>
      <c r="F168" s="307">
        <v>43</v>
      </c>
      <c r="G168" s="307">
        <v>24</v>
      </c>
      <c r="H168" s="284">
        <v>67</v>
      </c>
      <c r="I168" s="307">
        <v>3</v>
      </c>
      <c r="J168" s="284">
        <v>3</v>
      </c>
      <c r="K168" s="307">
        <v>6</v>
      </c>
      <c r="L168" s="284">
        <v>1</v>
      </c>
      <c r="M168" s="307">
        <v>6</v>
      </c>
      <c r="N168" s="284">
        <v>7</v>
      </c>
      <c r="O168" s="284">
        <v>0</v>
      </c>
      <c r="P168" s="284">
        <v>0</v>
      </c>
      <c r="Q168" s="284">
        <v>0</v>
      </c>
      <c r="R168" s="285">
        <v>96</v>
      </c>
      <c r="S168" s="285">
        <v>96</v>
      </c>
      <c r="T168" s="285">
        <v>192</v>
      </c>
    </row>
    <row r="169" spans="2:20" x14ac:dyDescent="0.25">
      <c r="B169" s="229" t="s">
        <v>391</v>
      </c>
      <c r="C169" s="307">
        <v>62</v>
      </c>
      <c r="D169" s="307">
        <v>83</v>
      </c>
      <c r="E169" s="307">
        <v>145</v>
      </c>
      <c r="F169" s="307">
        <v>85</v>
      </c>
      <c r="G169" s="307">
        <v>41</v>
      </c>
      <c r="H169" s="284">
        <v>126</v>
      </c>
      <c r="I169" s="307">
        <v>3</v>
      </c>
      <c r="J169" s="284">
        <v>4</v>
      </c>
      <c r="K169" s="307">
        <v>7</v>
      </c>
      <c r="L169" s="284">
        <v>5</v>
      </c>
      <c r="M169" s="307">
        <v>8</v>
      </c>
      <c r="N169" s="284">
        <v>13</v>
      </c>
      <c r="O169" s="284">
        <v>0</v>
      </c>
      <c r="P169" s="284">
        <v>0</v>
      </c>
      <c r="Q169" s="284">
        <v>0</v>
      </c>
      <c r="R169" s="285">
        <v>155</v>
      </c>
      <c r="S169" s="285">
        <v>136</v>
      </c>
      <c r="T169" s="285">
        <v>291</v>
      </c>
    </row>
    <row r="170" spans="2:20" x14ac:dyDescent="0.25">
      <c r="B170" s="229" t="s">
        <v>392</v>
      </c>
      <c r="C170" s="307">
        <v>21</v>
      </c>
      <c r="D170" s="307">
        <v>27</v>
      </c>
      <c r="E170" s="307">
        <v>48</v>
      </c>
      <c r="F170" s="307">
        <v>17</v>
      </c>
      <c r="G170" s="307">
        <v>14</v>
      </c>
      <c r="H170" s="284">
        <v>31</v>
      </c>
      <c r="I170" s="307">
        <v>1</v>
      </c>
      <c r="J170" s="284">
        <v>2</v>
      </c>
      <c r="K170" s="307">
        <v>3</v>
      </c>
      <c r="L170" s="284">
        <v>1</v>
      </c>
      <c r="M170" s="307">
        <v>1</v>
      </c>
      <c r="N170" s="284">
        <v>2</v>
      </c>
      <c r="O170" s="284">
        <v>0</v>
      </c>
      <c r="P170" s="284">
        <v>0</v>
      </c>
      <c r="Q170" s="284">
        <v>0</v>
      </c>
      <c r="R170" s="285">
        <v>40</v>
      </c>
      <c r="S170" s="285">
        <v>44</v>
      </c>
      <c r="T170" s="285">
        <v>84</v>
      </c>
    </row>
    <row r="171" spans="2:20" x14ac:dyDescent="0.25">
      <c r="B171" s="229" t="s">
        <v>393</v>
      </c>
      <c r="C171" s="307">
        <v>85</v>
      </c>
      <c r="D171" s="307">
        <v>100</v>
      </c>
      <c r="E171" s="307">
        <v>185</v>
      </c>
      <c r="F171" s="307">
        <v>70</v>
      </c>
      <c r="G171" s="307">
        <v>37</v>
      </c>
      <c r="H171" s="284">
        <v>107</v>
      </c>
      <c r="I171" s="307">
        <v>1</v>
      </c>
      <c r="J171" s="284">
        <v>1</v>
      </c>
      <c r="K171" s="307">
        <v>2</v>
      </c>
      <c r="L171" s="284">
        <v>8</v>
      </c>
      <c r="M171" s="307">
        <v>8</v>
      </c>
      <c r="N171" s="284">
        <v>16</v>
      </c>
      <c r="O171" s="284">
        <v>1</v>
      </c>
      <c r="P171" s="284">
        <v>0</v>
      </c>
      <c r="Q171" s="284">
        <v>1</v>
      </c>
      <c r="R171" s="285">
        <v>165</v>
      </c>
      <c r="S171" s="285">
        <v>146</v>
      </c>
      <c r="T171" s="285">
        <v>311</v>
      </c>
    </row>
    <row r="172" spans="2:20" x14ac:dyDescent="0.25">
      <c r="B172" s="229" t="s">
        <v>394</v>
      </c>
      <c r="C172" s="307">
        <v>19</v>
      </c>
      <c r="D172" s="307">
        <v>23</v>
      </c>
      <c r="E172" s="307">
        <v>42</v>
      </c>
      <c r="F172" s="307">
        <v>17</v>
      </c>
      <c r="G172" s="307">
        <v>5</v>
      </c>
      <c r="H172" s="284">
        <v>22</v>
      </c>
      <c r="I172" s="307">
        <v>0</v>
      </c>
      <c r="J172" s="284">
        <v>0</v>
      </c>
      <c r="K172" s="307">
        <v>0</v>
      </c>
      <c r="L172" s="284">
        <v>0</v>
      </c>
      <c r="M172" s="307">
        <v>2</v>
      </c>
      <c r="N172" s="284">
        <v>2</v>
      </c>
      <c r="O172" s="284">
        <v>0</v>
      </c>
      <c r="P172" s="284">
        <v>0</v>
      </c>
      <c r="Q172" s="284">
        <v>0</v>
      </c>
      <c r="R172" s="285">
        <v>36</v>
      </c>
      <c r="S172" s="285">
        <v>30</v>
      </c>
      <c r="T172" s="285">
        <v>66</v>
      </c>
    </row>
    <row r="173" spans="2:20" x14ac:dyDescent="0.25">
      <c r="B173" s="229" t="s">
        <v>395</v>
      </c>
      <c r="C173" s="307">
        <v>55</v>
      </c>
      <c r="D173" s="307">
        <v>68</v>
      </c>
      <c r="E173" s="307">
        <v>123</v>
      </c>
      <c r="F173" s="307">
        <v>65</v>
      </c>
      <c r="G173" s="307">
        <v>42</v>
      </c>
      <c r="H173" s="284">
        <v>107</v>
      </c>
      <c r="I173" s="307">
        <v>1</v>
      </c>
      <c r="J173" s="284">
        <v>2</v>
      </c>
      <c r="K173" s="307">
        <v>3</v>
      </c>
      <c r="L173" s="284">
        <v>4</v>
      </c>
      <c r="M173" s="307">
        <v>5</v>
      </c>
      <c r="N173" s="284">
        <v>9</v>
      </c>
      <c r="O173" s="284">
        <v>0</v>
      </c>
      <c r="P173" s="284">
        <v>0</v>
      </c>
      <c r="Q173" s="284">
        <v>0</v>
      </c>
      <c r="R173" s="285">
        <v>125</v>
      </c>
      <c r="S173" s="285">
        <v>117</v>
      </c>
      <c r="T173" s="285">
        <v>242</v>
      </c>
    </row>
    <row r="174" spans="2:20" x14ac:dyDescent="0.25">
      <c r="B174" s="229" t="s">
        <v>396</v>
      </c>
      <c r="C174" s="307">
        <v>36</v>
      </c>
      <c r="D174" s="307">
        <v>26</v>
      </c>
      <c r="E174" s="307">
        <v>62</v>
      </c>
      <c r="F174" s="307">
        <v>36</v>
      </c>
      <c r="G174" s="307">
        <v>14</v>
      </c>
      <c r="H174" s="284">
        <v>50</v>
      </c>
      <c r="I174" s="307">
        <v>3</v>
      </c>
      <c r="J174" s="284">
        <v>2</v>
      </c>
      <c r="K174" s="307">
        <v>5</v>
      </c>
      <c r="L174" s="284">
        <v>3</v>
      </c>
      <c r="M174" s="307">
        <v>4</v>
      </c>
      <c r="N174" s="284">
        <v>7</v>
      </c>
      <c r="O174" s="284">
        <v>1</v>
      </c>
      <c r="P174" s="284">
        <v>0</v>
      </c>
      <c r="Q174" s="284">
        <v>1</v>
      </c>
      <c r="R174" s="285">
        <v>79</v>
      </c>
      <c r="S174" s="285">
        <v>46</v>
      </c>
      <c r="T174" s="285">
        <v>125</v>
      </c>
    </row>
    <row r="175" spans="2:20" x14ac:dyDescent="0.25">
      <c r="B175" s="229" t="s">
        <v>397</v>
      </c>
      <c r="C175" s="307">
        <v>29</v>
      </c>
      <c r="D175" s="307">
        <v>34</v>
      </c>
      <c r="E175" s="307">
        <v>63</v>
      </c>
      <c r="F175" s="307">
        <v>43</v>
      </c>
      <c r="G175" s="307">
        <v>19</v>
      </c>
      <c r="H175" s="284">
        <v>62</v>
      </c>
      <c r="I175" s="307">
        <v>1</v>
      </c>
      <c r="J175" s="284">
        <v>0</v>
      </c>
      <c r="K175" s="307">
        <v>1</v>
      </c>
      <c r="L175" s="284">
        <v>1</v>
      </c>
      <c r="M175" s="307">
        <v>3</v>
      </c>
      <c r="N175" s="284">
        <v>4</v>
      </c>
      <c r="O175" s="284">
        <v>0</v>
      </c>
      <c r="P175" s="284">
        <v>0</v>
      </c>
      <c r="Q175" s="284">
        <v>0</v>
      </c>
      <c r="R175" s="285">
        <v>74</v>
      </c>
      <c r="S175" s="285">
        <v>56</v>
      </c>
      <c r="T175" s="285">
        <v>130</v>
      </c>
    </row>
    <row r="176" spans="2:20" x14ac:dyDescent="0.25">
      <c r="B176" s="229" t="s">
        <v>398</v>
      </c>
      <c r="C176" s="307">
        <v>19</v>
      </c>
      <c r="D176" s="307">
        <v>29</v>
      </c>
      <c r="E176" s="307">
        <v>48</v>
      </c>
      <c r="F176" s="307">
        <v>13</v>
      </c>
      <c r="G176" s="307">
        <v>18</v>
      </c>
      <c r="H176" s="284">
        <v>31</v>
      </c>
      <c r="I176" s="307">
        <v>0</v>
      </c>
      <c r="J176" s="284">
        <v>0</v>
      </c>
      <c r="K176" s="307">
        <v>0</v>
      </c>
      <c r="L176" s="284">
        <v>0</v>
      </c>
      <c r="M176" s="307">
        <v>1</v>
      </c>
      <c r="N176" s="284">
        <v>1</v>
      </c>
      <c r="O176" s="284">
        <v>0</v>
      </c>
      <c r="P176" s="284">
        <v>0</v>
      </c>
      <c r="Q176" s="284">
        <v>0</v>
      </c>
      <c r="R176" s="285">
        <v>32</v>
      </c>
      <c r="S176" s="285">
        <v>48</v>
      </c>
      <c r="T176" s="285">
        <v>80</v>
      </c>
    </row>
    <row r="177" spans="2:20" x14ac:dyDescent="0.25">
      <c r="B177" s="229" t="s">
        <v>399</v>
      </c>
      <c r="C177" s="307">
        <v>39</v>
      </c>
      <c r="D177" s="307">
        <v>48</v>
      </c>
      <c r="E177" s="307">
        <v>87</v>
      </c>
      <c r="F177" s="307">
        <v>43</v>
      </c>
      <c r="G177" s="307">
        <v>30</v>
      </c>
      <c r="H177" s="284">
        <v>73</v>
      </c>
      <c r="I177" s="307">
        <v>2</v>
      </c>
      <c r="J177" s="284">
        <v>1</v>
      </c>
      <c r="K177" s="307">
        <v>3</v>
      </c>
      <c r="L177" s="284">
        <v>2</v>
      </c>
      <c r="M177" s="307">
        <v>2</v>
      </c>
      <c r="N177" s="284">
        <v>4</v>
      </c>
      <c r="O177" s="284">
        <v>0</v>
      </c>
      <c r="P177" s="284">
        <v>0</v>
      </c>
      <c r="Q177" s="284">
        <v>0</v>
      </c>
      <c r="R177" s="285">
        <v>86</v>
      </c>
      <c r="S177" s="285">
        <v>81</v>
      </c>
      <c r="T177" s="285">
        <v>167</v>
      </c>
    </row>
    <row r="178" spans="2:20" x14ac:dyDescent="0.25">
      <c r="B178" s="229" t="s">
        <v>400</v>
      </c>
      <c r="C178" s="307">
        <v>177</v>
      </c>
      <c r="D178" s="307">
        <v>175</v>
      </c>
      <c r="E178" s="307">
        <v>352</v>
      </c>
      <c r="F178" s="307">
        <v>256</v>
      </c>
      <c r="G178" s="307">
        <v>118</v>
      </c>
      <c r="H178" s="284">
        <v>374</v>
      </c>
      <c r="I178" s="307">
        <v>3</v>
      </c>
      <c r="J178" s="284">
        <v>6</v>
      </c>
      <c r="K178" s="307">
        <v>9</v>
      </c>
      <c r="L178" s="284">
        <v>10</v>
      </c>
      <c r="M178" s="307">
        <v>13</v>
      </c>
      <c r="N178" s="284">
        <v>23</v>
      </c>
      <c r="O178" s="284">
        <v>0</v>
      </c>
      <c r="P178" s="284">
        <v>0</v>
      </c>
      <c r="Q178" s="284">
        <v>0</v>
      </c>
      <c r="R178" s="285">
        <v>446</v>
      </c>
      <c r="S178" s="285">
        <v>312</v>
      </c>
      <c r="T178" s="285">
        <v>758</v>
      </c>
    </row>
    <row r="179" spans="2:20" x14ac:dyDescent="0.25">
      <c r="B179" s="229" t="s">
        <v>401</v>
      </c>
      <c r="C179" s="307">
        <v>67</v>
      </c>
      <c r="D179" s="307">
        <v>77</v>
      </c>
      <c r="E179" s="307">
        <v>144</v>
      </c>
      <c r="F179" s="307">
        <v>69</v>
      </c>
      <c r="G179" s="307">
        <v>45</v>
      </c>
      <c r="H179" s="284">
        <v>114</v>
      </c>
      <c r="I179" s="307">
        <v>3</v>
      </c>
      <c r="J179" s="284">
        <v>1</v>
      </c>
      <c r="K179" s="307">
        <v>4</v>
      </c>
      <c r="L179" s="284">
        <v>3</v>
      </c>
      <c r="M179" s="307">
        <v>4</v>
      </c>
      <c r="N179" s="284">
        <v>7</v>
      </c>
      <c r="O179" s="284">
        <v>0</v>
      </c>
      <c r="P179" s="284">
        <v>1</v>
      </c>
      <c r="Q179" s="284">
        <v>1</v>
      </c>
      <c r="R179" s="285">
        <v>142</v>
      </c>
      <c r="S179" s="285">
        <v>128</v>
      </c>
      <c r="T179" s="285">
        <v>270</v>
      </c>
    </row>
    <row r="180" spans="2:20" x14ac:dyDescent="0.25">
      <c r="B180" s="229" t="s">
        <v>402</v>
      </c>
      <c r="C180" s="307">
        <v>107</v>
      </c>
      <c r="D180" s="307">
        <v>90</v>
      </c>
      <c r="E180" s="307">
        <v>197</v>
      </c>
      <c r="F180" s="307">
        <v>65</v>
      </c>
      <c r="G180" s="307">
        <v>28</v>
      </c>
      <c r="H180" s="284">
        <v>93</v>
      </c>
      <c r="I180" s="307">
        <v>3</v>
      </c>
      <c r="J180" s="284">
        <v>0</v>
      </c>
      <c r="K180" s="307">
        <v>3</v>
      </c>
      <c r="L180" s="284">
        <v>14</v>
      </c>
      <c r="M180" s="307">
        <v>15</v>
      </c>
      <c r="N180" s="284">
        <v>29</v>
      </c>
      <c r="O180" s="284">
        <v>0</v>
      </c>
      <c r="P180" s="284">
        <v>0</v>
      </c>
      <c r="Q180" s="284">
        <v>0</v>
      </c>
      <c r="R180" s="285">
        <v>189</v>
      </c>
      <c r="S180" s="285">
        <v>133</v>
      </c>
      <c r="T180" s="285">
        <v>322</v>
      </c>
    </row>
    <row r="181" spans="2:20" x14ac:dyDescent="0.25">
      <c r="B181" s="229" t="s">
        <v>403</v>
      </c>
      <c r="C181" s="307">
        <v>25</v>
      </c>
      <c r="D181" s="307">
        <v>22</v>
      </c>
      <c r="E181" s="307">
        <v>47</v>
      </c>
      <c r="F181" s="307">
        <v>56</v>
      </c>
      <c r="G181" s="307">
        <v>27</v>
      </c>
      <c r="H181" s="284">
        <v>83</v>
      </c>
      <c r="I181" s="307">
        <v>1</v>
      </c>
      <c r="J181" s="284">
        <v>0</v>
      </c>
      <c r="K181" s="307">
        <v>1</v>
      </c>
      <c r="L181" s="284">
        <v>3</v>
      </c>
      <c r="M181" s="307">
        <v>0</v>
      </c>
      <c r="N181" s="284">
        <v>3</v>
      </c>
      <c r="O181" s="284">
        <v>0</v>
      </c>
      <c r="P181" s="284">
        <v>0</v>
      </c>
      <c r="Q181" s="284">
        <v>0</v>
      </c>
      <c r="R181" s="285">
        <v>85</v>
      </c>
      <c r="S181" s="285">
        <v>49</v>
      </c>
      <c r="T181" s="285">
        <v>134</v>
      </c>
    </row>
    <row r="182" spans="2:20" x14ac:dyDescent="0.25">
      <c r="B182" s="229" t="s">
        <v>404</v>
      </c>
      <c r="C182" s="307">
        <v>39</v>
      </c>
      <c r="D182" s="307">
        <v>40</v>
      </c>
      <c r="E182" s="307">
        <v>79</v>
      </c>
      <c r="F182" s="307">
        <v>27</v>
      </c>
      <c r="G182" s="307">
        <v>22</v>
      </c>
      <c r="H182" s="284">
        <v>49</v>
      </c>
      <c r="I182" s="307">
        <v>3</v>
      </c>
      <c r="J182" s="284">
        <v>2</v>
      </c>
      <c r="K182" s="307">
        <v>5</v>
      </c>
      <c r="L182" s="284">
        <v>4</v>
      </c>
      <c r="M182" s="307">
        <v>2</v>
      </c>
      <c r="N182" s="284">
        <v>6</v>
      </c>
      <c r="O182" s="284">
        <v>0</v>
      </c>
      <c r="P182" s="284">
        <v>0</v>
      </c>
      <c r="Q182" s="284">
        <v>0</v>
      </c>
      <c r="R182" s="285">
        <v>73</v>
      </c>
      <c r="S182" s="285">
        <v>66</v>
      </c>
      <c r="T182" s="285">
        <v>139</v>
      </c>
    </row>
    <row r="183" spans="2:20" x14ac:dyDescent="0.25">
      <c r="B183" s="229" t="s">
        <v>405</v>
      </c>
      <c r="C183" s="307">
        <v>72</v>
      </c>
      <c r="D183" s="307">
        <v>63</v>
      </c>
      <c r="E183" s="307">
        <v>135</v>
      </c>
      <c r="F183" s="307">
        <v>196</v>
      </c>
      <c r="G183" s="307">
        <v>85</v>
      </c>
      <c r="H183" s="284">
        <v>281</v>
      </c>
      <c r="I183" s="307">
        <v>2</v>
      </c>
      <c r="J183" s="284">
        <v>2</v>
      </c>
      <c r="K183" s="307">
        <v>4</v>
      </c>
      <c r="L183" s="284">
        <v>10</v>
      </c>
      <c r="M183" s="307">
        <v>5</v>
      </c>
      <c r="N183" s="284">
        <v>15</v>
      </c>
      <c r="O183" s="284">
        <v>0</v>
      </c>
      <c r="P183" s="284">
        <v>0</v>
      </c>
      <c r="Q183" s="284">
        <v>0</v>
      </c>
      <c r="R183" s="285">
        <v>280</v>
      </c>
      <c r="S183" s="285">
        <v>155</v>
      </c>
      <c r="T183" s="285">
        <v>435</v>
      </c>
    </row>
    <row r="184" spans="2:20" x14ac:dyDescent="0.25">
      <c r="B184" s="229" t="s">
        <v>406</v>
      </c>
      <c r="C184" s="307">
        <v>30</v>
      </c>
      <c r="D184" s="307">
        <v>29</v>
      </c>
      <c r="E184" s="307">
        <v>59</v>
      </c>
      <c r="F184" s="307">
        <v>37</v>
      </c>
      <c r="G184" s="307">
        <v>15</v>
      </c>
      <c r="H184" s="284">
        <v>52</v>
      </c>
      <c r="I184" s="307">
        <v>0</v>
      </c>
      <c r="J184" s="284">
        <v>0</v>
      </c>
      <c r="K184" s="307">
        <v>0</v>
      </c>
      <c r="L184" s="284">
        <v>1</v>
      </c>
      <c r="M184" s="307">
        <v>2</v>
      </c>
      <c r="N184" s="284">
        <v>3</v>
      </c>
      <c r="O184" s="284">
        <v>0</v>
      </c>
      <c r="P184" s="284">
        <v>0</v>
      </c>
      <c r="Q184" s="284">
        <v>0</v>
      </c>
      <c r="R184" s="285">
        <v>68</v>
      </c>
      <c r="S184" s="285">
        <v>46</v>
      </c>
      <c r="T184" s="285">
        <v>114</v>
      </c>
    </row>
    <row r="185" spans="2:20" x14ac:dyDescent="0.25">
      <c r="B185" s="229" t="s">
        <v>407</v>
      </c>
      <c r="C185" s="307">
        <v>62</v>
      </c>
      <c r="D185" s="307">
        <v>78</v>
      </c>
      <c r="E185" s="307">
        <v>140</v>
      </c>
      <c r="F185" s="307">
        <v>49</v>
      </c>
      <c r="G185" s="307">
        <v>35</v>
      </c>
      <c r="H185" s="284">
        <v>84</v>
      </c>
      <c r="I185" s="307">
        <v>0</v>
      </c>
      <c r="J185" s="284">
        <v>1</v>
      </c>
      <c r="K185" s="307">
        <v>1</v>
      </c>
      <c r="L185" s="284">
        <v>4</v>
      </c>
      <c r="M185" s="307">
        <v>5</v>
      </c>
      <c r="N185" s="284">
        <v>9</v>
      </c>
      <c r="O185" s="284">
        <v>0</v>
      </c>
      <c r="P185" s="284">
        <v>0</v>
      </c>
      <c r="Q185" s="284">
        <v>0</v>
      </c>
      <c r="R185" s="285">
        <v>115</v>
      </c>
      <c r="S185" s="285">
        <v>119</v>
      </c>
      <c r="T185" s="285">
        <v>234</v>
      </c>
    </row>
    <row r="186" spans="2:20" x14ac:dyDescent="0.25">
      <c r="B186" s="229" t="s">
        <v>408</v>
      </c>
      <c r="C186" s="307">
        <v>51</v>
      </c>
      <c r="D186" s="307">
        <v>63</v>
      </c>
      <c r="E186" s="307">
        <v>114</v>
      </c>
      <c r="F186" s="307">
        <v>40</v>
      </c>
      <c r="G186" s="307">
        <v>14</v>
      </c>
      <c r="H186" s="284">
        <v>54</v>
      </c>
      <c r="I186" s="307">
        <v>1</v>
      </c>
      <c r="J186" s="284">
        <v>1</v>
      </c>
      <c r="K186" s="307">
        <v>2</v>
      </c>
      <c r="L186" s="284">
        <v>3</v>
      </c>
      <c r="M186" s="307">
        <v>9</v>
      </c>
      <c r="N186" s="284">
        <v>12</v>
      </c>
      <c r="O186" s="284">
        <v>0</v>
      </c>
      <c r="P186" s="284">
        <v>0</v>
      </c>
      <c r="Q186" s="284">
        <v>0</v>
      </c>
      <c r="R186" s="285">
        <v>95</v>
      </c>
      <c r="S186" s="285">
        <v>87</v>
      </c>
      <c r="T186" s="285">
        <v>182</v>
      </c>
    </row>
    <row r="187" spans="2:20" x14ac:dyDescent="0.25">
      <c r="B187" s="229" t="s">
        <v>409</v>
      </c>
      <c r="C187" s="307">
        <v>63</v>
      </c>
      <c r="D187" s="307">
        <v>57</v>
      </c>
      <c r="E187" s="307">
        <v>120</v>
      </c>
      <c r="F187" s="307">
        <v>91</v>
      </c>
      <c r="G187" s="307">
        <v>43</v>
      </c>
      <c r="H187" s="284">
        <v>134</v>
      </c>
      <c r="I187" s="307">
        <v>1</v>
      </c>
      <c r="J187" s="284">
        <v>2</v>
      </c>
      <c r="K187" s="307">
        <v>3</v>
      </c>
      <c r="L187" s="284">
        <v>3</v>
      </c>
      <c r="M187" s="307">
        <v>2</v>
      </c>
      <c r="N187" s="284">
        <v>5</v>
      </c>
      <c r="O187" s="284">
        <v>0</v>
      </c>
      <c r="P187" s="284">
        <v>0</v>
      </c>
      <c r="Q187" s="284">
        <v>0</v>
      </c>
      <c r="R187" s="285">
        <v>158</v>
      </c>
      <c r="S187" s="285">
        <v>104</v>
      </c>
      <c r="T187" s="285">
        <v>262</v>
      </c>
    </row>
    <row r="188" spans="2:20" x14ac:dyDescent="0.25">
      <c r="B188" s="229" t="s">
        <v>410</v>
      </c>
      <c r="C188" s="307">
        <v>283</v>
      </c>
      <c r="D188" s="307">
        <v>296</v>
      </c>
      <c r="E188" s="307">
        <v>579</v>
      </c>
      <c r="F188" s="307">
        <v>336</v>
      </c>
      <c r="G188" s="307">
        <v>168</v>
      </c>
      <c r="H188" s="284">
        <v>504</v>
      </c>
      <c r="I188" s="307">
        <v>5</v>
      </c>
      <c r="J188" s="284">
        <v>9</v>
      </c>
      <c r="K188" s="307">
        <v>14</v>
      </c>
      <c r="L188" s="284">
        <v>22</v>
      </c>
      <c r="M188" s="307">
        <v>24</v>
      </c>
      <c r="N188" s="284">
        <v>46</v>
      </c>
      <c r="O188" s="284">
        <v>0</v>
      </c>
      <c r="P188" s="284">
        <v>1</v>
      </c>
      <c r="Q188" s="284">
        <v>1</v>
      </c>
      <c r="R188" s="285">
        <v>646</v>
      </c>
      <c r="S188" s="285">
        <v>498</v>
      </c>
      <c r="T188" s="285">
        <v>1144</v>
      </c>
    </row>
    <row r="189" spans="2:20" x14ac:dyDescent="0.25">
      <c r="B189" s="229" t="s">
        <v>411</v>
      </c>
      <c r="C189" s="307">
        <v>7</v>
      </c>
      <c r="D189" s="307">
        <v>18</v>
      </c>
      <c r="E189" s="307">
        <v>25</v>
      </c>
      <c r="F189" s="307">
        <v>3</v>
      </c>
      <c r="G189" s="307">
        <v>1</v>
      </c>
      <c r="H189" s="284">
        <v>4</v>
      </c>
      <c r="I189" s="307">
        <v>0</v>
      </c>
      <c r="J189" s="284">
        <v>0</v>
      </c>
      <c r="K189" s="307">
        <v>0</v>
      </c>
      <c r="L189" s="284">
        <v>0</v>
      </c>
      <c r="M189" s="307">
        <v>0</v>
      </c>
      <c r="N189" s="284">
        <v>0</v>
      </c>
      <c r="O189" s="284">
        <v>0</v>
      </c>
      <c r="P189" s="284">
        <v>0</v>
      </c>
      <c r="Q189" s="284">
        <v>0</v>
      </c>
      <c r="R189" s="285">
        <v>10</v>
      </c>
      <c r="S189" s="285">
        <v>19</v>
      </c>
      <c r="T189" s="285">
        <v>29</v>
      </c>
    </row>
    <row r="190" spans="2:20" x14ac:dyDescent="0.25">
      <c r="B190" s="229" t="s">
        <v>412</v>
      </c>
      <c r="C190" s="307">
        <v>90</v>
      </c>
      <c r="D190" s="307">
        <v>95</v>
      </c>
      <c r="E190" s="307">
        <v>185</v>
      </c>
      <c r="F190" s="307">
        <v>55</v>
      </c>
      <c r="G190" s="307">
        <v>40</v>
      </c>
      <c r="H190" s="284">
        <v>95</v>
      </c>
      <c r="I190" s="307">
        <v>1</v>
      </c>
      <c r="J190" s="284">
        <v>1</v>
      </c>
      <c r="K190" s="307">
        <v>2</v>
      </c>
      <c r="L190" s="284">
        <v>4</v>
      </c>
      <c r="M190" s="307">
        <v>3</v>
      </c>
      <c r="N190" s="284">
        <v>7</v>
      </c>
      <c r="O190" s="284">
        <v>0</v>
      </c>
      <c r="P190" s="284">
        <v>0</v>
      </c>
      <c r="Q190" s="284">
        <v>0</v>
      </c>
      <c r="R190" s="285">
        <v>150</v>
      </c>
      <c r="S190" s="285">
        <v>139</v>
      </c>
      <c r="T190" s="285">
        <v>289</v>
      </c>
    </row>
    <row r="191" spans="2:20" x14ac:dyDescent="0.25">
      <c r="B191" s="229" t="s">
        <v>413</v>
      </c>
      <c r="C191" s="307">
        <v>36</v>
      </c>
      <c r="D191" s="307">
        <v>35</v>
      </c>
      <c r="E191" s="307">
        <v>71</v>
      </c>
      <c r="F191" s="307">
        <v>24</v>
      </c>
      <c r="G191" s="307">
        <v>17</v>
      </c>
      <c r="H191" s="284">
        <v>41</v>
      </c>
      <c r="I191" s="307">
        <v>1</v>
      </c>
      <c r="J191" s="284">
        <v>0</v>
      </c>
      <c r="K191" s="307">
        <v>1</v>
      </c>
      <c r="L191" s="284">
        <v>2</v>
      </c>
      <c r="M191" s="307">
        <v>3</v>
      </c>
      <c r="N191" s="284">
        <v>5</v>
      </c>
      <c r="O191" s="284">
        <v>0</v>
      </c>
      <c r="P191" s="284">
        <v>0</v>
      </c>
      <c r="Q191" s="284">
        <v>0</v>
      </c>
      <c r="R191" s="285">
        <v>63</v>
      </c>
      <c r="S191" s="285">
        <v>55</v>
      </c>
      <c r="T191" s="285">
        <v>118</v>
      </c>
    </row>
    <row r="192" spans="2:20" x14ac:dyDescent="0.25">
      <c r="B192" s="229" t="s">
        <v>414</v>
      </c>
      <c r="C192" s="307">
        <v>49</v>
      </c>
      <c r="D192" s="307">
        <v>35</v>
      </c>
      <c r="E192" s="307">
        <v>84</v>
      </c>
      <c r="F192" s="307">
        <v>32</v>
      </c>
      <c r="G192" s="307">
        <v>29</v>
      </c>
      <c r="H192" s="284">
        <v>61</v>
      </c>
      <c r="I192" s="307">
        <v>0</v>
      </c>
      <c r="J192" s="284">
        <v>0</v>
      </c>
      <c r="K192" s="307">
        <v>0</v>
      </c>
      <c r="L192" s="284">
        <v>1</v>
      </c>
      <c r="M192" s="307">
        <v>6</v>
      </c>
      <c r="N192" s="284">
        <v>7</v>
      </c>
      <c r="O192" s="284">
        <v>0</v>
      </c>
      <c r="P192" s="284">
        <v>0</v>
      </c>
      <c r="Q192" s="284">
        <v>0</v>
      </c>
      <c r="R192" s="285">
        <v>82</v>
      </c>
      <c r="S192" s="285">
        <v>70</v>
      </c>
      <c r="T192" s="285">
        <v>152</v>
      </c>
    </row>
    <row r="193" spans="2:20" x14ac:dyDescent="0.25">
      <c r="B193" s="229" t="s">
        <v>415</v>
      </c>
      <c r="C193" s="307">
        <v>63</v>
      </c>
      <c r="D193" s="307">
        <v>83</v>
      </c>
      <c r="E193" s="307">
        <v>146</v>
      </c>
      <c r="F193" s="307">
        <v>66</v>
      </c>
      <c r="G193" s="307">
        <v>33</v>
      </c>
      <c r="H193" s="284">
        <v>99</v>
      </c>
      <c r="I193" s="307">
        <v>1</v>
      </c>
      <c r="J193" s="284">
        <v>4</v>
      </c>
      <c r="K193" s="307">
        <v>5</v>
      </c>
      <c r="L193" s="284">
        <v>2</v>
      </c>
      <c r="M193" s="307">
        <v>4</v>
      </c>
      <c r="N193" s="284">
        <v>6</v>
      </c>
      <c r="O193" s="284">
        <v>0</v>
      </c>
      <c r="P193" s="284">
        <v>1</v>
      </c>
      <c r="Q193" s="284">
        <v>1</v>
      </c>
      <c r="R193" s="285">
        <v>132</v>
      </c>
      <c r="S193" s="285">
        <v>125</v>
      </c>
      <c r="T193" s="285">
        <v>257</v>
      </c>
    </row>
    <row r="194" spans="2:20" x14ac:dyDescent="0.25">
      <c r="B194" s="229" t="s">
        <v>497</v>
      </c>
      <c r="C194" s="307">
        <v>45</v>
      </c>
      <c r="D194" s="307">
        <v>46</v>
      </c>
      <c r="E194" s="307">
        <v>91</v>
      </c>
      <c r="F194" s="307">
        <v>43</v>
      </c>
      <c r="G194" s="307">
        <v>28</v>
      </c>
      <c r="H194" s="284">
        <v>71</v>
      </c>
      <c r="I194" s="307">
        <v>2</v>
      </c>
      <c r="J194" s="284">
        <v>0</v>
      </c>
      <c r="K194" s="307">
        <v>2</v>
      </c>
      <c r="L194" s="284">
        <v>5</v>
      </c>
      <c r="M194" s="307">
        <v>5</v>
      </c>
      <c r="N194" s="284">
        <v>10</v>
      </c>
      <c r="O194" s="284">
        <v>0</v>
      </c>
      <c r="P194" s="284">
        <v>1</v>
      </c>
      <c r="Q194" s="284">
        <v>1</v>
      </c>
      <c r="R194" s="285">
        <v>95</v>
      </c>
      <c r="S194" s="285">
        <v>80</v>
      </c>
      <c r="T194" s="285">
        <v>175</v>
      </c>
    </row>
    <row r="195" spans="2:20" x14ac:dyDescent="0.25">
      <c r="B195" s="229" t="s">
        <v>860</v>
      </c>
      <c r="C195" s="307">
        <v>100</v>
      </c>
      <c r="D195" s="307">
        <v>94</v>
      </c>
      <c r="E195" s="307">
        <v>194</v>
      </c>
      <c r="F195" s="307">
        <v>128</v>
      </c>
      <c r="G195" s="307">
        <v>61</v>
      </c>
      <c r="H195" s="284">
        <v>189</v>
      </c>
      <c r="I195" s="307">
        <v>4</v>
      </c>
      <c r="J195" s="284">
        <v>4</v>
      </c>
      <c r="K195" s="307">
        <v>8</v>
      </c>
      <c r="L195" s="284">
        <v>13</v>
      </c>
      <c r="M195" s="307">
        <v>10</v>
      </c>
      <c r="N195" s="284">
        <v>23</v>
      </c>
      <c r="O195" s="284">
        <v>0</v>
      </c>
      <c r="P195" s="284">
        <v>1</v>
      </c>
      <c r="Q195" s="284">
        <v>1</v>
      </c>
      <c r="R195" s="285">
        <v>245</v>
      </c>
      <c r="S195" s="285">
        <v>170</v>
      </c>
      <c r="T195" s="285">
        <v>415</v>
      </c>
    </row>
    <row r="196" spans="2:20" x14ac:dyDescent="0.25">
      <c r="B196" s="229" t="s">
        <v>416</v>
      </c>
      <c r="C196" s="307">
        <v>19</v>
      </c>
      <c r="D196" s="307">
        <v>21</v>
      </c>
      <c r="E196" s="307">
        <v>40</v>
      </c>
      <c r="F196" s="307">
        <v>20</v>
      </c>
      <c r="G196" s="307">
        <v>7</v>
      </c>
      <c r="H196" s="284">
        <v>27</v>
      </c>
      <c r="I196" s="307">
        <v>1</v>
      </c>
      <c r="J196" s="284">
        <v>1</v>
      </c>
      <c r="K196" s="307">
        <v>2</v>
      </c>
      <c r="L196" s="284">
        <v>0</v>
      </c>
      <c r="M196" s="307">
        <v>1</v>
      </c>
      <c r="N196" s="284">
        <v>1</v>
      </c>
      <c r="O196" s="284">
        <v>0</v>
      </c>
      <c r="P196" s="284">
        <v>0</v>
      </c>
      <c r="Q196" s="284">
        <v>0</v>
      </c>
      <c r="R196" s="285">
        <v>40</v>
      </c>
      <c r="S196" s="285">
        <v>30</v>
      </c>
      <c r="T196" s="285">
        <v>70</v>
      </c>
    </row>
    <row r="197" spans="2:20" x14ac:dyDescent="0.25">
      <c r="B197" s="229" t="s">
        <v>417</v>
      </c>
      <c r="C197" s="307">
        <v>28</v>
      </c>
      <c r="D197" s="307">
        <v>26</v>
      </c>
      <c r="E197" s="307">
        <v>54</v>
      </c>
      <c r="F197" s="307">
        <v>98</v>
      </c>
      <c r="G197" s="307">
        <v>48</v>
      </c>
      <c r="H197" s="284">
        <v>146</v>
      </c>
      <c r="I197" s="307">
        <v>2</v>
      </c>
      <c r="J197" s="284">
        <v>0</v>
      </c>
      <c r="K197" s="307">
        <v>2</v>
      </c>
      <c r="L197" s="284">
        <v>2</v>
      </c>
      <c r="M197" s="307">
        <v>4</v>
      </c>
      <c r="N197" s="284">
        <v>6</v>
      </c>
      <c r="O197" s="284">
        <v>0</v>
      </c>
      <c r="P197" s="284">
        <v>0</v>
      </c>
      <c r="Q197" s="284">
        <v>0</v>
      </c>
      <c r="R197" s="285">
        <v>130</v>
      </c>
      <c r="S197" s="285">
        <v>78</v>
      </c>
      <c r="T197" s="285">
        <v>208</v>
      </c>
    </row>
    <row r="198" spans="2:20" x14ac:dyDescent="0.25">
      <c r="B198" s="229" t="s">
        <v>418</v>
      </c>
      <c r="C198" s="307">
        <v>119</v>
      </c>
      <c r="D198" s="307">
        <v>137</v>
      </c>
      <c r="E198" s="307">
        <v>256</v>
      </c>
      <c r="F198" s="307">
        <v>122</v>
      </c>
      <c r="G198" s="307">
        <v>52</v>
      </c>
      <c r="H198" s="284">
        <v>174</v>
      </c>
      <c r="I198" s="307">
        <v>2</v>
      </c>
      <c r="J198" s="284">
        <v>8</v>
      </c>
      <c r="K198" s="307">
        <v>10</v>
      </c>
      <c r="L198" s="284">
        <v>10</v>
      </c>
      <c r="M198" s="307">
        <v>19</v>
      </c>
      <c r="N198" s="284">
        <v>29</v>
      </c>
      <c r="O198" s="284">
        <v>0</v>
      </c>
      <c r="P198" s="284">
        <v>1</v>
      </c>
      <c r="Q198" s="284">
        <v>1</v>
      </c>
      <c r="R198" s="285">
        <v>253</v>
      </c>
      <c r="S198" s="285">
        <v>217</v>
      </c>
      <c r="T198" s="285">
        <v>470</v>
      </c>
    </row>
    <row r="199" spans="2:20" x14ac:dyDescent="0.25">
      <c r="B199" s="229" t="s">
        <v>419</v>
      </c>
      <c r="C199" s="307">
        <v>288</v>
      </c>
      <c r="D199" s="307">
        <v>355</v>
      </c>
      <c r="E199" s="307">
        <v>643</v>
      </c>
      <c r="F199" s="307">
        <v>335</v>
      </c>
      <c r="G199" s="307">
        <v>164</v>
      </c>
      <c r="H199" s="284">
        <v>499</v>
      </c>
      <c r="I199" s="307">
        <v>9</v>
      </c>
      <c r="J199" s="284">
        <v>1</v>
      </c>
      <c r="K199" s="307">
        <v>10</v>
      </c>
      <c r="L199" s="284">
        <v>16</v>
      </c>
      <c r="M199" s="307">
        <v>26</v>
      </c>
      <c r="N199" s="284">
        <v>42</v>
      </c>
      <c r="O199" s="284">
        <v>0</v>
      </c>
      <c r="P199" s="284">
        <v>0</v>
      </c>
      <c r="Q199" s="284">
        <v>0</v>
      </c>
      <c r="R199" s="285">
        <v>648</v>
      </c>
      <c r="S199" s="285">
        <v>546</v>
      </c>
      <c r="T199" s="285">
        <v>1194</v>
      </c>
    </row>
    <row r="200" spans="2:20" x14ac:dyDescent="0.25">
      <c r="B200" s="229" t="s">
        <v>420</v>
      </c>
      <c r="C200" s="307">
        <v>91</v>
      </c>
      <c r="D200" s="307">
        <v>117</v>
      </c>
      <c r="E200" s="307">
        <v>208</v>
      </c>
      <c r="F200" s="307">
        <v>93</v>
      </c>
      <c r="G200" s="307">
        <v>36</v>
      </c>
      <c r="H200" s="284">
        <v>129</v>
      </c>
      <c r="I200" s="307">
        <v>3</v>
      </c>
      <c r="J200" s="284">
        <v>0</v>
      </c>
      <c r="K200" s="307">
        <v>3</v>
      </c>
      <c r="L200" s="284">
        <v>9</v>
      </c>
      <c r="M200" s="307">
        <v>12</v>
      </c>
      <c r="N200" s="284">
        <v>21</v>
      </c>
      <c r="O200" s="284">
        <v>0</v>
      </c>
      <c r="P200" s="284">
        <v>0</v>
      </c>
      <c r="Q200" s="284">
        <v>0</v>
      </c>
      <c r="R200" s="285">
        <v>196</v>
      </c>
      <c r="S200" s="285">
        <v>165</v>
      </c>
      <c r="T200" s="285">
        <v>361</v>
      </c>
    </row>
    <row r="201" spans="2:20" x14ac:dyDescent="0.25">
      <c r="B201" s="229" t="s">
        <v>421</v>
      </c>
      <c r="C201" s="307">
        <v>62</v>
      </c>
      <c r="D201" s="307">
        <v>62</v>
      </c>
      <c r="E201" s="307">
        <v>124</v>
      </c>
      <c r="F201" s="307">
        <v>52</v>
      </c>
      <c r="G201" s="307">
        <v>19</v>
      </c>
      <c r="H201" s="284">
        <v>71</v>
      </c>
      <c r="I201" s="307">
        <v>1</v>
      </c>
      <c r="J201" s="284">
        <v>4</v>
      </c>
      <c r="K201" s="307">
        <v>5</v>
      </c>
      <c r="L201" s="284">
        <v>7</v>
      </c>
      <c r="M201" s="307">
        <v>7</v>
      </c>
      <c r="N201" s="284">
        <v>14</v>
      </c>
      <c r="O201" s="284">
        <v>0</v>
      </c>
      <c r="P201" s="284">
        <v>0</v>
      </c>
      <c r="Q201" s="284">
        <v>0</v>
      </c>
      <c r="R201" s="285">
        <v>122</v>
      </c>
      <c r="S201" s="285">
        <v>92</v>
      </c>
      <c r="T201" s="285">
        <v>214</v>
      </c>
    </row>
    <row r="202" spans="2:20" x14ac:dyDescent="0.25">
      <c r="B202" s="229" t="s">
        <v>422</v>
      </c>
      <c r="C202" s="307">
        <v>72</v>
      </c>
      <c r="D202" s="307">
        <v>79</v>
      </c>
      <c r="E202" s="307">
        <v>151</v>
      </c>
      <c r="F202" s="307">
        <v>69</v>
      </c>
      <c r="G202" s="307">
        <v>41</v>
      </c>
      <c r="H202" s="284">
        <v>110</v>
      </c>
      <c r="I202" s="307">
        <v>0</v>
      </c>
      <c r="J202" s="284">
        <v>3</v>
      </c>
      <c r="K202" s="307">
        <v>3</v>
      </c>
      <c r="L202" s="284">
        <v>8</v>
      </c>
      <c r="M202" s="307">
        <v>8</v>
      </c>
      <c r="N202" s="284">
        <v>16</v>
      </c>
      <c r="O202" s="284">
        <v>0</v>
      </c>
      <c r="P202" s="284">
        <v>0</v>
      </c>
      <c r="Q202" s="284">
        <v>0</v>
      </c>
      <c r="R202" s="285">
        <v>149</v>
      </c>
      <c r="S202" s="285">
        <v>131</v>
      </c>
      <c r="T202" s="285">
        <v>280</v>
      </c>
    </row>
    <row r="203" spans="2:20" x14ac:dyDescent="0.25">
      <c r="B203" s="229" t="s">
        <v>423</v>
      </c>
      <c r="C203" s="307">
        <v>73</v>
      </c>
      <c r="D203" s="307">
        <v>69</v>
      </c>
      <c r="E203" s="307">
        <v>142</v>
      </c>
      <c r="F203" s="307">
        <v>67</v>
      </c>
      <c r="G203" s="307">
        <v>39</v>
      </c>
      <c r="H203" s="284">
        <v>106</v>
      </c>
      <c r="I203" s="307">
        <v>1</v>
      </c>
      <c r="J203" s="284">
        <v>2</v>
      </c>
      <c r="K203" s="307">
        <v>3</v>
      </c>
      <c r="L203" s="284">
        <v>10</v>
      </c>
      <c r="M203" s="307">
        <v>10</v>
      </c>
      <c r="N203" s="284">
        <v>20</v>
      </c>
      <c r="O203" s="284">
        <v>0</v>
      </c>
      <c r="P203" s="284">
        <v>0</v>
      </c>
      <c r="Q203" s="284">
        <v>0</v>
      </c>
      <c r="R203" s="285">
        <v>151</v>
      </c>
      <c r="S203" s="285">
        <v>120</v>
      </c>
      <c r="T203" s="285">
        <v>271</v>
      </c>
    </row>
    <row r="204" spans="2:20" x14ac:dyDescent="0.25">
      <c r="B204" s="229" t="s">
        <v>424</v>
      </c>
      <c r="C204" s="307">
        <v>160</v>
      </c>
      <c r="D204" s="307">
        <v>137</v>
      </c>
      <c r="E204" s="307">
        <v>297</v>
      </c>
      <c r="F204" s="307">
        <v>119</v>
      </c>
      <c r="G204" s="307">
        <v>57</v>
      </c>
      <c r="H204" s="284">
        <v>176</v>
      </c>
      <c r="I204" s="307">
        <v>4</v>
      </c>
      <c r="J204" s="284">
        <v>3</v>
      </c>
      <c r="K204" s="307">
        <v>7</v>
      </c>
      <c r="L204" s="284">
        <v>9</v>
      </c>
      <c r="M204" s="307">
        <v>18</v>
      </c>
      <c r="N204" s="284">
        <v>27</v>
      </c>
      <c r="O204" s="284">
        <v>0</v>
      </c>
      <c r="P204" s="284">
        <v>1</v>
      </c>
      <c r="Q204" s="284">
        <v>1</v>
      </c>
      <c r="R204" s="285">
        <v>292</v>
      </c>
      <c r="S204" s="285">
        <v>216</v>
      </c>
      <c r="T204" s="285">
        <v>508</v>
      </c>
    </row>
    <row r="205" spans="2:20" x14ac:dyDescent="0.25">
      <c r="B205" s="229" t="s">
        <v>425</v>
      </c>
      <c r="C205" s="307">
        <v>43</v>
      </c>
      <c r="D205" s="307">
        <v>64</v>
      </c>
      <c r="E205" s="307">
        <v>107</v>
      </c>
      <c r="F205" s="307">
        <v>58</v>
      </c>
      <c r="G205" s="307">
        <v>26</v>
      </c>
      <c r="H205" s="284">
        <v>84</v>
      </c>
      <c r="I205" s="307">
        <v>0</v>
      </c>
      <c r="J205" s="284">
        <v>1</v>
      </c>
      <c r="K205" s="307">
        <v>1</v>
      </c>
      <c r="L205" s="284">
        <v>4</v>
      </c>
      <c r="M205" s="307">
        <v>4</v>
      </c>
      <c r="N205" s="284">
        <v>8</v>
      </c>
      <c r="O205" s="284">
        <v>0</v>
      </c>
      <c r="P205" s="284">
        <v>0</v>
      </c>
      <c r="Q205" s="284">
        <v>0</v>
      </c>
      <c r="R205" s="285">
        <v>105</v>
      </c>
      <c r="S205" s="285">
        <v>95</v>
      </c>
      <c r="T205" s="285">
        <v>200</v>
      </c>
    </row>
    <row r="206" spans="2:20" x14ac:dyDescent="0.25">
      <c r="B206" s="229" t="s">
        <v>426</v>
      </c>
      <c r="C206" s="307">
        <v>12</v>
      </c>
      <c r="D206" s="307">
        <v>11</v>
      </c>
      <c r="E206" s="307">
        <v>23</v>
      </c>
      <c r="F206" s="307">
        <v>9</v>
      </c>
      <c r="G206" s="307">
        <v>6</v>
      </c>
      <c r="H206" s="284">
        <v>15</v>
      </c>
      <c r="I206" s="307">
        <v>1</v>
      </c>
      <c r="J206" s="284">
        <v>0</v>
      </c>
      <c r="K206" s="307">
        <v>1</v>
      </c>
      <c r="L206" s="284">
        <v>1</v>
      </c>
      <c r="M206" s="307">
        <v>0</v>
      </c>
      <c r="N206" s="284">
        <v>1</v>
      </c>
      <c r="O206" s="284">
        <v>0</v>
      </c>
      <c r="P206" s="284">
        <v>0</v>
      </c>
      <c r="Q206" s="284">
        <v>0</v>
      </c>
      <c r="R206" s="285">
        <v>23</v>
      </c>
      <c r="S206" s="285">
        <v>17</v>
      </c>
      <c r="T206" s="285">
        <v>40</v>
      </c>
    </row>
    <row r="207" spans="2:20" x14ac:dyDescent="0.25">
      <c r="B207" s="229" t="s">
        <v>427</v>
      </c>
      <c r="C207" s="307">
        <v>49</v>
      </c>
      <c r="D207" s="307">
        <v>43</v>
      </c>
      <c r="E207" s="307">
        <v>92</v>
      </c>
      <c r="F207" s="307">
        <v>66</v>
      </c>
      <c r="G207" s="307">
        <v>29</v>
      </c>
      <c r="H207" s="284">
        <v>95</v>
      </c>
      <c r="I207" s="307">
        <v>2</v>
      </c>
      <c r="J207" s="284">
        <v>0</v>
      </c>
      <c r="K207" s="307">
        <v>2</v>
      </c>
      <c r="L207" s="284">
        <v>1</v>
      </c>
      <c r="M207" s="307">
        <v>2</v>
      </c>
      <c r="N207" s="284">
        <v>3</v>
      </c>
      <c r="O207" s="284">
        <v>0</v>
      </c>
      <c r="P207" s="284">
        <v>0</v>
      </c>
      <c r="Q207" s="284">
        <v>0</v>
      </c>
      <c r="R207" s="285">
        <v>118</v>
      </c>
      <c r="S207" s="285">
        <v>74</v>
      </c>
      <c r="T207" s="285">
        <v>192</v>
      </c>
    </row>
    <row r="208" spans="2:20" x14ac:dyDescent="0.25">
      <c r="B208" s="229" t="s">
        <v>428</v>
      </c>
      <c r="C208" s="307">
        <v>3</v>
      </c>
      <c r="D208" s="307">
        <v>10</v>
      </c>
      <c r="E208" s="307">
        <v>13</v>
      </c>
      <c r="F208" s="307">
        <v>2</v>
      </c>
      <c r="G208" s="307">
        <v>4</v>
      </c>
      <c r="H208" s="284">
        <v>6</v>
      </c>
      <c r="I208" s="307">
        <v>0</v>
      </c>
      <c r="J208" s="284">
        <v>0</v>
      </c>
      <c r="K208" s="307">
        <v>0</v>
      </c>
      <c r="L208" s="284">
        <v>0</v>
      </c>
      <c r="M208" s="307">
        <v>1</v>
      </c>
      <c r="N208" s="284">
        <v>1</v>
      </c>
      <c r="O208" s="284">
        <v>0</v>
      </c>
      <c r="P208" s="284">
        <v>0</v>
      </c>
      <c r="Q208" s="284">
        <v>0</v>
      </c>
      <c r="R208" s="285">
        <v>5</v>
      </c>
      <c r="S208" s="285">
        <v>15</v>
      </c>
      <c r="T208" s="285">
        <v>20</v>
      </c>
    </row>
    <row r="209" spans="2:20" x14ac:dyDescent="0.25">
      <c r="B209" s="229" t="s">
        <v>429</v>
      </c>
      <c r="C209" s="307">
        <v>32</v>
      </c>
      <c r="D209" s="307">
        <v>51</v>
      </c>
      <c r="E209" s="307">
        <v>83</v>
      </c>
      <c r="F209" s="307">
        <v>34</v>
      </c>
      <c r="G209" s="307">
        <v>20</v>
      </c>
      <c r="H209" s="284">
        <v>54</v>
      </c>
      <c r="I209" s="307">
        <v>1</v>
      </c>
      <c r="J209" s="284">
        <v>1</v>
      </c>
      <c r="K209" s="307">
        <v>2</v>
      </c>
      <c r="L209" s="284">
        <v>3</v>
      </c>
      <c r="M209" s="307">
        <v>7</v>
      </c>
      <c r="N209" s="284">
        <v>10</v>
      </c>
      <c r="O209" s="284">
        <v>0</v>
      </c>
      <c r="P209" s="284">
        <v>0</v>
      </c>
      <c r="Q209" s="284">
        <v>0</v>
      </c>
      <c r="R209" s="285">
        <v>70</v>
      </c>
      <c r="S209" s="285">
        <v>79</v>
      </c>
      <c r="T209" s="285">
        <v>149</v>
      </c>
    </row>
    <row r="210" spans="2:20" x14ac:dyDescent="0.25">
      <c r="B210" s="229" t="s">
        <v>430</v>
      </c>
      <c r="C210" s="307">
        <v>139</v>
      </c>
      <c r="D210" s="307">
        <v>128</v>
      </c>
      <c r="E210" s="307">
        <v>267</v>
      </c>
      <c r="F210" s="307">
        <v>165</v>
      </c>
      <c r="G210" s="307">
        <v>83</v>
      </c>
      <c r="H210" s="284">
        <v>248</v>
      </c>
      <c r="I210" s="307">
        <v>6</v>
      </c>
      <c r="J210" s="284">
        <v>1</v>
      </c>
      <c r="K210" s="307">
        <v>7</v>
      </c>
      <c r="L210" s="284">
        <v>6</v>
      </c>
      <c r="M210" s="307">
        <v>12</v>
      </c>
      <c r="N210" s="284">
        <v>18</v>
      </c>
      <c r="O210" s="284">
        <v>0</v>
      </c>
      <c r="P210" s="284">
        <v>0</v>
      </c>
      <c r="Q210" s="284">
        <v>0</v>
      </c>
      <c r="R210" s="285">
        <v>316</v>
      </c>
      <c r="S210" s="285">
        <v>224</v>
      </c>
      <c r="T210" s="285">
        <v>540</v>
      </c>
    </row>
    <row r="211" spans="2:20" x14ac:dyDescent="0.25">
      <c r="B211" s="229" t="s">
        <v>431</v>
      </c>
      <c r="C211" s="307">
        <v>34</v>
      </c>
      <c r="D211" s="307">
        <v>45</v>
      </c>
      <c r="E211" s="307">
        <v>79</v>
      </c>
      <c r="F211" s="307">
        <v>42</v>
      </c>
      <c r="G211" s="307">
        <v>19</v>
      </c>
      <c r="H211" s="284">
        <v>61</v>
      </c>
      <c r="I211" s="307">
        <v>0</v>
      </c>
      <c r="J211" s="284">
        <v>1</v>
      </c>
      <c r="K211" s="307">
        <v>1</v>
      </c>
      <c r="L211" s="284">
        <v>1</v>
      </c>
      <c r="M211" s="307">
        <v>10</v>
      </c>
      <c r="N211" s="284">
        <v>11</v>
      </c>
      <c r="O211" s="284">
        <v>0</v>
      </c>
      <c r="P211" s="284">
        <v>0</v>
      </c>
      <c r="Q211" s="284">
        <v>0</v>
      </c>
      <c r="R211" s="285">
        <v>77</v>
      </c>
      <c r="S211" s="285">
        <v>75</v>
      </c>
      <c r="T211" s="285">
        <v>152</v>
      </c>
    </row>
    <row r="212" spans="2:20" x14ac:dyDescent="0.25">
      <c r="B212" s="229" t="s">
        <v>432</v>
      </c>
      <c r="C212" s="307">
        <v>14</v>
      </c>
      <c r="D212" s="307">
        <v>12</v>
      </c>
      <c r="E212" s="307">
        <v>26</v>
      </c>
      <c r="F212" s="307">
        <v>7</v>
      </c>
      <c r="G212" s="307">
        <v>8</v>
      </c>
      <c r="H212" s="284">
        <v>15</v>
      </c>
      <c r="I212" s="307">
        <v>0</v>
      </c>
      <c r="J212" s="284">
        <v>1</v>
      </c>
      <c r="K212" s="307">
        <v>1</v>
      </c>
      <c r="L212" s="284">
        <v>0</v>
      </c>
      <c r="M212" s="307">
        <v>4</v>
      </c>
      <c r="N212" s="284">
        <v>4</v>
      </c>
      <c r="O212" s="284">
        <v>0</v>
      </c>
      <c r="P212" s="284">
        <v>0</v>
      </c>
      <c r="Q212" s="284">
        <v>0</v>
      </c>
      <c r="R212" s="285">
        <v>21</v>
      </c>
      <c r="S212" s="285">
        <v>25</v>
      </c>
      <c r="T212" s="285">
        <v>46</v>
      </c>
    </row>
    <row r="213" spans="2:20" x14ac:dyDescent="0.25">
      <c r="B213" s="229" t="s">
        <v>433</v>
      </c>
      <c r="C213" s="307">
        <v>16</v>
      </c>
      <c r="D213" s="307">
        <v>9</v>
      </c>
      <c r="E213" s="307">
        <v>25</v>
      </c>
      <c r="F213" s="307">
        <v>52</v>
      </c>
      <c r="G213" s="307">
        <v>24</v>
      </c>
      <c r="H213" s="284">
        <v>76</v>
      </c>
      <c r="I213" s="307">
        <v>1</v>
      </c>
      <c r="J213" s="284">
        <v>0</v>
      </c>
      <c r="K213" s="307">
        <v>1</v>
      </c>
      <c r="L213" s="284">
        <v>1</v>
      </c>
      <c r="M213" s="307">
        <v>0</v>
      </c>
      <c r="N213" s="284">
        <v>1</v>
      </c>
      <c r="O213" s="284">
        <v>0</v>
      </c>
      <c r="P213" s="284">
        <v>0</v>
      </c>
      <c r="Q213" s="284">
        <v>0</v>
      </c>
      <c r="R213" s="285">
        <v>70</v>
      </c>
      <c r="S213" s="285">
        <v>33</v>
      </c>
      <c r="T213" s="285">
        <v>103</v>
      </c>
    </row>
    <row r="214" spans="2:20" x14ac:dyDescent="0.25">
      <c r="B214" s="229" t="s">
        <v>499</v>
      </c>
      <c r="C214" s="307">
        <v>64</v>
      </c>
      <c r="D214" s="307">
        <v>56</v>
      </c>
      <c r="E214" s="307">
        <v>120</v>
      </c>
      <c r="F214" s="307">
        <v>158</v>
      </c>
      <c r="G214" s="307">
        <v>68</v>
      </c>
      <c r="H214" s="284">
        <v>226</v>
      </c>
      <c r="I214" s="307">
        <v>0</v>
      </c>
      <c r="J214" s="284">
        <v>1</v>
      </c>
      <c r="K214" s="307">
        <v>1</v>
      </c>
      <c r="L214" s="284">
        <v>4</v>
      </c>
      <c r="M214" s="307">
        <v>3</v>
      </c>
      <c r="N214" s="284">
        <v>7</v>
      </c>
      <c r="O214" s="284">
        <v>0</v>
      </c>
      <c r="P214" s="284">
        <v>0</v>
      </c>
      <c r="Q214" s="284">
        <v>0</v>
      </c>
      <c r="R214" s="285">
        <v>226</v>
      </c>
      <c r="S214" s="285">
        <v>128</v>
      </c>
      <c r="T214" s="285">
        <v>354</v>
      </c>
    </row>
    <row r="215" spans="2:20" x14ac:dyDescent="0.25">
      <c r="B215" s="260" t="s">
        <v>25</v>
      </c>
      <c r="C215" s="282">
        <v>3282</v>
      </c>
      <c r="D215" s="282">
        <v>3511</v>
      </c>
      <c r="E215" s="282">
        <v>6793</v>
      </c>
      <c r="F215" s="282">
        <v>3726</v>
      </c>
      <c r="G215" s="282">
        <v>1897</v>
      </c>
      <c r="H215" s="285">
        <v>5623</v>
      </c>
      <c r="I215" s="282">
        <v>86</v>
      </c>
      <c r="J215" s="285">
        <v>79</v>
      </c>
      <c r="K215" s="282">
        <v>165</v>
      </c>
      <c r="L215" s="285">
        <v>237</v>
      </c>
      <c r="M215" s="282">
        <v>331</v>
      </c>
      <c r="N215" s="285">
        <v>568</v>
      </c>
      <c r="O215" s="285">
        <v>2</v>
      </c>
      <c r="P215" s="285">
        <v>7</v>
      </c>
      <c r="Q215" s="285">
        <v>9</v>
      </c>
      <c r="R215" s="285">
        <v>7333</v>
      </c>
      <c r="S215" s="285">
        <v>5825</v>
      </c>
      <c r="T215" s="285">
        <v>13158</v>
      </c>
    </row>
    <row r="216" spans="2:20" ht="84.75" customHeight="1" x14ac:dyDescent="0.25">
      <c r="B216" s="454" t="s">
        <v>866</v>
      </c>
      <c r="C216" s="454"/>
      <c r="D216" s="454"/>
      <c r="E216" s="454"/>
      <c r="F216" s="454"/>
      <c r="G216" s="454"/>
      <c r="H216" s="454"/>
      <c r="I216" s="454"/>
      <c r="J216" s="454"/>
      <c r="K216" s="454"/>
      <c r="L216" s="454"/>
      <c r="M216" s="454"/>
      <c r="N216" s="454"/>
      <c r="O216" s="454"/>
      <c r="P216" s="454"/>
      <c r="Q216" s="454"/>
    </row>
    <row r="217" spans="2:20" x14ac:dyDescent="0.25">
      <c r="B217" s="157"/>
      <c r="C217" s="157"/>
      <c r="D217" s="157"/>
      <c r="E217" s="157"/>
      <c r="F217" s="157"/>
      <c r="G217"/>
    </row>
    <row r="218" spans="2:20" x14ac:dyDescent="0.25">
      <c r="B218" s="157"/>
      <c r="C218" s="157"/>
      <c r="D218" s="157"/>
      <c r="E218" s="157"/>
      <c r="F218" s="157"/>
      <c r="G218"/>
    </row>
    <row r="219" spans="2:20" x14ac:dyDescent="0.25">
      <c r="B219" s="186" t="s">
        <v>510</v>
      </c>
      <c r="C219"/>
      <c r="D219"/>
      <c r="E219"/>
      <c r="F219"/>
      <c r="G219"/>
    </row>
    <row r="220" spans="2:20" x14ac:dyDescent="0.25">
      <c r="B220" s="186"/>
      <c r="C220"/>
      <c r="D220"/>
      <c r="E220"/>
      <c r="F220"/>
      <c r="G220"/>
    </row>
    <row r="221" spans="2:20" ht="15" customHeight="1" x14ac:dyDescent="0.25">
      <c r="B221" s="426" t="s">
        <v>532</v>
      </c>
      <c r="C221" s="475" t="s">
        <v>477</v>
      </c>
      <c r="D221" s="475"/>
      <c r="E221" s="475"/>
      <c r="F221" s="475"/>
      <c r="G221" s="475"/>
      <c r="H221" s="475"/>
      <c r="I221" s="475"/>
      <c r="J221" s="475"/>
      <c r="K221" s="475"/>
      <c r="L221" s="475"/>
      <c r="M221" s="475"/>
      <c r="N221" s="475"/>
      <c r="O221" s="475"/>
      <c r="P221" s="475"/>
      <c r="Q221" s="475"/>
      <c r="R221" s="469" t="s">
        <v>877</v>
      </c>
      <c r="S221" s="470"/>
      <c r="T221" s="471"/>
    </row>
    <row r="222" spans="2:20" ht="15" customHeight="1" x14ac:dyDescent="0.25">
      <c r="B222" s="427"/>
      <c r="C222" s="463" t="s">
        <v>849</v>
      </c>
      <c r="D222" s="463"/>
      <c r="E222" s="463"/>
      <c r="F222" s="463" t="s">
        <v>850</v>
      </c>
      <c r="G222" s="463"/>
      <c r="H222" s="463"/>
      <c r="I222" s="463" t="s">
        <v>3</v>
      </c>
      <c r="J222" s="463"/>
      <c r="K222" s="463"/>
      <c r="L222" s="463" t="s">
        <v>5</v>
      </c>
      <c r="M222" s="463"/>
      <c r="N222" s="463"/>
      <c r="O222" s="463" t="s">
        <v>859</v>
      </c>
      <c r="P222" s="463"/>
      <c r="Q222" s="463"/>
      <c r="R222" s="472"/>
      <c r="S222" s="473"/>
      <c r="T222" s="474"/>
    </row>
    <row r="223" spans="2:20" x14ac:dyDescent="0.25">
      <c r="B223" s="428"/>
      <c r="C223" s="264" t="s">
        <v>73</v>
      </c>
      <c r="D223" s="264" t="s">
        <v>74</v>
      </c>
      <c r="E223" s="264" t="s">
        <v>25</v>
      </c>
      <c r="F223" s="264" t="s">
        <v>73</v>
      </c>
      <c r="G223" s="264" t="s">
        <v>74</v>
      </c>
      <c r="H223" s="264" t="s">
        <v>25</v>
      </c>
      <c r="I223" s="264" t="s">
        <v>73</v>
      </c>
      <c r="J223" s="264" t="s">
        <v>74</v>
      </c>
      <c r="K223" s="264" t="s">
        <v>25</v>
      </c>
      <c r="L223" s="264" t="s">
        <v>73</v>
      </c>
      <c r="M223" s="264" t="s">
        <v>74</v>
      </c>
      <c r="N223" s="264" t="s">
        <v>25</v>
      </c>
      <c r="O223" s="264" t="s">
        <v>73</v>
      </c>
      <c r="P223" s="264" t="s">
        <v>74</v>
      </c>
      <c r="Q223" s="264" t="s">
        <v>25</v>
      </c>
      <c r="R223" s="274" t="s">
        <v>73</v>
      </c>
      <c r="S223" s="274" t="s">
        <v>74</v>
      </c>
      <c r="T223" s="274" t="s">
        <v>25</v>
      </c>
    </row>
    <row r="224" spans="2:20" x14ac:dyDescent="0.25">
      <c r="B224" s="228" t="s">
        <v>207</v>
      </c>
      <c r="C224" s="307">
        <v>12</v>
      </c>
      <c r="D224" s="307">
        <v>8</v>
      </c>
      <c r="E224" s="307">
        <v>20</v>
      </c>
      <c r="F224" s="307">
        <v>5</v>
      </c>
      <c r="G224" s="307">
        <v>9</v>
      </c>
      <c r="H224" s="284">
        <v>14</v>
      </c>
      <c r="I224" s="307">
        <v>0</v>
      </c>
      <c r="J224" s="284">
        <v>0</v>
      </c>
      <c r="K224" s="307">
        <v>0</v>
      </c>
      <c r="L224" s="284">
        <v>0</v>
      </c>
      <c r="M224" s="307">
        <v>3</v>
      </c>
      <c r="N224" s="284">
        <v>3</v>
      </c>
      <c r="O224" s="284">
        <v>0</v>
      </c>
      <c r="P224" s="284">
        <v>0</v>
      </c>
      <c r="Q224" s="284">
        <v>0</v>
      </c>
      <c r="R224" s="285">
        <v>17</v>
      </c>
      <c r="S224" s="285">
        <v>20</v>
      </c>
      <c r="T224" s="285">
        <v>37</v>
      </c>
    </row>
    <row r="225" spans="2:20" x14ac:dyDescent="0.25">
      <c r="B225" s="229" t="s">
        <v>208</v>
      </c>
      <c r="C225" s="307">
        <v>25</v>
      </c>
      <c r="D225" s="307">
        <v>34</v>
      </c>
      <c r="E225" s="307">
        <v>59</v>
      </c>
      <c r="F225" s="307">
        <v>16</v>
      </c>
      <c r="G225" s="307">
        <v>22</v>
      </c>
      <c r="H225" s="284">
        <v>38</v>
      </c>
      <c r="I225" s="307">
        <v>0</v>
      </c>
      <c r="J225" s="284">
        <v>1</v>
      </c>
      <c r="K225" s="307">
        <v>1</v>
      </c>
      <c r="L225" s="284">
        <v>0</v>
      </c>
      <c r="M225" s="307">
        <v>1</v>
      </c>
      <c r="N225" s="284">
        <v>1</v>
      </c>
      <c r="O225" s="284">
        <v>0</v>
      </c>
      <c r="P225" s="284">
        <v>0</v>
      </c>
      <c r="Q225" s="284">
        <v>0</v>
      </c>
      <c r="R225" s="285">
        <v>41</v>
      </c>
      <c r="S225" s="285">
        <v>58</v>
      </c>
      <c r="T225" s="285">
        <v>99</v>
      </c>
    </row>
    <row r="226" spans="2:20" x14ac:dyDescent="0.25">
      <c r="B226" s="229" t="s">
        <v>209</v>
      </c>
      <c r="C226" s="307">
        <v>9</v>
      </c>
      <c r="D226" s="307">
        <v>10</v>
      </c>
      <c r="E226" s="307">
        <v>19</v>
      </c>
      <c r="F226" s="307">
        <v>7</v>
      </c>
      <c r="G226" s="307">
        <v>3</v>
      </c>
      <c r="H226" s="284">
        <v>10</v>
      </c>
      <c r="I226" s="307">
        <v>0</v>
      </c>
      <c r="J226" s="284">
        <v>0</v>
      </c>
      <c r="K226" s="307">
        <v>0</v>
      </c>
      <c r="L226" s="284">
        <v>2</v>
      </c>
      <c r="M226" s="307">
        <v>1</v>
      </c>
      <c r="N226" s="284">
        <v>3</v>
      </c>
      <c r="O226" s="284">
        <v>0</v>
      </c>
      <c r="P226" s="284">
        <v>0</v>
      </c>
      <c r="Q226" s="284">
        <v>0</v>
      </c>
      <c r="R226" s="285">
        <v>18</v>
      </c>
      <c r="S226" s="285">
        <v>14</v>
      </c>
      <c r="T226" s="285">
        <v>32</v>
      </c>
    </row>
    <row r="227" spans="2:20" x14ac:dyDescent="0.25">
      <c r="B227" s="229" t="s">
        <v>210</v>
      </c>
      <c r="C227" s="307">
        <v>4</v>
      </c>
      <c r="D227" s="307">
        <v>2</v>
      </c>
      <c r="E227" s="307">
        <v>6</v>
      </c>
      <c r="F227" s="307">
        <v>6</v>
      </c>
      <c r="G227" s="307">
        <v>3</v>
      </c>
      <c r="H227" s="284">
        <v>9</v>
      </c>
      <c r="I227" s="307">
        <v>0</v>
      </c>
      <c r="J227" s="284">
        <v>0</v>
      </c>
      <c r="K227" s="307">
        <v>0</v>
      </c>
      <c r="L227" s="284">
        <v>0</v>
      </c>
      <c r="M227" s="307">
        <v>2</v>
      </c>
      <c r="N227" s="284">
        <v>2</v>
      </c>
      <c r="O227" s="284">
        <v>0</v>
      </c>
      <c r="P227" s="284">
        <v>0</v>
      </c>
      <c r="Q227" s="284">
        <v>0</v>
      </c>
      <c r="R227" s="285">
        <v>10</v>
      </c>
      <c r="S227" s="285">
        <v>7</v>
      </c>
      <c r="T227" s="285">
        <v>17</v>
      </c>
    </row>
    <row r="228" spans="2:20" x14ac:dyDescent="0.25">
      <c r="B228" s="229" t="s">
        <v>211</v>
      </c>
      <c r="C228" s="307">
        <v>12</v>
      </c>
      <c r="D228" s="307">
        <v>13</v>
      </c>
      <c r="E228" s="307">
        <v>25</v>
      </c>
      <c r="F228" s="307">
        <v>9</v>
      </c>
      <c r="G228" s="307">
        <v>7</v>
      </c>
      <c r="H228" s="284">
        <v>16</v>
      </c>
      <c r="I228" s="307">
        <v>1</v>
      </c>
      <c r="J228" s="284">
        <v>0</v>
      </c>
      <c r="K228" s="307">
        <v>1</v>
      </c>
      <c r="L228" s="284">
        <v>1</v>
      </c>
      <c r="M228" s="307">
        <v>3</v>
      </c>
      <c r="N228" s="284">
        <v>4</v>
      </c>
      <c r="O228" s="284">
        <v>0</v>
      </c>
      <c r="P228" s="284">
        <v>0</v>
      </c>
      <c r="Q228" s="284">
        <v>0</v>
      </c>
      <c r="R228" s="285">
        <v>23</v>
      </c>
      <c r="S228" s="285">
        <v>23</v>
      </c>
      <c r="T228" s="285">
        <v>46</v>
      </c>
    </row>
    <row r="229" spans="2:20" x14ac:dyDescent="0.25">
      <c r="B229" s="229" t="s">
        <v>493</v>
      </c>
      <c r="C229" s="307">
        <v>18</v>
      </c>
      <c r="D229" s="307">
        <v>10</v>
      </c>
      <c r="E229" s="307">
        <v>28</v>
      </c>
      <c r="F229" s="307">
        <v>10</v>
      </c>
      <c r="G229" s="307">
        <v>9</v>
      </c>
      <c r="H229" s="284">
        <v>19</v>
      </c>
      <c r="I229" s="307">
        <v>0</v>
      </c>
      <c r="J229" s="284">
        <v>0</v>
      </c>
      <c r="K229" s="307">
        <v>0</v>
      </c>
      <c r="L229" s="284">
        <v>3</v>
      </c>
      <c r="M229" s="307">
        <v>3</v>
      </c>
      <c r="N229" s="284">
        <v>6</v>
      </c>
      <c r="O229" s="284">
        <v>0</v>
      </c>
      <c r="P229" s="284">
        <v>0</v>
      </c>
      <c r="Q229" s="284">
        <v>0</v>
      </c>
      <c r="R229" s="285">
        <v>31</v>
      </c>
      <c r="S229" s="285">
        <v>22</v>
      </c>
      <c r="T229" s="285">
        <v>53</v>
      </c>
    </row>
    <row r="230" spans="2:20" x14ac:dyDescent="0.25">
      <c r="B230" s="229" t="s">
        <v>212</v>
      </c>
      <c r="C230" s="307">
        <v>25</v>
      </c>
      <c r="D230" s="307">
        <v>12</v>
      </c>
      <c r="E230" s="307">
        <v>37</v>
      </c>
      <c r="F230" s="307">
        <v>13</v>
      </c>
      <c r="G230" s="307">
        <v>15</v>
      </c>
      <c r="H230" s="284">
        <v>28</v>
      </c>
      <c r="I230" s="307">
        <v>0</v>
      </c>
      <c r="J230" s="284">
        <v>2</v>
      </c>
      <c r="K230" s="307">
        <v>2</v>
      </c>
      <c r="L230" s="284">
        <v>4</v>
      </c>
      <c r="M230" s="307">
        <v>4</v>
      </c>
      <c r="N230" s="284">
        <v>8</v>
      </c>
      <c r="O230" s="284">
        <v>0</v>
      </c>
      <c r="P230" s="284">
        <v>0</v>
      </c>
      <c r="Q230" s="284">
        <v>0</v>
      </c>
      <c r="R230" s="285">
        <v>42</v>
      </c>
      <c r="S230" s="285">
        <v>33</v>
      </c>
      <c r="T230" s="285">
        <v>75</v>
      </c>
    </row>
    <row r="231" spans="2:20" x14ac:dyDescent="0.25">
      <c r="B231" s="229" t="s">
        <v>213</v>
      </c>
      <c r="C231" s="307">
        <v>4</v>
      </c>
      <c r="D231" s="307">
        <v>7</v>
      </c>
      <c r="E231" s="307">
        <v>11</v>
      </c>
      <c r="F231" s="307">
        <v>1</v>
      </c>
      <c r="G231" s="307">
        <v>2</v>
      </c>
      <c r="H231" s="284">
        <v>3</v>
      </c>
      <c r="I231" s="307">
        <v>0</v>
      </c>
      <c r="J231" s="284">
        <v>0</v>
      </c>
      <c r="K231" s="307">
        <v>0</v>
      </c>
      <c r="L231" s="284">
        <v>0</v>
      </c>
      <c r="M231" s="307">
        <v>1</v>
      </c>
      <c r="N231" s="284">
        <v>1</v>
      </c>
      <c r="O231" s="284">
        <v>0</v>
      </c>
      <c r="P231" s="284">
        <v>0</v>
      </c>
      <c r="Q231" s="284">
        <v>0</v>
      </c>
      <c r="R231" s="285">
        <v>5</v>
      </c>
      <c r="S231" s="285">
        <v>10</v>
      </c>
      <c r="T231" s="285">
        <v>15</v>
      </c>
    </row>
    <row r="232" spans="2:20" x14ac:dyDescent="0.25">
      <c r="B232" s="229" t="s">
        <v>214</v>
      </c>
      <c r="C232" s="307">
        <v>21</v>
      </c>
      <c r="D232" s="307">
        <v>16</v>
      </c>
      <c r="E232" s="307">
        <v>37</v>
      </c>
      <c r="F232" s="307">
        <v>12</v>
      </c>
      <c r="G232" s="307">
        <v>17</v>
      </c>
      <c r="H232" s="284">
        <v>29</v>
      </c>
      <c r="I232" s="307">
        <v>1</v>
      </c>
      <c r="J232" s="284">
        <v>0</v>
      </c>
      <c r="K232" s="307">
        <v>1</v>
      </c>
      <c r="L232" s="284">
        <v>1</v>
      </c>
      <c r="M232" s="307">
        <v>3</v>
      </c>
      <c r="N232" s="284">
        <v>4</v>
      </c>
      <c r="O232" s="284">
        <v>0</v>
      </c>
      <c r="P232" s="284">
        <v>0</v>
      </c>
      <c r="Q232" s="284">
        <v>0</v>
      </c>
      <c r="R232" s="285">
        <v>35</v>
      </c>
      <c r="S232" s="285">
        <v>36</v>
      </c>
      <c r="T232" s="285">
        <v>71</v>
      </c>
    </row>
    <row r="233" spans="2:20" x14ac:dyDescent="0.25">
      <c r="B233" s="229" t="s">
        <v>215</v>
      </c>
      <c r="C233" s="307">
        <v>8</v>
      </c>
      <c r="D233" s="307">
        <v>8</v>
      </c>
      <c r="E233" s="307">
        <v>16</v>
      </c>
      <c r="F233" s="307">
        <v>0</v>
      </c>
      <c r="G233" s="307">
        <v>4</v>
      </c>
      <c r="H233" s="284">
        <v>4</v>
      </c>
      <c r="I233" s="307">
        <v>0</v>
      </c>
      <c r="J233" s="284">
        <v>0</v>
      </c>
      <c r="K233" s="307">
        <v>0</v>
      </c>
      <c r="L233" s="284">
        <v>1</v>
      </c>
      <c r="M233" s="307">
        <v>3</v>
      </c>
      <c r="N233" s="284">
        <v>4</v>
      </c>
      <c r="O233" s="284">
        <v>0</v>
      </c>
      <c r="P233" s="284">
        <v>0</v>
      </c>
      <c r="Q233" s="284">
        <v>0</v>
      </c>
      <c r="R233" s="285">
        <v>9</v>
      </c>
      <c r="S233" s="285">
        <v>15</v>
      </c>
      <c r="T233" s="285">
        <v>24</v>
      </c>
    </row>
    <row r="234" spans="2:20" x14ac:dyDescent="0.25">
      <c r="B234" s="229" t="s">
        <v>216</v>
      </c>
      <c r="C234" s="307">
        <v>9</v>
      </c>
      <c r="D234" s="307">
        <v>8</v>
      </c>
      <c r="E234" s="307">
        <v>17</v>
      </c>
      <c r="F234" s="307">
        <v>5</v>
      </c>
      <c r="G234" s="307">
        <v>0</v>
      </c>
      <c r="H234" s="284">
        <v>5</v>
      </c>
      <c r="I234" s="307">
        <v>0</v>
      </c>
      <c r="J234" s="284">
        <v>0</v>
      </c>
      <c r="K234" s="307">
        <v>0</v>
      </c>
      <c r="L234" s="284">
        <v>0</v>
      </c>
      <c r="M234" s="307">
        <v>0</v>
      </c>
      <c r="N234" s="284">
        <v>0</v>
      </c>
      <c r="O234" s="284">
        <v>0</v>
      </c>
      <c r="P234" s="284">
        <v>0</v>
      </c>
      <c r="Q234" s="284">
        <v>0</v>
      </c>
      <c r="R234" s="285">
        <v>14</v>
      </c>
      <c r="S234" s="285">
        <v>8</v>
      </c>
      <c r="T234" s="285">
        <v>22</v>
      </c>
    </row>
    <row r="235" spans="2:20" x14ac:dyDescent="0.25">
      <c r="B235" s="229" t="s">
        <v>217</v>
      </c>
      <c r="C235" s="307">
        <v>30</v>
      </c>
      <c r="D235" s="307">
        <v>18</v>
      </c>
      <c r="E235" s="307">
        <v>48</v>
      </c>
      <c r="F235" s="307">
        <v>24</v>
      </c>
      <c r="G235" s="307">
        <v>20</v>
      </c>
      <c r="H235" s="284">
        <v>44</v>
      </c>
      <c r="I235" s="307">
        <v>1</v>
      </c>
      <c r="J235" s="284">
        <v>0</v>
      </c>
      <c r="K235" s="307">
        <v>1</v>
      </c>
      <c r="L235" s="284">
        <v>1</v>
      </c>
      <c r="M235" s="307">
        <v>3</v>
      </c>
      <c r="N235" s="284">
        <v>4</v>
      </c>
      <c r="O235" s="284">
        <v>0</v>
      </c>
      <c r="P235" s="284">
        <v>1</v>
      </c>
      <c r="Q235" s="284">
        <v>1</v>
      </c>
      <c r="R235" s="285">
        <v>56</v>
      </c>
      <c r="S235" s="285">
        <v>42</v>
      </c>
      <c r="T235" s="285">
        <v>98</v>
      </c>
    </row>
    <row r="236" spans="2:20" x14ac:dyDescent="0.25">
      <c r="B236" s="229" t="s">
        <v>218</v>
      </c>
      <c r="C236" s="307">
        <v>16</v>
      </c>
      <c r="D236" s="307">
        <v>5</v>
      </c>
      <c r="E236" s="307">
        <v>21</v>
      </c>
      <c r="F236" s="307">
        <v>7</v>
      </c>
      <c r="G236" s="307">
        <v>8</v>
      </c>
      <c r="H236" s="284">
        <v>15</v>
      </c>
      <c r="I236" s="307">
        <v>0</v>
      </c>
      <c r="J236" s="284">
        <v>0</v>
      </c>
      <c r="K236" s="307">
        <v>0</v>
      </c>
      <c r="L236" s="284">
        <v>2</v>
      </c>
      <c r="M236" s="307">
        <v>3</v>
      </c>
      <c r="N236" s="284">
        <v>5</v>
      </c>
      <c r="O236" s="284">
        <v>0</v>
      </c>
      <c r="P236" s="284">
        <v>0</v>
      </c>
      <c r="Q236" s="284">
        <v>0</v>
      </c>
      <c r="R236" s="285">
        <v>25</v>
      </c>
      <c r="S236" s="285">
        <v>16</v>
      </c>
      <c r="T236" s="285">
        <v>41</v>
      </c>
    </row>
    <row r="237" spans="2:20" x14ac:dyDescent="0.25">
      <c r="B237" s="229" t="s">
        <v>219</v>
      </c>
      <c r="C237" s="307">
        <v>5</v>
      </c>
      <c r="D237" s="307">
        <v>5</v>
      </c>
      <c r="E237" s="307">
        <v>10</v>
      </c>
      <c r="F237" s="307">
        <v>2</v>
      </c>
      <c r="G237" s="307">
        <v>0</v>
      </c>
      <c r="H237" s="284">
        <v>2</v>
      </c>
      <c r="I237" s="307">
        <v>0</v>
      </c>
      <c r="J237" s="284">
        <v>0</v>
      </c>
      <c r="K237" s="307">
        <v>0</v>
      </c>
      <c r="L237" s="284">
        <v>0</v>
      </c>
      <c r="M237" s="307">
        <v>0</v>
      </c>
      <c r="N237" s="284">
        <v>0</v>
      </c>
      <c r="O237" s="284">
        <v>0</v>
      </c>
      <c r="P237" s="284">
        <v>0</v>
      </c>
      <c r="Q237" s="284">
        <v>0</v>
      </c>
      <c r="R237" s="285">
        <v>7</v>
      </c>
      <c r="S237" s="285">
        <v>5</v>
      </c>
      <c r="T237" s="285">
        <v>12</v>
      </c>
    </row>
    <row r="238" spans="2:20" x14ac:dyDescent="0.25">
      <c r="B238" s="229" t="s">
        <v>220</v>
      </c>
      <c r="C238" s="307">
        <v>23</v>
      </c>
      <c r="D238" s="307">
        <v>25</v>
      </c>
      <c r="E238" s="307">
        <v>48</v>
      </c>
      <c r="F238" s="307">
        <v>14</v>
      </c>
      <c r="G238" s="307">
        <v>8</v>
      </c>
      <c r="H238" s="284">
        <v>22</v>
      </c>
      <c r="I238" s="307">
        <v>1</v>
      </c>
      <c r="J238" s="284">
        <v>1</v>
      </c>
      <c r="K238" s="307">
        <v>2</v>
      </c>
      <c r="L238" s="284">
        <v>1</v>
      </c>
      <c r="M238" s="307">
        <v>2</v>
      </c>
      <c r="N238" s="284">
        <v>3</v>
      </c>
      <c r="O238" s="284">
        <v>0</v>
      </c>
      <c r="P238" s="284">
        <v>0</v>
      </c>
      <c r="Q238" s="284">
        <v>0</v>
      </c>
      <c r="R238" s="285">
        <v>39</v>
      </c>
      <c r="S238" s="285">
        <v>36</v>
      </c>
      <c r="T238" s="285">
        <v>75</v>
      </c>
    </row>
    <row r="239" spans="2:20" x14ac:dyDescent="0.25">
      <c r="B239" s="229" t="s">
        <v>221</v>
      </c>
      <c r="C239" s="307">
        <v>7</v>
      </c>
      <c r="D239" s="307">
        <v>7</v>
      </c>
      <c r="E239" s="307">
        <v>14</v>
      </c>
      <c r="F239" s="307">
        <v>7</v>
      </c>
      <c r="G239" s="307">
        <v>2</v>
      </c>
      <c r="H239" s="284">
        <v>9</v>
      </c>
      <c r="I239" s="307">
        <v>1</v>
      </c>
      <c r="J239" s="284">
        <v>0</v>
      </c>
      <c r="K239" s="307">
        <v>1</v>
      </c>
      <c r="L239" s="284">
        <v>1</v>
      </c>
      <c r="M239" s="307">
        <v>3</v>
      </c>
      <c r="N239" s="284">
        <v>4</v>
      </c>
      <c r="O239" s="284">
        <v>0</v>
      </c>
      <c r="P239" s="284">
        <v>0</v>
      </c>
      <c r="Q239" s="284">
        <v>0</v>
      </c>
      <c r="R239" s="285">
        <v>16</v>
      </c>
      <c r="S239" s="285">
        <v>12</v>
      </c>
      <c r="T239" s="285">
        <v>28</v>
      </c>
    </row>
    <row r="240" spans="2:20" x14ac:dyDescent="0.25">
      <c r="B240" s="229" t="s">
        <v>222</v>
      </c>
      <c r="C240" s="307">
        <v>2</v>
      </c>
      <c r="D240" s="307">
        <v>7</v>
      </c>
      <c r="E240" s="307">
        <v>9</v>
      </c>
      <c r="F240" s="307">
        <v>4</v>
      </c>
      <c r="G240" s="307">
        <v>4</v>
      </c>
      <c r="H240" s="284">
        <v>8</v>
      </c>
      <c r="I240" s="307">
        <v>0</v>
      </c>
      <c r="J240" s="284">
        <v>0</v>
      </c>
      <c r="K240" s="307">
        <v>0</v>
      </c>
      <c r="L240" s="284">
        <v>1</v>
      </c>
      <c r="M240" s="307">
        <v>0</v>
      </c>
      <c r="N240" s="284">
        <v>1</v>
      </c>
      <c r="O240" s="284">
        <v>0</v>
      </c>
      <c r="P240" s="284">
        <v>0</v>
      </c>
      <c r="Q240" s="284">
        <v>0</v>
      </c>
      <c r="R240" s="285">
        <v>7</v>
      </c>
      <c r="S240" s="285">
        <v>11</v>
      </c>
      <c r="T240" s="285">
        <v>18</v>
      </c>
    </row>
    <row r="241" spans="2:20" x14ac:dyDescent="0.25">
      <c r="B241" s="229" t="s">
        <v>223</v>
      </c>
      <c r="C241" s="307">
        <v>11</v>
      </c>
      <c r="D241" s="307">
        <v>7</v>
      </c>
      <c r="E241" s="307">
        <v>18</v>
      </c>
      <c r="F241" s="307">
        <v>7</v>
      </c>
      <c r="G241" s="307">
        <v>6</v>
      </c>
      <c r="H241" s="284">
        <v>13</v>
      </c>
      <c r="I241" s="307">
        <v>0</v>
      </c>
      <c r="J241" s="284">
        <v>0</v>
      </c>
      <c r="K241" s="307">
        <v>0</v>
      </c>
      <c r="L241" s="284">
        <v>0</v>
      </c>
      <c r="M241" s="307">
        <v>0</v>
      </c>
      <c r="N241" s="284">
        <v>0</v>
      </c>
      <c r="O241" s="284">
        <v>0</v>
      </c>
      <c r="P241" s="284">
        <v>0</v>
      </c>
      <c r="Q241" s="284">
        <v>0</v>
      </c>
      <c r="R241" s="285">
        <v>18</v>
      </c>
      <c r="S241" s="285">
        <v>13</v>
      </c>
      <c r="T241" s="285">
        <v>31</v>
      </c>
    </row>
    <row r="242" spans="2:20" x14ac:dyDescent="0.25">
      <c r="B242" s="229" t="s">
        <v>224</v>
      </c>
      <c r="C242" s="307">
        <v>9</v>
      </c>
      <c r="D242" s="307">
        <v>12</v>
      </c>
      <c r="E242" s="307">
        <v>21</v>
      </c>
      <c r="F242" s="307">
        <v>3</v>
      </c>
      <c r="G242" s="307">
        <v>6</v>
      </c>
      <c r="H242" s="284">
        <v>9</v>
      </c>
      <c r="I242" s="307">
        <v>1</v>
      </c>
      <c r="J242" s="284">
        <v>0</v>
      </c>
      <c r="K242" s="307">
        <v>1</v>
      </c>
      <c r="L242" s="284">
        <v>0</v>
      </c>
      <c r="M242" s="307">
        <v>1</v>
      </c>
      <c r="N242" s="284">
        <v>1</v>
      </c>
      <c r="O242" s="284">
        <v>0</v>
      </c>
      <c r="P242" s="284">
        <v>0</v>
      </c>
      <c r="Q242" s="284">
        <v>0</v>
      </c>
      <c r="R242" s="285">
        <v>13</v>
      </c>
      <c r="S242" s="285">
        <v>19</v>
      </c>
      <c r="T242" s="285">
        <v>32</v>
      </c>
    </row>
    <row r="243" spans="2:20" x14ac:dyDescent="0.25">
      <c r="B243" s="229" t="s">
        <v>225</v>
      </c>
      <c r="C243" s="307">
        <v>3</v>
      </c>
      <c r="D243" s="307">
        <v>7</v>
      </c>
      <c r="E243" s="307">
        <v>10</v>
      </c>
      <c r="F243" s="307">
        <v>3</v>
      </c>
      <c r="G243" s="307">
        <v>7</v>
      </c>
      <c r="H243" s="284">
        <v>10</v>
      </c>
      <c r="I243" s="307">
        <v>0</v>
      </c>
      <c r="J243" s="284">
        <v>0</v>
      </c>
      <c r="K243" s="307">
        <v>0</v>
      </c>
      <c r="L243" s="284">
        <v>1</v>
      </c>
      <c r="M243" s="307">
        <v>1</v>
      </c>
      <c r="N243" s="284">
        <v>2</v>
      </c>
      <c r="O243" s="284">
        <v>0</v>
      </c>
      <c r="P243" s="284">
        <v>0</v>
      </c>
      <c r="Q243" s="284">
        <v>0</v>
      </c>
      <c r="R243" s="285">
        <v>7</v>
      </c>
      <c r="S243" s="285">
        <v>15</v>
      </c>
      <c r="T243" s="285">
        <v>22</v>
      </c>
    </row>
    <row r="244" spans="2:20" x14ac:dyDescent="0.25">
      <c r="B244" s="229" t="s">
        <v>226</v>
      </c>
      <c r="C244" s="307">
        <v>12</v>
      </c>
      <c r="D244" s="307">
        <v>8</v>
      </c>
      <c r="E244" s="307">
        <v>20</v>
      </c>
      <c r="F244" s="307">
        <v>4</v>
      </c>
      <c r="G244" s="307">
        <v>3</v>
      </c>
      <c r="H244" s="284">
        <v>7</v>
      </c>
      <c r="I244" s="307">
        <v>0</v>
      </c>
      <c r="J244" s="284">
        <v>1</v>
      </c>
      <c r="K244" s="307">
        <v>1</v>
      </c>
      <c r="L244" s="284">
        <v>0</v>
      </c>
      <c r="M244" s="307">
        <v>3</v>
      </c>
      <c r="N244" s="284">
        <v>3</v>
      </c>
      <c r="O244" s="284">
        <v>0</v>
      </c>
      <c r="P244" s="284">
        <v>0</v>
      </c>
      <c r="Q244" s="284">
        <v>0</v>
      </c>
      <c r="R244" s="285">
        <v>16</v>
      </c>
      <c r="S244" s="285">
        <v>15</v>
      </c>
      <c r="T244" s="285">
        <v>31</v>
      </c>
    </row>
    <row r="245" spans="2:20" x14ac:dyDescent="0.25">
      <c r="B245" s="229" t="s">
        <v>227</v>
      </c>
      <c r="C245" s="307">
        <v>7</v>
      </c>
      <c r="D245" s="307">
        <v>8</v>
      </c>
      <c r="E245" s="307">
        <v>15</v>
      </c>
      <c r="F245" s="307">
        <v>6</v>
      </c>
      <c r="G245" s="307">
        <v>5</v>
      </c>
      <c r="H245" s="284">
        <v>11</v>
      </c>
      <c r="I245" s="307">
        <v>0</v>
      </c>
      <c r="J245" s="284">
        <v>1</v>
      </c>
      <c r="K245" s="307">
        <v>1</v>
      </c>
      <c r="L245" s="284">
        <v>1</v>
      </c>
      <c r="M245" s="307">
        <v>0</v>
      </c>
      <c r="N245" s="284">
        <v>1</v>
      </c>
      <c r="O245" s="284">
        <v>0</v>
      </c>
      <c r="P245" s="284">
        <v>0</v>
      </c>
      <c r="Q245" s="284">
        <v>0</v>
      </c>
      <c r="R245" s="285">
        <v>14</v>
      </c>
      <c r="S245" s="285">
        <v>14</v>
      </c>
      <c r="T245" s="285">
        <v>28</v>
      </c>
    </row>
    <row r="246" spans="2:20" x14ac:dyDescent="0.25">
      <c r="B246" s="229" t="s">
        <v>228</v>
      </c>
      <c r="C246" s="307">
        <v>16</v>
      </c>
      <c r="D246" s="307">
        <v>15</v>
      </c>
      <c r="E246" s="307">
        <v>31</v>
      </c>
      <c r="F246" s="307">
        <v>8</v>
      </c>
      <c r="G246" s="307">
        <v>11</v>
      </c>
      <c r="H246" s="284">
        <v>19</v>
      </c>
      <c r="I246" s="307">
        <v>0</v>
      </c>
      <c r="J246" s="284">
        <v>0</v>
      </c>
      <c r="K246" s="307">
        <v>0</v>
      </c>
      <c r="L246" s="284">
        <v>4</v>
      </c>
      <c r="M246" s="307">
        <v>0</v>
      </c>
      <c r="N246" s="284">
        <v>4</v>
      </c>
      <c r="O246" s="284">
        <v>0</v>
      </c>
      <c r="P246" s="284">
        <v>0</v>
      </c>
      <c r="Q246" s="284">
        <v>0</v>
      </c>
      <c r="R246" s="285">
        <v>28</v>
      </c>
      <c r="S246" s="285">
        <v>26</v>
      </c>
      <c r="T246" s="285">
        <v>54</v>
      </c>
    </row>
    <row r="247" spans="2:20" x14ac:dyDescent="0.25">
      <c r="B247" s="229" t="s">
        <v>229</v>
      </c>
      <c r="C247" s="307">
        <v>13</v>
      </c>
      <c r="D247" s="307">
        <v>15</v>
      </c>
      <c r="E247" s="307">
        <v>28</v>
      </c>
      <c r="F247" s="307">
        <v>6</v>
      </c>
      <c r="G247" s="307">
        <v>15</v>
      </c>
      <c r="H247" s="284">
        <v>21</v>
      </c>
      <c r="I247" s="307">
        <v>1</v>
      </c>
      <c r="J247" s="284">
        <v>0</v>
      </c>
      <c r="K247" s="307">
        <v>1</v>
      </c>
      <c r="L247" s="284">
        <v>3</v>
      </c>
      <c r="M247" s="307">
        <v>4</v>
      </c>
      <c r="N247" s="284">
        <v>7</v>
      </c>
      <c r="O247" s="284">
        <v>0</v>
      </c>
      <c r="P247" s="284">
        <v>0</v>
      </c>
      <c r="Q247" s="284">
        <v>0</v>
      </c>
      <c r="R247" s="285">
        <v>23</v>
      </c>
      <c r="S247" s="285">
        <v>34</v>
      </c>
      <c r="T247" s="285">
        <v>57</v>
      </c>
    </row>
    <row r="248" spans="2:20" x14ac:dyDescent="0.25">
      <c r="B248" s="229" t="s">
        <v>230</v>
      </c>
      <c r="C248" s="307">
        <v>8</v>
      </c>
      <c r="D248" s="307">
        <v>7</v>
      </c>
      <c r="E248" s="307">
        <v>15</v>
      </c>
      <c r="F248" s="307">
        <v>5</v>
      </c>
      <c r="G248" s="307">
        <v>3</v>
      </c>
      <c r="H248" s="284">
        <v>8</v>
      </c>
      <c r="I248" s="307">
        <v>0</v>
      </c>
      <c r="J248" s="284">
        <v>0</v>
      </c>
      <c r="K248" s="307">
        <v>0</v>
      </c>
      <c r="L248" s="284">
        <v>2</v>
      </c>
      <c r="M248" s="307">
        <v>2</v>
      </c>
      <c r="N248" s="284">
        <v>4</v>
      </c>
      <c r="O248" s="284">
        <v>0</v>
      </c>
      <c r="P248" s="284">
        <v>0</v>
      </c>
      <c r="Q248" s="284">
        <v>0</v>
      </c>
      <c r="R248" s="285">
        <v>15</v>
      </c>
      <c r="S248" s="285">
        <v>12</v>
      </c>
      <c r="T248" s="285">
        <v>27</v>
      </c>
    </row>
    <row r="249" spans="2:20" x14ac:dyDescent="0.25">
      <c r="B249" s="229" t="s">
        <v>231</v>
      </c>
      <c r="C249" s="307">
        <v>3</v>
      </c>
      <c r="D249" s="307">
        <v>2</v>
      </c>
      <c r="E249" s="307">
        <v>5</v>
      </c>
      <c r="F249" s="307">
        <v>1</v>
      </c>
      <c r="G249" s="307">
        <v>0</v>
      </c>
      <c r="H249" s="284">
        <v>1</v>
      </c>
      <c r="I249" s="307">
        <v>0</v>
      </c>
      <c r="J249" s="284">
        <v>0</v>
      </c>
      <c r="K249" s="307">
        <v>0</v>
      </c>
      <c r="L249" s="284">
        <v>0</v>
      </c>
      <c r="M249" s="307">
        <v>1</v>
      </c>
      <c r="N249" s="284">
        <v>1</v>
      </c>
      <c r="O249" s="284">
        <v>0</v>
      </c>
      <c r="P249" s="284">
        <v>0</v>
      </c>
      <c r="Q249" s="284">
        <v>0</v>
      </c>
      <c r="R249" s="285">
        <v>4</v>
      </c>
      <c r="S249" s="285">
        <v>3</v>
      </c>
      <c r="T249" s="285">
        <v>7</v>
      </c>
    </row>
    <row r="250" spans="2:20" x14ac:dyDescent="0.25">
      <c r="B250" s="229" t="s">
        <v>232</v>
      </c>
      <c r="C250" s="307">
        <v>9</v>
      </c>
      <c r="D250" s="307">
        <v>16</v>
      </c>
      <c r="E250" s="307">
        <v>25</v>
      </c>
      <c r="F250" s="307">
        <v>4</v>
      </c>
      <c r="G250" s="307">
        <v>5</v>
      </c>
      <c r="H250" s="284">
        <v>9</v>
      </c>
      <c r="I250" s="307">
        <v>0</v>
      </c>
      <c r="J250" s="284">
        <v>0</v>
      </c>
      <c r="K250" s="307">
        <v>0</v>
      </c>
      <c r="L250" s="284">
        <v>1</v>
      </c>
      <c r="M250" s="307">
        <v>1</v>
      </c>
      <c r="N250" s="284">
        <v>2</v>
      </c>
      <c r="O250" s="284">
        <v>0</v>
      </c>
      <c r="P250" s="284">
        <v>0</v>
      </c>
      <c r="Q250" s="284">
        <v>0</v>
      </c>
      <c r="R250" s="285">
        <v>14</v>
      </c>
      <c r="S250" s="285">
        <v>22</v>
      </c>
      <c r="T250" s="285">
        <v>36</v>
      </c>
    </row>
    <row r="251" spans="2:20" x14ac:dyDescent="0.25">
      <c r="B251" s="229" t="s">
        <v>233</v>
      </c>
      <c r="C251" s="307">
        <v>149</v>
      </c>
      <c r="D251" s="307">
        <v>131</v>
      </c>
      <c r="E251" s="307">
        <v>280</v>
      </c>
      <c r="F251" s="307">
        <v>123</v>
      </c>
      <c r="G251" s="307">
        <v>93</v>
      </c>
      <c r="H251" s="284">
        <v>216</v>
      </c>
      <c r="I251" s="307">
        <v>3</v>
      </c>
      <c r="J251" s="284">
        <v>4</v>
      </c>
      <c r="K251" s="307">
        <v>7</v>
      </c>
      <c r="L251" s="284">
        <v>20</v>
      </c>
      <c r="M251" s="307">
        <v>20</v>
      </c>
      <c r="N251" s="284">
        <v>40</v>
      </c>
      <c r="O251" s="284">
        <v>0</v>
      </c>
      <c r="P251" s="284">
        <v>0</v>
      </c>
      <c r="Q251" s="284">
        <v>0</v>
      </c>
      <c r="R251" s="285">
        <v>295</v>
      </c>
      <c r="S251" s="285">
        <v>248</v>
      </c>
      <c r="T251" s="285">
        <v>543</v>
      </c>
    </row>
    <row r="252" spans="2:20" x14ac:dyDescent="0.25">
      <c r="B252" s="229" t="s">
        <v>234</v>
      </c>
      <c r="C252" s="307">
        <v>32</v>
      </c>
      <c r="D252" s="307">
        <v>30</v>
      </c>
      <c r="E252" s="307">
        <v>62</v>
      </c>
      <c r="F252" s="307">
        <v>24</v>
      </c>
      <c r="G252" s="307">
        <v>18</v>
      </c>
      <c r="H252" s="284">
        <v>42</v>
      </c>
      <c r="I252" s="307">
        <v>1</v>
      </c>
      <c r="J252" s="284">
        <v>1</v>
      </c>
      <c r="K252" s="307">
        <v>2</v>
      </c>
      <c r="L252" s="284">
        <v>2</v>
      </c>
      <c r="M252" s="307">
        <v>4</v>
      </c>
      <c r="N252" s="284">
        <v>6</v>
      </c>
      <c r="O252" s="284">
        <v>0</v>
      </c>
      <c r="P252" s="284">
        <v>0</v>
      </c>
      <c r="Q252" s="284">
        <v>0</v>
      </c>
      <c r="R252" s="285">
        <v>59</v>
      </c>
      <c r="S252" s="285">
        <v>53</v>
      </c>
      <c r="T252" s="285">
        <v>112</v>
      </c>
    </row>
    <row r="253" spans="2:20" x14ac:dyDescent="0.25">
      <c r="B253" s="229" t="s">
        <v>235</v>
      </c>
      <c r="C253" s="307">
        <v>21</v>
      </c>
      <c r="D253" s="307">
        <v>20</v>
      </c>
      <c r="E253" s="307">
        <v>41</v>
      </c>
      <c r="F253" s="307">
        <v>8</v>
      </c>
      <c r="G253" s="307">
        <v>13</v>
      </c>
      <c r="H253" s="284">
        <v>21</v>
      </c>
      <c r="I253" s="307">
        <v>2</v>
      </c>
      <c r="J253" s="284">
        <v>2</v>
      </c>
      <c r="K253" s="307">
        <v>4</v>
      </c>
      <c r="L253" s="284">
        <v>1</v>
      </c>
      <c r="M253" s="307">
        <v>1</v>
      </c>
      <c r="N253" s="284">
        <v>2</v>
      </c>
      <c r="O253" s="284">
        <v>0</v>
      </c>
      <c r="P253" s="284">
        <v>0</v>
      </c>
      <c r="Q253" s="284">
        <v>0</v>
      </c>
      <c r="R253" s="285">
        <v>32</v>
      </c>
      <c r="S253" s="285">
        <v>36</v>
      </c>
      <c r="T253" s="285">
        <v>68</v>
      </c>
    </row>
    <row r="254" spans="2:20" x14ac:dyDescent="0.25">
      <c r="B254" s="229" t="s">
        <v>236</v>
      </c>
      <c r="C254" s="307">
        <v>53</v>
      </c>
      <c r="D254" s="307">
        <v>45</v>
      </c>
      <c r="E254" s="307">
        <v>98</v>
      </c>
      <c r="F254" s="307">
        <v>54</v>
      </c>
      <c r="G254" s="307">
        <v>45</v>
      </c>
      <c r="H254" s="284">
        <v>99</v>
      </c>
      <c r="I254" s="307">
        <v>2</v>
      </c>
      <c r="J254" s="284">
        <v>0</v>
      </c>
      <c r="K254" s="307">
        <v>2</v>
      </c>
      <c r="L254" s="284">
        <v>9</v>
      </c>
      <c r="M254" s="307">
        <v>6</v>
      </c>
      <c r="N254" s="284">
        <v>15</v>
      </c>
      <c r="O254" s="284">
        <v>0</v>
      </c>
      <c r="P254" s="284">
        <v>0</v>
      </c>
      <c r="Q254" s="284">
        <v>0</v>
      </c>
      <c r="R254" s="285">
        <v>118</v>
      </c>
      <c r="S254" s="285">
        <v>96</v>
      </c>
      <c r="T254" s="285">
        <v>214</v>
      </c>
    </row>
    <row r="255" spans="2:20" x14ac:dyDescent="0.25">
      <c r="B255" s="229" t="s">
        <v>237</v>
      </c>
      <c r="C255" s="307">
        <v>35</v>
      </c>
      <c r="D255" s="307">
        <v>27</v>
      </c>
      <c r="E255" s="307">
        <v>62</v>
      </c>
      <c r="F255" s="307">
        <v>22</v>
      </c>
      <c r="G255" s="307">
        <v>18</v>
      </c>
      <c r="H255" s="284">
        <v>40</v>
      </c>
      <c r="I255" s="307">
        <v>4</v>
      </c>
      <c r="J255" s="284">
        <v>2</v>
      </c>
      <c r="K255" s="307">
        <v>6</v>
      </c>
      <c r="L255" s="284">
        <v>1</v>
      </c>
      <c r="M255" s="307">
        <v>2</v>
      </c>
      <c r="N255" s="284">
        <v>3</v>
      </c>
      <c r="O255" s="284">
        <v>0</v>
      </c>
      <c r="P255" s="284">
        <v>0</v>
      </c>
      <c r="Q255" s="284">
        <v>0</v>
      </c>
      <c r="R255" s="285">
        <v>62</v>
      </c>
      <c r="S255" s="285">
        <v>49</v>
      </c>
      <c r="T255" s="285">
        <v>111</v>
      </c>
    </row>
    <row r="256" spans="2:20" x14ac:dyDescent="0.25">
      <c r="B256" s="230" t="s">
        <v>238</v>
      </c>
      <c r="C256" s="307">
        <v>20</v>
      </c>
      <c r="D256" s="307">
        <v>25</v>
      </c>
      <c r="E256" s="307">
        <v>45</v>
      </c>
      <c r="F256" s="307">
        <v>21</v>
      </c>
      <c r="G256" s="307">
        <v>17</v>
      </c>
      <c r="H256" s="284">
        <v>38</v>
      </c>
      <c r="I256" s="307">
        <v>1</v>
      </c>
      <c r="J256" s="284">
        <v>0</v>
      </c>
      <c r="K256" s="307">
        <v>1</v>
      </c>
      <c r="L256" s="284">
        <v>1</v>
      </c>
      <c r="M256" s="307">
        <v>4</v>
      </c>
      <c r="N256" s="284">
        <v>5</v>
      </c>
      <c r="O256" s="284">
        <v>1</v>
      </c>
      <c r="P256" s="284">
        <v>0</v>
      </c>
      <c r="Q256" s="284">
        <v>1</v>
      </c>
      <c r="R256" s="285">
        <v>44</v>
      </c>
      <c r="S256" s="285">
        <v>46</v>
      </c>
      <c r="T256" s="285">
        <v>90</v>
      </c>
    </row>
    <row r="257" spans="2:20" x14ac:dyDescent="0.25">
      <c r="B257" s="260" t="s">
        <v>25</v>
      </c>
      <c r="C257" s="282">
        <v>631</v>
      </c>
      <c r="D257" s="282">
        <v>570</v>
      </c>
      <c r="E257" s="282">
        <v>1201</v>
      </c>
      <c r="F257" s="282">
        <v>441</v>
      </c>
      <c r="G257" s="282">
        <v>398</v>
      </c>
      <c r="H257" s="285">
        <v>839</v>
      </c>
      <c r="I257" s="282">
        <v>20</v>
      </c>
      <c r="J257" s="285">
        <v>15</v>
      </c>
      <c r="K257" s="282">
        <v>35</v>
      </c>
      <c r="L257" s="285">
        <v>64</v>
      </c>
      <c r="M257" s="282">
        <v>85</v>
      </c>
      <c r="N257" s="285">
        <v>149</v>
      </c>
      <c r="O257" s="285">
        <v>1</v>
      </c>
      <c r="P257" s="285">
        <v>1</v>
      </c>
      <c r="Q257" s="285">
        <v>2</v>
      </c>
      <c r="R257" s="285">
        <v>1157</v>
      </c>
      <c r="S257" s="285">
        <v>1069</v>
      </c>
      <c r="T257" s="285">
        <v>2226</v>
      </c>
    </row>
    <row r="258" spans="2:20" ht="84" customHeight="1" x14ac:dyDescent="0.25">
      <c r="B258" s="454" t="s">
        <v>866</v>
      </c>
      <c r="C258" s="454"/>
      <c r="D258" s="454"/>
      <c r="E258" s="454"/>
      <c r="F258" s="454"/>
      <c r="G258" s="454"/>
      <c r="H258" s="454"/>
      <c r="I258" s="454"/>
      <c r="J258" s="454"/>
      <c r="K258" s="454"/>
      <c r="L258" s="454"/>
      <c r="M258" s="454"/>
      <c r="N258" s="454"/>
      <c r="O258" s="454"/>
      <c r="P258" s="454"/>
      <c r="Q258" s="454"/>
    </row>
    <row r="259" spans="2:20" x14ac:dyDescent="0.25">
      <c r="B259" s="157"/>
      <c r="C259" s="157"/>
      <c r="D259" s="157"/>
      <c r="E259"/>
      <c r="F259"/>
      <c r="G259"/>
    </row>
    <row r="260" spans="2:20" x14ac:dyDescent="0.25">
      <c r="B260" s="186" t="s">
        <v>511</v>
      </c>
      <c r="C260"/>
      <c r="D260"/>
      <c r="E260"/>
      <c r="F260"/>
      <c r="G260"/>
    </row>
    <row r="261" spans="2:20" x14ac:dyDescent="0.25">
      <c r="B261" s="186"/>
      <c r="C261"/>
      <c r="D261"/>
      <c r="E261"/>
      <c r="F261"/>
      <c r="G261"/>
    </row>
    <row r="262" spans="2:20" ht="15" customHeight="1" x14ac:dyDescent="0.25">
      <c r="B262" s="426" t="s">
        <v>532</v>
      </c>
      <c r="C262" s="475" t="s">
        <v>477</v>
      </c>
      <c r="D262" s="475"/>
      <c r="E262" s="475"/>
      <c r="F262" s="475"/>
      <c r="G262" s="475"/>
      <c r="H262" s="475"/>
      <c r="I262" s="475"/>
      <c r="J262" s="475"/>
      <c r="K262" s="475"/>
      <c r="L262" s="475"/>
      <c r="M262" s="475"/>
      <c r="N262" s="475"/>
      <c r="O262" s="475"/>
      <c r="P262" s="475"/>
      <c r="Q262" s="475"/>
      <c r="R262" s="469" t="s">
        <v>877</v>
      </c>
      <c r="S262" s="470"/>
      <c r="T262" s="471"/>
    </row>
    <row r="263" spans="2:20" ht="15" customHeight="1" x14ac:dyDescent="0.25">
      <c r="B263" s="427"/>
      <c r="C263" s="463" t="s">
        <v>849</v>
      </c>
      <c r="D263" s="463"/>
      <c r="E263" s="463"/>
      <c r="F263" s="463" t="s">
        <v>850</v>
      </c>
      <c r="G263" s="463"/>
      <c r="H263" s="463"/>
      <c r="I263" s="463" t="s">
        <v>3</v>
      </c>
      <c r="J263" s="463"/>
      <c r="K263" s="463"/>
      <c r="L263" s="463" t="s">
        <v>5</v>
      </c>
      <c r="M263" s="463"/>
      <c r="N263" s="463"/>
      <c r="O263" s="463" t="s">
        <v>859</v>
      </c>
      <c r="P263" s="463"/>
      <c r="Q263" s="463"/>
      <c r="R263" s="472"/>
      <c r="S263" s="473"/>
      <c r="T263" s="474"/>
    </row>
    <row r="264" spans="2:20" x14ac:dyDescent="0.25">
      <c r="B264" s="428"/>
      <c r="C264" s="264" t="s">
        <v>73</v>
      </c>
      <c r="D264" s="264" t="s">
        <v>74</v>
      </c>
      <c r="E264" s="264" t="s">
        <v>25</v>
      </c>
      <c r="F264" s="264" t="s">
        <v>73</v>
      </c>
      <c r="G264" s="264" t="s">
        <v>74</v>
      </c>
      <c r="H264" s="264" t="s">
        <v>25</v>
      </c>
      <c r="I264" s="264" t="s">
        <v>73</v>
      </c>
      <c r="J264" s="264" t="s">
        <v>74</v>
      </c>
      <c r="K264" s="264" t="s">
        <v>25</v>
      </c>
      <c r="L264" s="264" t="s">
        <v>73</v>
      </c>
      <c r="M264" s="264" t="s">
        <v>74</v>
      </c>
      <c r="N264" s="264" t="s">
        <v>25</v>
      </c>
      <c r="O264" s="264" t="s">
        <v>73</v>
      </c>
      <c r="P264" s="264" t="s">
        <v>74</v>
      </c>
      <c r="Q264" s="264" t="s">
        <v>25</v>
      </c>
      <c r="R264" s="274" t="s">
        <v>73</v>
      </c>
      <c r="S264" s="274" t="s">
        <v>74</v>
      </c>
      <c r="T264" s="274" t="s">
        <v>25</v>
      </c>
    </row>
    <row r="265" spans="2:20" x14ac:dyDescent="0.25">
      <c r="B265" s="228" t="s">
        <v>239</v>
      </c>
      <c r="C265" s="307">
        <v>30</v>
      </c>
      <c r="D265" s="307">
        <v>43</v>
      </c>
      <c r="E265" s="307">
        <v>73</v>
      </c>
      <c r="F265" s="307">
        <v>23</v>
      </c>
      <c r="G265" s="307">
        <v>27</v>
      </c>
      <c r="H265" s="284">
        <v>50</v>
      </c>
      <c r="I265" s="307">
        <v>4</v>
      </c>
      <c r="J265" s="284">
        <v>2</v>
      </c>
      <c r="K265" s="307">
        <v>6</v>
      </c>
      <c r="L265" s="284">
        <v>0</v>
      </c>
      <c r="M265" s="307">
        <v>0</v>
      </c>
      <c r="N265" s="284">
        <v>0</v>
      </c>
      <c r="O265" s="284">
        <v>0</v>
      </c>
      <c r="P265" s="284">
        <v>0</v>
      </c>
      <c r="Q265" s="284">
        <v>0</v>
      </c>
      <c r="R265" s="285">
        <v>57</v>
      </c>
      <c r="S265" s="285">
        <v>72</v>
      </c>
      <c r="T265" s="285">
        <v>129</v>
      </c>
    </row>
    <row r="266" spans="2:20" x14ac:dyDescent="0.25">
      <c r="B266" s="229" t="s">
        <v>240</v>
      </c>
      <c r="C266" s="307">
        <v>7</v>
      </c>
      <c r="D266" s="307">
        <v>4</v>
      </c>
      <c r="E266" s="307">
        <v>11</v>
      </c>
      <c r="F266" s="307">
        <v>5</v>
      </c>
      <c r="G266" s="307">
        <v>2</v>
      </c>
      <c r="H266" s="284">
        <v>7</v>
      </c>
      <c r="I266" s="307">
        <v>1</v>
      </c>
      <c r="J266" s="284">
        <v>1</v>
      </c>
      <c r="K266" s="307">
        <v>2</v>
      </c>
      <c r="L266" s="284">
        <v>0</v>
      </c>
      <c r="M266" s="307">
        <v>2</v>
      </c>
      <c r="N266" s="284">
        <v>2</v>
      </c>
      <c r="O266" s="284">
        <v>0</v>
      </c>
      <c r="P266" s="284">
        <v>0</v>
      </c>
      <c r="Q266" s="284">
        <v>0</v>
      </c>
      <c r="R266" s="285">
        <v>13</v>
      </c>
      <c r="S266" s="285">
        <v>9</v>
      </c>
      <c r="T266" s="285">
        <v>22</v>
      </c>
    </row>
    <row r="267" spans="2:20" x14ac:dyDescent="0.25">
      <c r="B267" s="229" t="s">
        <v>241</v>
      </c>
      <c r="C267" s="307">
        <v>17</v>
      </c>
      <c r="D267" s="307">
        <v>9</v>
      </c>
      <c r="E267" s="307">
        <v>26</v>
      </c>
      <c r="F267" s="307">
        <v>12</v>
      </c>
      <c r="G267" s="307">
        <v>10</v>
      </c>
      <c r="H267" s="284">
        <v>22</v>
      </c>
      <c r="I267" s="307">
        <v>0</v>
      </c>
      <c r="J267" s="284">
        <v>0</v>
      </c>
      <c r="K267" s="307">
        <v>0</v>
      </c>
      <c r="L267" s="284">
        <v>0</v>
      </c>
      <c r="M267" s="307">
        <v>0</v>
      </c>
      <c r="N267" s="284">
        <v>0</v>
      </c>
      <c r="O267" s="284">
        <v>0</v>
      </c>
      <c r="P267" s="284">
        <v>0</v>
      </c>
      <c r="Q267" s="284">
        <v>0</v>
      </c>
      <c r="R267" s="285">
        <v>29</v>
      </c>
      <c r="S267" s="285">
        <v>19</v>
      </c>
      <c r="T267" s="285">
        <v>48</v>
      </c>
    </row>
    <row r="268" spans="2:20" x14ac:dyDescent="0.25">
      <c r="B268" s="229" t="s">
        <v>242</v>
      </c>
      <c r="C268" s="307">
        <v>24</v>
      </c>
      <c r="D268" s="307">
        <v>22</v>
      </c>
      <c r="E268" s="307">
        <v>46</v>
      </c>
      <c r="F268" s="307">
        <v>21</v>
      </c>
      <c r="G268" s="307">
        <v>24</v>
      </c>
      <c r="H268" s="284">
        <v>45</v>
      </c>
      <c r="I268" s="307">
        <v>2</v>
      </c>
      <c r="J268" s="284">
        <v>2</v>
      </c>
      <c r="K268" s="307">
        <v>4</v>
      </c>
      <c r="L268" s="284">
        <v>1</v>
      </c>
      <c r="M268" s="307">
        <v>4</v>
      </c>
      <c r="N268" s="284">
        <v>5</v>
      </c>
      <c r="O268" s="284">
        <v>0</v>
      </c>
      <c r="P268" s="284">
        <v>0</v>
      </c>
      <c r="Q268" s="284">
        <v>0</v>
      </c>
      <c r="R268" s="285">
        <v>48</v>
      </c>
      <c r="S268" s="285">
        <v>52</v>
      </c>
      <c r="T268" s="285">
        <v>100</v>
      </c>
    </row>
    <row r="269" spans="2:20" x14ac:dyDescent="0.25">
      <c r="B269" s="229" t="s">
        <v>243</v>
      </c>
      <c r="C269" s="307">
        <v>8</v>
      </c>
      <c r="D269" s="307">
        <v>7</v>
      </c>
      <c r="E269" s="307">
        <v>15</v>
      </c>
      <c r="F269" s="307">
        <v>3</v>
      </c>
      <c r="G269" s="307">
        <v>9</v>
      </c>
      <c r="H269" s="284">
        <v>12</v>
      </c>
      <c r="I269" s="307">
        <v>1</v>
      </c>
      <c r="J269" s="284">
        <v>0</v>
      </c>
      <c r="K269" s="307">
        <v>1</v>
      </c>
      <c r="L269" s="284">
        <v>0</v>
      </c>
      <c r="M269" s="307">
        <v>1</v>
      </c>
      <c r="N269" s="284">
        <v>1</v>
      </c>
      <c r="O269" s="284">
        <v>0</v>
      </c>
      <c r="P269" s="284">
        <v>0</v>
      </c>
      <c r="Q269" s="284">
        <v>0</v>
      </c>
      <c r="R269" s="285">
        <v>12</v>
      </c>
      <c r="S269" s="285">
        <v>17</v>
      </c>
      <c r="T269" s="285">
        <v>29</v>
      </c>
    </row>
    <row r="270" spans="2:20" x14ac:dyDescent="0.25">
      <c r="B270" s="229" t="s">
        <v>244</v>
      </c>
      <c r="C270" s="307">
        <v>98</v>
      </c>
      <c r="D270" s="307">
        <v>86</v>
      </c>
      <c r="E270" s="307">
        <v>184</v>
      </c>
      <c r="F270" s="307">
        <v>96</v>
      </c>
      <c r="G270" s="307">
        <v>65</v>
      </c>
      <c r="H270" s="284">
        <v>161</v>
      </c>
      <c r="I270" s="307">
        <v>4</v>
      </c>
      <c r="J270" s="284">
        <v>1</v>
      </c>
      <c r="K270" s="307">
        <v>5</v>
      </c>
      <c r="L270" s="284">
        <v>7</v>
      </c>
      <c r="M270" s="307">
        <v>11</v>
      </c>
      <c r="N270" s="284">
        <v>18</v>
      </c>
      <c r="O270" s="284">
        <v>0</v>
      </c>
      <c r="P270" s="284">
        <v>0</v>
      </c>
      <c r="Q270" s="284">
        <v>0</v>
      </c>
      <c r="R270" s="285">
        <v>205</v>
      </c>
      <c r="S270" s="285">
        <v>163</v>
      </c>
      <c r="T270" s="285">
        <v>368</v>
      </c>
    </row>
    <row r="271" spans="2:20" x14ac:dyDescent="0.25">
      <c r="B271" s="229" t="s">
        <v>245</v>
      </c>
      <c r="C271" s="307">
        <v>3</v>
      </c>
      <c r="D271" s="307">
        <v>1</v>
      </c>
      <c r="E271" s="307">
        <v>4</v>
      </c>
      <c r="F271" s="307">
        <v>0</v>
      </c>
      <c r="G271" s="307">
        <v>0</v>
      </c>
      <c r="H271" s="284">
        <v>0</v>
      </c>
      <c r="I271" s="307">
        <v>1</v>
      </c>
      <c r="J271" s="284">
        <v>0</v>
      </c>
      <c r="K271" s="307">
        <v>1</v>
      </c>
      <c r="L271" s="284">
        <v>0</v>
      </c>
      <c r="M271" s="307">
        <v>0</v>
      </c>
      <c r="N271" s="284">
        <v>0</v>
      </c>
      <c r="O271" s="284">
        <v>0</v>
      </c>
      <c r="P271" s="284">
        <v>0</v>
      </c>
      <c r="Q271" s="284">
        <v>0</v>
      </c>
      <c r="R271" s="285">
        <v>4</v>
      </c>
      <c r="S271" s="285">
        <v>1</v>
      </c>
      <c r="T271" s="285">
        <v>5</v>
      </c>
    </row>
    <row r="272" spans="2:20" x14ac:dyDescent="0.25">
      <c r="B272" s="229" t="s">
        <v>494</v>
      </c>
      <c r="C272" s="307">
        <v>5</v>
      </c>
      <c r="D272" s="307">
        <v>12</v>
      </c>
      <c r="E272" s="307">
        <v>17</v>
      </c>
      <c r="F272" s="307">
        <v>7</v>
      </c>
      <c r="G272" s="307">
        <v>8</v>
      </c>
      <c r="H272" s="284">
        <v>15</v>
      </c>
      <c r="I272" s="307">
        <v>0</v>
      </c>
      <c r="J272" s="284">
        <v>0</v>
      </c>
      <c r="K272" s="307">
        <v>0</v>
      </c>
      <c r="L272" s="284">
        <v>0</v>
      </c>
      <c r="M272" s="307">
        <v>2</v>
      </c>
      <c r="N272" s="284">
        <v>2</v>
      </c>
      <c r="O272" s="284">
        <v>0</v>
      </c>
      <c r="P272" s="284">
        <v>0</v>
      </c>
      <c r="Q272" s="284">
        <v>0</v>
      </c>
      <c r="R272" s="285">
        <v>12</v>
      </c>
      <c r="S272" s="285">
        <v>22</v>
      </c>
      <c r="T272" s="285">
        <v>34</v>
      </c>
    </row>
    <row r="273" spans="2:20" x14ac:dyDescent="0.25">
      <c r="B273" s="229" t="s">
        <v>246</v>
      </c>
      <c r="C273" s="307">
        <v>4</v>
      </c>
      <c r="D273" s="307">
        <v>6</v>
      </c>
      <c r="E273" s="307">
        <v>10</v>
      </c>
      <c r="F273" s="307">
        <v>5</v>
      </c>
      <c r="G273" s="307">
        <v>4</v>
      </c>
      <c r="H273" s="284">
        <v>9</v>
      </c>
      <c r="I273" s="307">
        <v>1</v>
      </c>
      <c r="J273" s="284">
        <v>1</v>
      </c>
      <c r="K273" s="307">
        <v>2</v>
      </c>
      <c r="L273" s="284">
        <v>0</v>
      </c>
      <c r="M273" s="307">
        <v>0</v>
      </c>
      <c r="N273" s="284">
        <v>0</v>
      </c>
      <c r="O273" s="284">
        <v>0</v>
      </c>
      <c r="P273" s="284">
        <v>0</v>
      </c>
      <c r="Q273" s="284">
        <v>0</v>
      </c>
      <c r="R273" s="285">
        <v>10</v>
      </c>
      <c r="S273" s="285">
        <v>11</v>
      </c>
      <c r="T273" s="285">
        <v>21</v>
      </c>
    </row>
    <row r="274" spans="2:20" x14ac:dyDescent="0.25">
      <c r="B274" s="229" t="s">
        <v>247</v>
      </c>
      <c r="C274" s="307">
        <v>69</v>
      </c>
      <c r="D274" s="307">
        <v>53</v>
      </c>
      <c r="E274" s="307">
        <v>122</v>
      </c>
      <c r="F274" s="307">
        <v>58</v>
      </c>
      <c r="G274" s="307">
        <v>37</v>
      </c>
      <c r="H274" s="284">
        <v>95</v>
      </c>
      <c r="I274" s="307">
        <v>0</v>
      </c>
      <c r="J274" s="284">
        <v>1</v>
      </c>
      <c r="K274" s="307">
        <v>1</v>
      </c>
      <c r="L274" s="284">
        <v>3</v>
      </c>
      <c r="M274" s="307">
        <v>8</v>
      </c>
      <c r="N274" s="284">
        <v>11</v>
      </c>
      <c r="O274" s="284">
        <v>1</v>
      </c>
      <c r="P274" s="284">
        <v>0</v>
      </c>
      <c r="Q274" s="284">
        <v>1</v>
      </c>
      <c r="R274" s="285">
        <v>131</v>
      </c>
      <c r="S274" s="285">
        <v>99</v>
      </c>
      <c r="T274" s="285">
        <v>230</v>
      </c>
    </row>
    <row r="275" spans="2:20" x14ac:dyDescent="0.25">
      <c r="B275" s="229" t="s">
        <v>248</v>
      </c>
      <c r="C275" s="307">
        <v>25</v>
      </c>
      <c r="D275" s="307">
        <v>25</v>
      </c>
      <c r="E275" s="307">
        <v>50</v>
      </c>
      <c r="F275" s="307">
        <v>12</v>
      </c>
      <c r="G275" s="307">
        <v>14</v>
      </c>
      <c r="H275" s="284">
        <v>26</v>
      </c>
      <c r="I275" s="307">
        <v>2</v>
      </c>
      <c r="J275" s="284">
        <v>0</v>
      </c>
      <c r="K275" s="307">
        <v>2</v>
      </c>
      <c r="L275" s="284">
        <v>1</v>
      </c>
      <c r="M275" s="307">
        <v>2</v>
      </c>
      <c r="N275" s="284">
        <v>3</v>
      </c>
      <c r="O275" s="284">
        <v>0</v>
      </c>
      <c r="P275" s="284">
        <v>0</v>
      </c>
      <c r="Q275" s="284">
        <v>0</v>
      </c>
      <c r="R275" s="285">
        <v>40</v>
      </c>
      <c r="S275" s="285">
        <v>41</v>
      </c>
      <c r="T275" s="285">
        <v>81</v>
      </c>
    </row>
    <row r="276" spans="2:20" x14ac:dyDescent="0.25">
      <c r="B276" s="229" t="s">
        <v>249</v>
      </c>
      <c r="C276" s="307">
        <v>25</v>
      </c>
      <c r="D276" s="307">
        <v>27</v>
      </c>
      <c r="E276" s="307">
        <v>52</v>
      </c>
      <c r="F276" s="307">
        <v>19</v>
      </c>
      <c r="G276" s="307">
        <v>7</v>
      </c>
      <c r="H276" s="284">
        <v>26</v>
      </c>
      <c r="I276" s="307">
        <v>3</v>
      </c>
      <c r="J276" s="284">
        <v>2</v>
      </c>
      <c r="K276" s="307">
        <v>5</v>
      </c>
      <c r="L276" s="284">
        <v>1</v>
      </c>
      <c r="M276" s="307">
        <v>3</v>
      </c>
      <c r="N276" s="284">
        <v>4</v>
      </c>
      <c r="O276" s="284">
        <v>0</v>
      </c>
      <c r="P276" s="284">
        <v>0</v>
      </c>
      <c r="Q276" s="284">
        <v>0</v>
      </c>
      <c r="R276" s="285">
        <v>48</v>
      </c>
      <c r="S276" s="285">
        <v>39</v>
      </c>
      <c r="T276" s="285">
        <v>87</v>
      </c>
    </row>
    <row r="277" spans="2:20" x14ac:dyDescent="0.25">
      <c r="B277" s="229" t="s">
        <v>250</v>
      </c>
      <c r="C277" s="307">
        <v>31</v>
      </c>
      <c r="D277" s="307">
        <v>35</v>
      </c>
      <c r="E277" s="307">
        <v>66</v>
      </c>
      <c r="F277" s="307">
        <v>25</v>
      </c>
      <c r="G277" s="307">
        <v>16</v>
      </c>
      <c r="H277" s="284">
        <v>41</v>
      </c>
      <c r="I277" s="307">
        <v>2</v>
      </c>
      <c r="J277" s="284">
        <v>1</v>
      </c>
      <c r="K277" s="307">
        <v>3</v>
      </c>
      <c r="L277" s="284">
        <v>1</v>
      </c>
      <c r="M277" s="307">
        <v>1</v>
      </c>
      <c r="N277" s="284">
        <v>2</v>
      </c>
      <c r="O277" s="284">
        <v>0</v>
      </c>
      <c r="P277" s="284">
        <v>0</v>
      </c>
      <c r="Q277" s="284">
        <v>0</v>
      </c>
      <c r="R277" s="285">
        <v>59</v>
      </c>
      <c r="S277" s="285">
        <v>53</v>
      </c>
      <c r="T277" s="285">
        <v>112</v>
      </c>
    </row>
    <row r="278" spans="2:20" x14ac:dyDescent="0.25">
      <c r="B278" s="229" t="s">
        <v>251</v>
      </c>
      <c r="C278" s="307">
        <v>39</v>
      </c>
      <c r="D278" s="307">
        <v>23</v>
      </c>
      <c r="E278" s="307">
        <v>62</v>
      </c>
      <c r="F278" s="307">
        <v>22</v>
      </c>
      <c r="G278" s="307">
        <v>12</v>
      </c>
      <c r="H278" s="284">
        <v>34</v>
      </c>
      <c r="I278" s="307">
        <v>1</v>
      </c>
      <c r="J278" s="284">
        <v>1</v>
      </c>
      <c r="K278" s="307">
        <v>2</v>
      </c>
      <c r="L278" s="284">
        <v>1</v>
      </c>
      <c r="M278" s="307">
        <v>4</v>
      </c>
      <c r="N278" s="284">
        <v>5</v>
      </c>
      <c r="O278" s="284">
        <v>0</v>
      </c>
      <c r="P278" s="284">
        <v>0</v>
      </c>
      <c r="Q278" s="284">
        <v>0</v>
      </c>
      <c r="R278" s="285">
        <v>63</v>
      </c>
      <c r="S278" s="285">
        <v>40</v>
      </c>
      <c r="T278" s="285">
        <v>103</v>
      </c>
    </row>
    <row r="279" spans="2:20" x14ac:dyDescent="0.25">
      <c r="B279" s="229" t="s">
        <v>252</v>
      </c>
      <c r="C279" s="307">
        <v>9</v>
      </c>
      <c r="D279" s="307">
        <v>6</v>
      </c>
      <c r="E279" s="307">
        <v>15</v>
      </c>
      <c r="F279" s="307">
        <v>8</v>
      </c>
      <c r="G279" s="307">
        <v>4</v>
      </c>
      <c r="H279" s="284">
        <v>12</v>
      </c>
      <c r="I279" s="307">
        <v>0</v>
      </c>
      <c r="J279" s="284">
        <v>0</v>
      </c>
      <c r="K279" s="307">
        <v>0</v>
      </c>
      <c r="L279" s="284">
        <v>0</v>
      </c>
      <c r="M279" s="307">
        <v>0</v>
      </c>
      <c r="N279" s="284">
        <v>0</v>
      </c>
      <c r="O279" s="284">
        <v>0</v>
      </c>
      <c r="P279" s="284">
        <v>0</v>
      </c>
      <c r="Q279" s="284">
        <v>0</v>
      </c>
      <c r="R279" s="285">
        <v>17</v>
      </c>
      <c r="S279" s="285">
        <v>10</v>
      </c>
      <c r="T279" s="285">
        <v>27</v>
      </c>
    </row>
    <row r="280" spans="2:20" x14ac:dyDescent="0.25">
      <c r="B280" s="229" t="s">
        <v>253</v>
      </c>
      <c r="C280" s="307">
        <v>7</v>
      </c>
      <c r="D280" s="307">
        <v>6</v>
      </c>
      <c r="E280" s="307">
        <v>13</v>
      </c>
      <c r="F280" s="307">
        <v>1</v>
      </c>
      <c r="G280" s="307">
        <v>1</v>
      </c>
      <c r="H280" s="284">
        <v>2</v>
      </c>
      <c r="I280" s="307">
        <v>0</v>
      </c>
      <c r="J280" s="284">
        <v>0</v>
      </c>
      <c r="K280" s="307">
        <v>0</v>
      </c>
      <c r="L280" s="284">
        <v>0</v>
      </c>
      <c r="M280" s="307">
        <v>0</v>
      </c>
      <c r="N280" s="284">
        <v>0</v>
      </c>
      <c r="O280" s="284">
        <v>0</v>
      </c>
      <c r="P280" s="284">
        <v>0</v>
      </c>
      <c r="Q280" s="284">
        <v>0</v>
      </c>
      <c r="R280" s="285">
        <v>8</v>
      </c>
      <c r="S280" s="285">
        <v>7</v>
      </c>
      <c r="T280" s="285">
        <v>15</v>
      </c>
    </row>
    <row r="281" spans="2:20" x14ac:dyDescent="0.25">
      <c r="B281" s="229" t="s">
        <v>254</v>
      </c>
      <c r="C281" s="307">
        <v>6</v>
      </c>
      <c r="D281" s="307">
        <v>4</v>
      </c>
      <c r="E281" s="307">
        <v>10</v>
      </c>
      <c r="F281" s="307">
        <v>4</v>
      </c>
      <c r="G281" s="307">
        <v>3</v>
      </c>
      <c r="H281" s="284">
        <v>7</v>
      </c>
      <c r="I281" s="307">
        <v>0</v>
      </c>
      <c r="J281" s="284">
        <v>0</v>
      </c>
      <c r="K281" s="307">
        <v>0</v>
      </c>
      <c r="L281" s="284">
        <v>0</v>
      </c>
      <c r="M281" s="307">
        <v>0</v>
      </c>
      <c r="N281" s="284">
        <v>0</v>
      </c>
      <c r="O281" s="284">
        <v>0</v>
      </c>
      <c r="P281" s="284">
        <v>0</v>
      </c>
      <c r="Q281" s="284">
        <v>0</v>
      </c>
      <c r="R281" s="285">
        <v>10</v>
      </c>
      <c r="S281" s="285">
        <v>7</v>
      </c>
      <c r="T281" s="285">
        <v>17</v>
      </c>
    </row>
    <row r="282" spans="2:20" x14ac:dyDescent="0.25">
      <c r="B282" s="229" t="s">
        <v>255</v>
      </c>
      <c r="C282" s="307">
        <v>7</v>
      </c>
      <c r="D282" s="307">
        <v>11</v>
      </c>
      <c r="E282" s="307">
        <v>18</v>
      </c>
      <c r="F282" s="307">
        <v>3</v>
      </c>
      <c r="G282" s="307">
        <v>3</v>
      </c>
      <c r="H282" s="284">
        <v>6</v>
      </c>
      <c r="I282" s="307">
        <v>0</v>
      </c>
      <c r="J282" s="284">
        <v>0</v>
      </c>
      <c r="K282" s="307">
        <v>0</v>
      </c>
      <c r="L282" s="284">
        <v>0</v>
      </c>
      <c r="M282" s="307">
        <v>1</v>
      </c>
      <c r="N282" s="284">
        <v>1</v>
      </c>
      <c r="O282" s="284">
        <v>0</v>
      </c>
      <c r="P282" s="284">
        <v>0</v>
      </c>
      <c r="Q282" s="284">
        <v>0</v>
      </c>
      <c r="R282" s="285">
        <v>10</v>
      </c>
      <c r="S282" s="285">
        <v>15</v>
      </c>
      <c r="T282" s="285">
        <v>25</v>
      </c>
    </row>
    <row r="283" spans="2:20" x14ac:dyDescent="0.25">
      <c r="B283" s="229" t="s">
        <v>256</v>
      </c>
      <c r="C283" s="307">
        <v>21</v>
      </c>
      <c r="D283" s="307">
        <v>9</v>
      </c>
      <c r="E283" s="307">
        <v>30</v>
      </c>
      <c r="F283" s="307">
        <v>8</v>
      </c>
      <c r="G283" s="307">
        <v>12</v>
      </c>
      <c r="H283" s="284">
        <v>20</v>
      </c>
      <c r="I283" s="307">
        <v>0</v>
      </c>
      <c r="J283" s="284">
        <v>1</v>
      </c>
      <c r="K283" s="307">
        <v>1</v>
      </c>
      <c r="L283" s="284">
        <v>0</v>
      </c>
      <c r="M283" s="307">
        <v>1</v>
      </c>
      <c r="N283" s="284">
        <v>1</v>
      </c>
      <c r="O283" s="284">
        <v>0</v>
      </c>
      <c r="P283" s="284">
        <v>0</v>
      </c>
      <c r="Q283" s="284">
        <v>0</v>
      </c>
      <c r="R283" s="285">
        <v>29</v>
      </c>
      <c r="S283" s="285">
        <v>23</v>
      </c>
      <c r="T283" s="285">
        <v>52</v>
      </c>
    </row>
    <row r="284" spans="2:20" x14ac:dyDescent="0.25">
      <c r="B284" s="229" t="s">
        <v>257</v>
      </c>
      <c r="C284" s="307">
        <v>13</v>
      </c>
      <c r="D284" s="307">
        <v>9</v>
      </c>
      <c r="E284" s="307">
        <v>22</v>
      </c>
      <c r="F284" s="307">
        <v>5</v>
      </c>
      <c r="G284" s="307">
        <v>10</v>
      </c>
      <c r="H284" s="284">
        <v>15</v>
      </c>
      <c r="I284" s="307">
        <v>1</v>
      </c>
      <c r="J284" s="284">
        <v>0</v>
      </c>
      <c r="K284" s="307">
        <v>1</v>
      </c>
      <c r="L284" s="284">
        <v>0</v>
      </c>
      <c r="M284" s="307">
        <v>1</v>
      </c>
      <c r="N284" s="284">
        <v>1</v>
      </c>
      <c r="O284" s="284">
        <v>0</v>
      </c>
      <c r="P284" s="284">
        <v>0</v>
      </c>
      <c r="Q284" s="284">
        <v>0</v>
      </c>
      <c r="R284" s="285">
        <v>19</v>
      </c>
      <c r="S284" s="285">
        <v>20</v>
      </c>
      <c r="T284" s="285">
        <v>39</v>
      </c>
    </row>
    <row r="285" spans="2:20" x14ac:dyDescent="0.25">
      <c r="B285" s="229" t="s">
        <v>258</v>
      </c>
      <c r="C285" s="307">
        <v>15</v>
      </c>
      <c r="D285" s="307">
        <v>11</v>
      </c>
      <c r="E285" s="307">
        <v>26</v>
      </c>
      <c r="F285" s="307">
        <v>8</v>
      </c>
      <c r="G285" s="307">
        <v>6</v>
      </c>
      <c r="H285" s="284">
        <v>14</v>
      </c>
      <c r="I285" s="307">
        <v>0</v>
      </c>
      <c r="J285" s="284">
        <v>0</v>
      </c>
      <c r="K285" s="307">
        <v>0</v>
      </c>
      <c r="L285" s="284">
        <v>1</v>
      </c>
      <c r="M285" s="307">
        <v>2</v>
      </c>
      <c r="N285" s="284">
        <v>3</v>
      </c>
      <c r="O285" s="284">
        <v>0</v>
      </c>
      <c r="P285" s="284">
        <v>0</v>
      </c>
      <c r="Q285" s="284">
        <v>0</v>
      </c>
      <c r="R285" s="285">
        <v>24</v>
      </c>
      <c r="S285" s="285">
        <v>19</v>
      </c>
      <c r="T285" s="285">
        <v>43</v>
      </c>
    </row>
    <row r="286" spans="2:20" x14ac:dyDescent="0.25">
      <c r="B286" s="229" t="s">
        <v>259</v>
      </c>
      <c r="C286" s="307">
        <v>5</v>
      </c>
      <c r="D286" s="307">
        <v>9</v>
      </c>
      <c r="E286" s="307">
        <v>14</v>
      </c>
      <c r="F286" s="307">
        <v>7</v>
      </c>
      <c r="G286" s="307">
        <v>8</v>
      </c>
      <c r="H286" s="284">
        <v>15</v>
      </c>
      <c r="I286" s="307">
        <v>1</v>
      </c>
      <c r="J286" s="284">
        <v>0</v>
      </c>
      <c r="K286" s="307">
        <v>1</v>
      </c>
      <c r="L286" s="284">
        <v>1</v>
      </c>
      <c r="M286" s="307">
        <v>2</v>
      </c>
      <c r="N286" s="284">
        <v>3</v>
      </c>
      <c r="O286" s="284">
        <v>0</v>
      </c>
      <c r="P286" s="284">
        <v>0</v>
      </c>
      <c r="Q286" s="284">
        <v>0</v>
      </c>
      <c r="R286" s="285">
        <v>14</v>
      </c>
      <c r="S286" s="285">
        <v>19</v>
      </c>
      <c r="T286" s="285">
        <v>33</v>
      </c>
    </row>
    <row r="287" spans="2:20" x14ac:dyDescent="0.25">
      <c r="B287" s="229" t="s">
        <v>260</v>
      </c>
      <c r="C287" s="307">
        <v>26</v>
      </c>
      <c r="D287" s="307">
        <v>24</v>
      </c>
      <c r="E287" s="307">
        <v>50</v>
      </c>
      <c r="F287" s="307">
        <v>21</v>
      </c>
      <c r="G287" s="307">
        <v>15</v>
      </c>
      <c r="H287" s="284">
        <v>36</v>
      </c>
      <c r="I287" s="307">
        <v>1</v>
      </c>
      <c r="J287" s="284">
        <v>1</v>
      </c>
      <c r="K287" s="307">
        <v>2</v>
      </c>
      <c r="L287" s="284">
        <v>2</v>
      </c>
      <c r="M287" s="307">
        <v>4</v>
      </c>
      <c r="N287" s="284">
        <v>6</v>
      </c>
      <c r="O287" s="284">
        <v>0</v>
      </c>
      <c r="P287" s="284">
        <v>0</v>
      </c>
      <c r="Q287" s="284">
        <v>0</v>
      </c>
      <c r="R287" s="285">
        <v>50</v>
      </c>
      <c r="S287" s="285">
        <v>44</v>
      </c>
      <c r="T287" s="285">
        <v>94</v>
      </c>
    </row>
    <row r="288" spans="2:20" x14ac:dyDescent="0.25">
      <c r="B288" s="229" t="s">
        <v>261</v>
      </c>
      <c r="C288" s="307">
        <v>43</v>
      </c>
      <c r="D288" s="307">
        <v>37</v>
      </c>
      <c r="E288" s="307">
        <v>80</v>
      </c>
      <c r="F288" s="307">
        <v>18</v>
      </c>
      <c r="G288" s="307">
        <v>24</v>
      </c>
      <c r="H288" s="284">
        <v>42</v>
      </c>
      <c r="I288" s="307">
        <v>1</v>
      </c>
      <c r="J288" s="284">
        <v>0</v>
      </c>
      <c r="K288" s="307">
        <v>1</v>
      </c>
      <c r="L288" s="284">
        <v>2</v>
      </c>
      <c r="M288" s="307">
        <v>4</v>
      </c>
      <c r="N288" s="284">
        <v>6</v>
      </c>
      <c r="O288" s="284">
        <v>0</v>
      </c>
      <c r="P288" s="284">
        <v>0</v>
      </c>
      <c r="Q288" s="284">
        <v>0</v>
      </c>
      <c r="R288" s="285">
        <v>64</v>
      </c>
      <c r="S288" s="285">
        <v>65</v>
      </c>
      <c r="T288" s="285">
        <v>129</v>
      </c>
    </row>
    <row r="289" spans="2:20" x14ac:dyDescent="0.25">
      <c r="B289" s="229" t="s">
        <v>262</v>
      </c>
      <c r="C289" s="307">
        <v>9</v>
      </c>
      <c r="D289" s="307">
        <v>10</v>
      </c>
      <c r="E289" s="307">
        <v>19</v>
      </c>
      <c r="F289" s="307">
        <v>6</v>
      </c>
      <c r="G289" s="307">
        <v>7</v>
      </c>
      <c r="H289" s="284">
        <v>13</v>
      </c>
      <c r="I289" s="307">
        <v>0</v>
      </c>
      <c r="J289" s="284">
        <v>0</v>
      </c>
      <c r="K289" s="307">
        <v>0</v>
      </c>
      <c r="L289" s="284">
        <v>0</v>
      </c>
      <c r="M289" s="307">
        <v>0</v>
      </c>
      <c r="N289" s="284">
        <v>0</v>
      </c>
      <c r="O289" s="284">
        <v>0</v>
      </c>
      <c r="P289" s="284">
        <v>0</v>
      </c>
      <c r="Q289" s="284">
        <v>0</v>
      </c>
      <c r="R289" s="285">
        <v>15</v>
      </c>
      <c r="S289" s="285">
        <v>17</v>
      </c>
      <c r="T289" s="285">
        <v>32</v>
      </c>
    </row>
    <row r="290" spans="2:20" x14ac:dyDescent="0.25">
      <c r="B290" s="229" t="s">
        <v>263</v>
      </c>
      <c r="C290" s="307">
        <v>131</v>
      </c>
      <c r="D290" s="307">
        <v>122</v>
      </c>
      <c r="E290" s="307">
        <v>253</v>
      </c>
      <c r="F290" s="307">
        <v>128</v>
      </c>
      <c r="G290" s="307">
        <v>79</v>
      </c>
      <c r="H290" s="284">
        <v>207</v>
      </c>
      <c r="I290" s="307">
        <v>2</v>
      </c>
      <c r="J290" s="284">
        <v>1</v>
      </c>
      <c r="K290" s="307">
        <v>3</v>
      </c>
      <c r="L290" s="284">
        <v>15</v>
      </c>
      <c r="M290" s="307">
        <v>9</v>
      </c>
      <c r="N290" s="284">
        <v>24</v>
      </c>
      <c r="O290" s="284">
        <v>0</v>
      </c>
      <c r="P290" s="284">
        <v>0</v>
      </c>
      <c r="Q290" s="284">
        <v>0</v>
      </c>
      <c r="R290" s="285">
        <v>276</v>
      </c>
      <c r="S290" s="285">
        <v>211</v>
      </c>
      <c r="T290" s="285">
        <v>487</v>
      </c>
    </row>
    <row r="291" spans="2:20" x14ac:dyDescent="0.25">
      <c r="B291" s="229" t="s">
        <v>264</v>
      </c>
      <c r="C291" s="307">
        <v>19</v>
      </c>
      <c r="D291" s="307">
        <v>10</v>
      </c>
      <c r="E291" s="307">
        <v>29</v>
      </c>
      <c r="F291" s="307">
        <v>20</v>
      </c>
      <c r="G291" s="307">
        <v>15</v>
      </c>
      <c r="H291" s="284">
        <v>35</v>
      </c>
      <c r="I291" s="307">
        <v>1</v>
      </c>
      <c r="J291" s="284">
        <v>2</v>
      </c>
      <c r="K291" s="307">
        <v>3</v>
      </c>
      <c r="L291" s="284">
        <v>1</v>
      </c>
      <c r="M291" s="307">
        <v>4</v>
      </c>
      <c r="N291" s="284">
        <v>5</v>
      </c>
      <c r="O291" s="284">
        <v>0</v>
      </c>
      <c r="P291" s="284">
        <v>0</v>
      </c>
      <c r="Q291" s="284">
        <v>0</v>
      </c>
      <c r="R291" s="285">
        <v>41</v>
      </c>
      <c r="S291" s="285">
        <v>31</v>
      </c>
      <c r="T291" s="285">
        <v>72</v>
      </c>
    </row>
    <row r="292" spans="2:20" x14ac:dyDescent="0.25">
      <c r="B292" s="229" t="s">
        <v>265</v>
      </c>
      <c r="C292" s="307">
        <v>1</v>
      </c>
      <c r="D292" s="307">
        <v>7</v>
      </c>
      <c r="E292" s="307">
        <v>8</v>
      </c>
      <c r="F292" s="307">
        <v>3</v>
      </c>
      <c r="G292" s="307">
        <v>1</v>
      </c>
      <c r="H292" s="284">
        <v>4</v>
      </c>
      <c r="I292" s="307">
        <v>1</v>
      </c>
      <c r="J292" s="284">
        <v>0</v>
      </c>
      <c r="K292" s="307">
        <v>1</v>
      </c>
      <c r="L292" s="284">
        <v>0</v>
      </c>
      <c r="M292" s="307">
        <v>1</v>
      </c>
      <c r="N292" s="284">
        <v>1</v>
      </c>
      <c r="O292" s="284">
        <v>0</v>
      </c>
      <c r="P292" s="284">
        <v>0</v>
      </c>
      <c r="Q292" s="284">
        <v>0</v>
      </c>
      <c r="R292" s="285">
        <v>5</v>
      </c>
      <c r="S292" s="285">
        <v>9</v>
      </c>
      <c r="T292" s="285">
        <v>14</v>
      </c>
    </row>
    <row r="293" spans="2:20" x14ac:dyDescent="0.25">
      <c r="B293" s="229" t="s">
        <v>266</v>
      </c>
      <c r="C293" s="307">
        <v>6</v>
      </c>
      <c r="D293" s="307">
        <v>17</v>
      </c>
      <c r="E293" s="307">
        <v>23</v>
      </c>
      <c r="F293" s="307">
        <v>7</v>
      </c>
      <c r="G293" s="307">
        <v>7</v>
      </c>
      <c r="H293" s="284">
        <v>14</v>
      </c>
      <c r="I293" s="307">
        <v>0</v>
      </c>
      <c r="J293" s="284">
        <v>0</v>
      </c>
      <c r="K293" s="307">
        <v>0</v>
      </c>
      <c r="L293" s="284">
        <v>0</v>
      </c>
      <c r="M293" s="307">
        <v>1</v>
      </c>
      <c r="N293" s="284">
        <v>1</v>
      </c>
      <c r="O293" s="284">
        <v>0</v>
      </c>
      <c r="P293" s="284">
        <v>0</v>
      </c>
      <c r="Q293" s="284">
        <v>0</v>
      </c>
      <c r="R293" s="285">
        <v>13</v>
      </c>
      <c r="S293" s="285">
        <v>25</v>
      </c>
      <c r="T293" s="285">
        <v>38</v>
      </c>
    </row>
    <row r="294" spans="2:20" x14ac:dyDescent="0.25">
      <c r="B294" s="230" t="s">
        <v>267</v>
      </c>
      <c r="C294" s="307">
        <v>12</v>
      </c>
      <c r="D294" s="307">
        <v>18</v>
      </c>
      <c r="E294" s="307">
        <v>30</v>
      </c>
      <c r="F294" s="307">
        <v>6</v>
      </c>
      <c r="G294" s="307">
        <v>10</v>
      </c>
      <c r="H294" s="284">
        <v>16</v>
      </c>
      <c r="I294" s="307">
        <v>0</v>
      </c>
      <c r="J294" s="284">
        <v>1</v>
      </c>
      <c r="K294" s="307">
        <v>1</v>
      </c>
      <c r="L294" s="284">
        <v>0</v>
      </c>
      <c r="M294" s="307">
        <v>0</v>
      </c>
      <c r="N294" s="284">
        <v>0</v>
      </c>
      <c r="O294" s="284">
        <v>0</v>
      </c>
      <c r="P294" s="284">
        <v>0</v>
      </c>
      <c r="Q294" s="284">
        <v>0</v>
      </c>
      <c r="R294" s="285">
        <v>18</v>
      </c>
      <c r="S294" s="285">
        <v>29</v>
      </c>
      <c r="T294" s="285">
        <v>47</v>
      </c>
    </row>
    <row r="295" spans="2:20" x14ac:dyDescent="0.25">
      <c r="B295" s="260" t="s">
        <v>25</v>
      </c>
      <c r="C295" s="282">
        <v>715</v>
      </c>
      <c r="D295" s="282">
        <v>663</v>
      </c>
      <c r="E295" s="282">
        <v>1378</v>
      </c>
      <c r="F295" s="282">
        <v>561</v>
      </c>
      <c r="G295" s="282">
        <v>440</v>
      </c>
      <c r="H295" s="285">
        <v>1001</v>
      </c>
      <c r="I295" s="282">
        <v>30</v>
      </c>
      <c r="J295" s="285">
        <v>18</v>
      </c>
      <c r="K295" s="282">
        <v>48</v>
      </c>
      <c r="L295" s="285">
        <v>37</v>
      </c>
      <c r="M295" s="282">
        <v>68</v>
      </c>
      <c r="N295" s="285">
        <v>105</v>
      </c>
      <c r="O295" s="285">
        <v>1</v>
      </c>
      <c r="P295" s="285">
        <v>0</v>
      </c>
      <c r="Q295" s="285">
        <v>1</v>
      </c>
      <c r="R295" s="285">
        <v>1344</v>
      </c>
      <c r="S295" s="285">
        <v>1189</v>
      </c>
      <c r="T295" s="285">
        <v>2533</v>
      </c>
    </row>
    <row r="296" spans="2:20" ht="81" customHeight="1" x14ac:dyDescent="0.25">
      <c r="B296" s="454" t="s">
        <v>866</v>
      </c>
      <c r="C296" s="454"/>
      <c r="D296" s="454"/>
      <c r="E296" s="454"/>
      <c r="F296" s="454"/>
      <c r="G296" s="454"/>
      <c r="H296" s="454"/>
      <c r="I296" s="454"/>
      <c r="J296" s="454"/>
      <c r="K296" s="454"/>
      <c r="L296" s="454"/>
      <c r="M296" s="454"/>
      <c r="N296" s="454"/>
      <c r="O296" s="454"/>
      <c r="P296" s="454"/>
      <c r="Q296" s="454"/>
    </row>
    <row r="297" spans="2:20" x14ac:dyDescent="0.25">
      <c r="B297" s="157"/>
      <c r="C297" s="157"/>
      <c r="D297" s="157"/>
      <c r="E297"/>
      <c r="F297"/>
      <c r="G297"/>
    </row>
    <row r="298" spans="2:20" x14ac:dyDescent="0.25">
      <c r="B298" s="157"/>
      <c r="C298" s="157"/>
      <c r="D298" s="157"/>
      <c r="E298"/>
      <c r="F298"/>
      <c r="G298"/>
    </row>
    <row r="299" spans="2:20" x14ac:dyDescent="0.25">
      <c r="B299" s="186" t="s">
        <v>520</v>
      </c>
      <c r="C299"/>
      <c r="D299"/>
      <c r="E299"/>
      <c r="F299"/>
      <c r="G299"/>
    </row>
    <row r="300" spans="2:20" x14ac:dyDescent="0.25">
      <c r="B300" s="186"/>
      <c r="C300"/>
      <c r="D300"/>
      <c r="E300"/>
      <c r="F300"/>
      <c r="G300"/>
    </row>
    <row r="301" spans="2:20" ht="15" customHeight="1" x14ac:dyDescent="0.25">
      <c r="B301" s="426" t="s">
        <v>532</v>
      </c>
      <c r="C301" s="475" t="s">
        <v>477</v>
      </c>
      <c r="D301" s="475"/>
      <c r="E301" s="475"/>
      <c r="F301" s="475"/>
      <c r="G301" s="475"/>
      <c r="H301" s="475"/>
      <c r="I301" s="475"/>
      <c r="J301" s="475"/>
      <c r="K301" s="475"/>
      <c r="L301" s="475"/>
      <c r="M301" s="475"/>
      <c r="N301" s="475"/>
      <c r="O301" s="475"/>
      <c r="P301" s="475"/>
      <c r="Q301" s="475"/>
      <c r="R301" s="469" t="s">
        <v>877</v>
      </c>
      <c r="S301" s="470"/>
      <c r="T301" s="471"/>
    </row>
    <row r="302" spans="2:20" ht="15" customHeight="1" x14ac:dyDescent="0.25">
      <c r="B302" s="427"/>
      <c r="C302" s="463" t="s">
        <v>849</v>
      </c>
      <c r="D302" s="463"/>
      <c r="E302" s="463"/>
      <c r="F302" s="463" t="s">
        <v>850</v>
      </c>
      <c r="G302" s="463"/>
      <c r="H302" s="463"/>
      <c r="I302" s="463" t="s">
        <v>3</v>
      </c>
      <c r="J302" s="463"/>
      <c r="K302" s="463"/>
      <c r="L302" s="463" t="s">
        <v>5</v>
      </c>
      <c r="M302" s="463"/>
      <c r="N302" s="463"/>
      <c r="O302" s="463" t="s">
        <v>859</v>
      </c>
      <c r="P302" s="463"/>
      <c r="Q302" s="463"/>
      <c r="R302" s="472"/>
      <c r="S302" s="473"/>
      <c r="T302" s="474"/>
    </row>
    <row r="303" spans="2:20" x14ac:dyDescent="0.25">
      <c r="B303" s="428"/>
      <c r="C303" s="264" t="s">
        <v>73</v>
      </c>
      <c r="D303" s="264" t="s">
        <v>74</v>
      </c>
      <c r="E303" s="264" t="s">
        <v>25</v>
      </c>
      <c r="F303" s="264" t="s">
        <v>73</v>
      </c>
      <c r="G303" s="264" t="s">
        <v>74</v>
      </c>
      <c r="H303" s="264" t="s">
        <v>25</v>
      </c>
      <c r="I303" s="264" t="s">
        <v>73</v>
      </c>
      <c r="J303" s="264" t="s">
        <v>74</v>
      </c>
      <c r="K303" s="264" t="s">
        <v>25</v>
      </c>
      <c r="L303" s="264" t="s">
        <v>73</v>
      </c>
      <c r="M303" s="264" t="s">
        <v>74</v>
      </c>
      <c r="N303" s="264" t="s">
        <v>25</v>
      </c>
      <c r="O303" s="264" t="s">
        <v>73</v>
      </c>
      <c r="P303" s="264" t="s">
        <v>74</v>
      </c>
      <c r="Q303" s="264" t="s">
        <v>25</v>
      </c>
      <c r="R303" s="274" t="s">
        <v>73</v>
      </c>
      <c r="S303" s="274" t="s">
        <v>74</v>
      </c>
      <c r="T303" s="274" t="s">
        <v>25</v>
      </c>
    </row>
    <row r="304" spans="2:20" x14ac:dyDescent="0.25">
      <c r="B304" s="228" t="s">
        <v>451</v>
      </c>
      <c r="C304" s="307">
        <v>20</v>
      </c>
      <c r="D304" s="307">
        <v>13</v>
      </c>
      <c r="E304" s="307">
        <v>33</v>
      </c>
      <c r="F304" s="307">
        <v>10</v>
      </c>
      <c r="G304" s="307">
        <v>8</v>
      </c>
      <c r="H304" s="284">
        <v>18</v>
      </c>
      <c r="I304" s="307">
        <v>0</v>
      </c>
      <c r="J304" s="284">
        <v>0</v>
      </c>
      <c r="K304" s="307">
        <v>0</v>
      </c>
      <c r="L304" s="284">
        <v>2</v>
      </c>
      <c r="M304" s="307">
        <v>4</v>
      </c>
      <c r="N304" s="284">
        <v>6</v>
      </c>
      <c r="O304" s="284">
        <v>0</v>
      </c>
      <c r="P304" s="284">
        <v>0</v>
      </c>
      <c r="Q304" s="284">
        <v>0</v>
      </c>
      <c r="R304" s="285">
        <v>32</v>
      </c>
      <c r="S304" s="285">
        <v>25</v>
      </c>
      <c r="T304" s="285">
        <v>57</v>
      </c>
    </row>
    <row r="305" spans="2:20" x14ac:dyDescent="0.25">
      <c r="B305" s="229" t="s">
        <v>452</v>
      </c>
      <c r="C305" s="307">
        <v>127</v>
      </c>
      <c r="D305" s="307">
        <v>98</v>
      </c>
      <c r="E305" s="307">
        <v>225</v>
      </c>
      <c r="F305" s="307">
        <v>91</v>
      </c>
      <c r="G305" s="307">
        <v>68</v>
      </c>
      <c r="H305" s="284">
        <v>159</v>
      </c>
      <c r="I305" s="307">
        <v>4</v>
      </c>
      <c r="J305" s="284">
        <v>2</v>
      </c>
      <c r="K305" s="307">
        <v>6</v>
      </c>
      <c r="L305" s="284">
        <v>10</v>
      </c>
      <c r="M305" s="307">
        <v>17</v>
      </c>
      <c r="N305" s="284">
        <v>27</v>
      </c>
      <c r="O305" s="284">
        <v>0</v>
      </c>
      <c r="P305" s="284">
        <v>0</v>
      </c>
      <c r="Q305" s="284">
        <v>0</v>
      </c>
      <c r="R305" s="285">
        <v>232</v>
      </c>
      <c r="S305" s="285">
        <v>185</v>
      </c>
      <c r="T305" s="285">
        <v>417</v>
      </c>
    </row>
    <row r="306" spans="2:20" x14ac:dyDescent="0.25">
      <c r="B306" s="229" t="s">
        <v>453</v>
      </c>
      <c r="C306" s="307">
        <v>16</v>
      </c>
      <c r="D306" s="307">
        <v>15</v>
      </c>
      <c r="E306" s="307">
        <v>31</v>
      </c>
      <c r="F306" s="307">
        <v>8</v>
      </c>
      <c r="G306" s="307">
        <v>8</v>
      </c>
      <c r="H306" s="284">
        <v>16</v>
      </c>
      <c r="I306" s="307">
        <v>0</v>
      </c>
      <c r="J306" s="284">
        <v>0</v>
      </c>
      <c r="K306" s="307">
        <v>0</v>
      </c>
      <c r="L306" s="284">
        <v>3</v>
      </c>
      <c r="M306" s="307">
        <v>1</v>
      </c>
      <c r="N306" s="284">
        <v>4</v>
      </c>
      <c r="O306" s="284">
        <v>0</v>
      </c>
      <c r="P306" s="284">
        <v>0</v>
      </c>
      <c r="Q306" s="284">
        <v>0</v>
      </c>
      <c r="R306" s="285">
        <v>27</v>
      </c>
      <c r="S306" s="285">
        <v>24</v>
      </c>
      <c r="T306" s="285">
        <v>51</v>
      </c>
    </row>
    <row r="307" spans="2:20" x14ac:dyDescent="0.25">
      <c r="B307" s="229" t="s">
        <v>454</v>
      </c>
      <c r="C307" s="307">
        <v>5</v>
      </c>
      <c r="D307" s="307">
        <v>7</v>
      </c>
      <c r="E307" s="307">
        <v>12</v>
      </c>
      <c r="F307" s="307">
        <v>3</v>
      </c>
      <c r="G307" s="307">
        <v>1</v>
      </c>
      <c r="H307" s="284">
        <v>4</v>
      </c>
      <c r="I307" s="307">
        <v>0</v>
      </c>
      <c r="J307" s="284">
        <v>0</v>
      </c>
      <c r="K307" s="307">
        <v>0</v>
      </c>
      <c r="L307" s="284">
        <v>0</v>
      </c>
      <c r="M307" s="307">
        <v>0</v>
      </c>
      <c r="N307" s="284">
        <v>0</v>
      </c>
      <c r="O307" s="284">
        <v>0</v>
      </c>
      <c r="P307" s="284">
        <v>0</v>
      </c>
      <c r="Q307" s="284">
        <v>0</v>
      </c>
      <c r="R307" s="285">
        <v>8</v>
      </c>
      <c r="S307" s="285">
        <v>8</v>
      </c>
      <c r="T307" s="285">
        <v>16</v>
      </c>
    </row>
    <row r="308" spans="2:20" x14ac:dyDescent="0.25">
      <c r="B308" s="229" t="s">
        <v>455</v>
      </c>
      <c r="C308" s="307">
        <v>16</v>
      </c>
      <c r="D308" s="307">
        <v>17</v>
      </c>
      <c r="E308" s="307">
        <v>33</v>
      </c>
      <c r="F308" s="307">
        <v>5</v>
      </c>
      <c r="G308" s="307">
        <v>6</v>
      </c>
      <c r="H308" s="284">
        <v>11</v>
      </c>
      <c r="I308" s="307">
        <v>0</v>
      </c>
      <c r="J308" s="284">
        <v>0</v>
      </c>
      <c r="K308" s="307">
        <v>0</v>
      </c>
      <c r="L308" s="284">
        <v>0</v>
      </c>
      <c r="M308" s="307">
        <v>1</v>
      </c>
      <c r="N308" s="284">
        <v>1</v>
      </c>
      <c r="O308" s="284">
        <v>0</v>
      </c>
      <c r="P308" s="284">
        <v>0</v>
      </c>
      <c r="Q308" s="284">
        <v>0</v>
      </c>
      <c r="R308" s="285">
        <v>21</v>
      </c>
      <c r="S308" s="285">
        <v>24</v>
      </c>
      <c r="T308" s="285">
        <v>45</v>
      </c>
    </row>
    <row r="309" spans="2:20" x14ac:dyDescent="0.25">
      <c r="B309" s="229" t="s">
        <v>456</v>
      </c>
      <c r="C309" s="307">
        <v>25</v>
      </c>
      <c r="D309" s="307">
        <v>18</v>
      </c>
      <c r="E309" s="307">
        <v>43</v>
      </c>
      <c r="F309" s="307">
        <v>8</v>
      </c>
      <c r="G309" s="307">
        <v>8</v>
      </c>
      <c r="H309" s="284">
        <v>16</v>
      </c>
      <c r="I309" s="307">
        <v>1</v>
      </c>
      <c r="J309" s="284">
        <v>0</v>
      </c>
      <c r="K309" s="307">
        <v>1</v>
      </c>
      <c r="L309" s="284">
        <v>0</v>
      </c>
      <c r="M309" s="307">
        <v>1</v>
      </c>
      <c r="N309" s="284">
        <v>1</v>
      </c>
      <c r="O309" s="284">
        <v>0</v>
      </c>
      <c r="P309" s="284">
        <v>0</v>
      </c>
      <c r="Q309" s="284">
        <v>0</v>
      </c>
      <c r="R309" s="285">
        <v>34</v>
      </c>
      <c r="S309" s="285">
        <v>27</v>
      </c>
      <c r="T309" s="285">
        <v>61</v>
      </c>
    </row>
    <row r="310" spans="2:20" x14ac:dyDescent="0.25">
      <c r="B310" s="229" t="s">
        <v>457</v>
      </c>
      <c r="C310" s="307">
        <v>6</v>
      </c>
      <c r="D310" s="307">
        <v>16</v>
      </c>
      <c r="E310" s="307">
        <v>22</v>
      </c>
      <c r="F310" s="307">
        <v>3</v>
      </c>
      <c r="G310" s="307">
        <v>3</v>
      </c>
      <c r="H310" s="284">
        <v>6</v>
      </c>
      <c r="I310" s="307">
        <v>1</v>
      </c>
      <c r="J310" s="284">
        <v>3</v>
      </c>
      <c r="K310" s="307">
        <v>4</v>
      </c>
      <c r="L310" s="284">
        <v>1</v>
      </c>
      <c r="M310" s="307">
        <v>0</v>
      </c>
      <c r="N310" s="284">
        <v>1</v>
      </c>
      <c r="O310" s="284">
        <v>0</v>
      </c>
      <c r="P310" s="284">
        <v>0</v>
      </c>
      <c r="Q310" s="284">
        <v>0</v>
      </c>
      <c r="R310" s="285">
        <v>11</v>
      </c>
      <c r="S310" s="285">
        <v>22</v>
      </c>
      <c r="T310" s="285">
        <v>33</v>
      </c>
    </row>
    <row r="311" spans="2:20" x14ac:dyDescent="0.25">
      <c r="B311" s="229" t="s">
        <v>458</v>
      </c>
      <c r="C311" s="307">
        <v>1</v>
      </c>
      <c r="D311" s="307">
        <v>1</v>
      </c>
      <c r="E311" s="307">
        <v>2</v>
      </c>
      <c r="F311" s="307">
        <v>1</v>
      </c>
      <c r="G311" s="307">
        <v>3</v>
      </c>
      <c r="H311" s="284">
        <v>4</v>
      </c>
      <c r="I311" s="307">
        <v>0</v>
      </c>
      <c r="J311" s="284">
        <v>0</v>
      </c>
      <c r="K311" s="307">
        <v>0</v>
      </c>
      <c r="L311" s="284">
        <v>0</v>
      </c>
      <c r="M311" s="307">
        <v>1</v>
      </c>
      <c r="N311" s="284">
        <v>1</v>
      </c>
      <c r="O311" s="284">
        <v>0</v>
      </c>
      <c r="P311" s="284">
        <v>0</v>
      </c>
      <c r="Q311" s="284">
        <v>0</v>
      </c>
      <c r="R311" s="285">
        <v>2</v>
      </c>
      <c r="S311" s="285">
        <v>5</v>
      </c>
      <c r="T311" s="285">
        <v>7</v>
      </c>
    </row>
    <row r="312" spans="2:20" x14ac:dyDescent="0.25">
      <c r="B312" s="229" t="s">
        <v>459</v>
      </c>
      <c r="C312" s="307">
        <v>5</v>
      </c>
      <c r="D312" s="307">
        <v>5</v>
      </c>
      <c r="E312" s="307">
        <v>10</v>
      </c>
      <c r="F312" s="307">
        <v>2</v>
      </c>
      <c r="G312" s="307">
        <v>3</v>
      </c>
      <c r="H312" s="284">
        <v>5</v>
      </c>
      <c r="I312" s="307">
        <v>0</v>
      </c>
      <c r="J312" s="284">
        <v>0</v>
      </c>
      <c r="K312" s="307">
        <v>0</v>
      </c>
      <c r="L312" s="284">
        <v>0</v>
      </c>
      <c r="M312" s="307">
        <v>0</v>
      </c>
      <c r="N312" s="284">
        <v>0</v>
      </c>
      <c r="O312" s="284">
        <v>0</v>
      </c>
      <c r="P312" s="284">
        <v>0</v>
      </c>
      <c r="Q312" s="284">
        <v>0</v>
      </c>
      <c r="R312" s="285">
        <v>7</v>
      </c>
      <c r="S312" s="285">
        <v>8</v>
      </c>
      <c r="T312" s="285">
        <v>15</v>
      </c>
    </row>
    <row r="313" spans="2:20" x14ac:dyDescent="0.25">
      <c r="B313" s="229" t="s">
        <v>460</v>
      </c>
      <c r="C313" s="307">
        <v>9</v>
      </c>
      <c r="D313" s="307">
        <v>3</v>
      </c>
      <c r="E313" s="307">
        <v>12</v>
      </c>
      <c r="F313" s="307">
        <v>4</v>
      </c>
      <c r="G313" s="307">
        <v>6</v>
      </c>
      <c r="H313" s="284">
        <v>10</v>
      </c>
      <c r="I313" s="307">
        <v>0</v>
      </c>
      <c r="J313" s="284">
        <v>0</v>
      </c>
      <c r="K313" s="307">
        <v>0</v>
      </c>
      <c r="L313" s="284">
        <v>1</v>
      </c>
      <c r="M313" s="307">
        <v>0</v>
      </c>
      <c r="N313" s="284">
        <v>1</v>
      </c>
      <c r="O313" s="284">
        <v>0</v>
      </c>
      <c r="P313" s="284">
        <v>0</v>
      </c>
      <c r="Q313" s="284">
        <v>0</v>
      </c>
      <c r="R313" s="285">
        <v>14</v>
      </c>
      <c r="S313" s="285">
        <v>9</v>
      </c>
      <c r="T313" s="285">
        <v>23</v>
      </c>
    </row>
    <row r="314" spans="2:20" x14ac:dyDescent="0.25">
      <c r="B314" s="229" t="s">
        <v>461</v>
      </c>
      <c r="C314" s="307">
        <v>4</v>
      </c>
      <c r="D314" s="307">
        <v>2</v>
      </c>
      <c r="E314" s="307">
        <v>6</v>
      </c>
      <c r="F314" s="307">
        <v>4</v>
      </c>
      <c r="G314" s="307">
        <v>3</v>
      </c>
      <c r="H314" s="284">
        <v>7</v>
      </c>
      <c r="I314" s="307">
        <v>1</v>
      </c>
      <c r="J314" s="284">
        <v>0</v>
      </c>
      <c r="K314" s="307">
        <v>1</v>
      </c>
      <c r="L314" s="284">
        <v>0</v>
      </c>
      <c r="M314" s="307">
        <v>0</v>
      </c>
      <c r="N314" s="284">
        <v>0</v>
      </c>
      <c r="O314" s="284">
        <v>0</v>
      </c>
      <c r="P314" s="284">
        <v>0</v>
      </c>
      <c r="Q314" s="284">
        <v>0</v>
      </c>
      <c r="R314" s="285">
        <v>9</v>
      </c>
      <c r="S314" s="285">
        <v>5</v>
      </c>
      <c r="T314" s="285">
        <v>14</v>
      </c>
    </row>
    <row r="315" spans="2:20" x14ac:dyDescent="0.25">
      <c r="B315" s="229" t="s">
        <v>462</v>
      </c>
      <c r="C315" s="307">
        <v>17</v>
      </c>
      <c r="D315" s="307">
        <v>16</v>
      </c>
      <c r="E315" s="307">
        <v>33</v>
      </c>
      <c r="F315" s="307">
        <v>12</v>
      </c>
      <c r="G315" s="307">
        <v>11</v>
      </c>
      <c r="H315" s="284">
        <v>23</v>
      </c>
      <c r="I315" s="307">
        <v>0</v>
      </c>
      <c r="J315" s="284">
        <v>0</v>
      </c>
      <c r="K315" s="307">
        <v>0</v>
      </c>
      <c r="L315" s="284">
        <v>1</v>
      </c>
      <c r="M315" s="307">
        <v>2</v>
      </c>
      <c r="N315" s="284">
        <v>3</v>
      </c>
      <c r="O315" s="284">
        <v>0</v>
      </c>
      <c r="P315" s="284">
        <v>0</v>
      </c>
      <c r="Q315" s="284">
        <v>0</v>
      </c>
      <c r="R315" s="285">
        <v>30</v>
      </c>
      <c r="S315" s="285">
        <v>29</v>
      </c>
      <c r="T315" s="285">
        <v>59</v>
      </c>
    </row>
    <row r="316" spans="2:20" x14ac:dyDescent="0.25">
      <c r="B316" s="229" t="s">
        <v>463</v>
      </c>
      <c r="C316" s="307">
        <v>7</v>
      </c>
      <c r="D316" s="307">
        <v>10</v>
      </c>
      <c r="E316" s="307">
        <v>17</v>
      </c>
      <c r="F316" s="307">
        <v>5</v>
      </c>
      <c r="G316" s="307">
        <v>3</v>
      </c>
      <c r="H316" s="284">
        <v>8</v>
      </c>
      <c r="I316" s="307">
        <v>0</v>
      </c>
      <c r="J316" s="284">
        <v>0</v>
      </c>
      <c r="K316" s="307">
        <v>0</v>
      </c>
      <c r="L316" s="284">
        <v>0</v>
      </c>
      <c r="M316" s="307">
        <v>1</v>
      </c>
      <c r="N316" s="284">
        <v>1</v>
      </c>
      <c r="O316" s="284">
        <v>0</v>
      </c>
      <c r="P316" s="284">
        <v>0</v>
      </c>
      <c r="Q316" s="284">
        <v>0</v>
      </c>
      <c r="R316" s="285">
        <v>12</v>
      </c>
      <c r="S316" s="285">
        <v>14</v>
      </c>
      <c r="T316" s="285">
        <v>26</v>
      </c>
    </row>
    <row r="317" spans="2:20" x14ac:dyDescent="0.25">
      <c r="B317" s="229" t="s">
        <v>464</v>
      </c>
      <c r="C317" s="307">
        <v>4</v>
      </c>
      <c r="D317" s="307">
        <v>2</v>
      </c>
      <c r="E317" s="307">
        <v>6</v>
      </c>
      <c r="F317" s="307">
        <v>3</v>
      </c>
      <c r="G317" s="307">
        <v>0</v>
      </c>
      <c r="H317" s="284">
        <v>3</v>
      </c>
      <c r="I317" s="307">
        <v>0</v>
      </c>
      <c r="J317" s="284">
        <v>0</v>
      </c>
      <c r="K317" s="307">
        <v>0</v>
      </c>
      <c r="L317" s="284">
        <v>1</v>
      </c>
      <c r="M317" s="307">
        <v>1</v>
      </c>
      <c r="N317" s="284">
        <v>2</v>
      </c>
      <c r="O317" s="284">
        <v>0</v>
      </c>
      <c r="P317" s="284">
        <v>0</v>
      </c>
      <c r="Q317" s="284">
        <v>0</v>
      </c>
      <c r="R317" s="285">
        <v>8</v>
      </c>
      <c r="S317" s="285">
        <v>3</v>
      </c>
      <c r="T317" s="285">
        <v>11</v>
      </c>
    </row>
    <row r="318" spans="2:20" x14ac:dyDescent="0.25">
      <c r="B318" s="229" t="s">
        <v>465</v>
      </c>
      <c r="C318" s="307">
        <v>48</v>
      </c>
      <c r="D318" s="307">
        <v>41</v>
      </c>
      <c r="E318" s="307">
        <v>89</v>
      </c>
      <c r="F318" s="307">
        <v>29</v>
      </c>
      <c r="G318" s="307">
        <v>25</v>
      </c>
      <c r="H318" s="284">
        <v>54</v>
      </c>
      <c r="I318" s="307">
        <v>0</v>
      </c>
      <c r="J318" s="284">
        <v>2</v>
      </c>
      <c r="K318" s="307">
        <v>2</v>
      </c>
      <c r="L318" s="284">
        <v>3</v>
      </c>
      <c r="M318" s="307">
        <v>6</v>
      </c>
      <c r="N318" s="284">
        <v>9</v>
      </c>
      <c r="O318" s="284">
        <v>0</v>
      </c>
      <c r="P318" s="284">
        <v>0</v>
      </c>
      <c r="Q318" s="284">
        <v>0</v>
      </c>
      <c r="R318" s="285">
        <v>80</v>
      </c>
      <c r="S318" s="285">
        <v>74</v>
      </c>
      <c r="T318" s="285">
        <v>154</v>
      </c>
    </row>
    <row r="319" spans="2:20" x14ac:dyDescent="0.25">
      <c r="B319" s="229" t="s">
        <v>466</v>
      </c>
      <c r="C319" s="307">
        <v>1</v>
      </c>
      <c r="D319" s="307">
        <v>3</v>
      </c>
      <c r="E319" s="307">
        <v>4</v>
      </c>
      <c r="F319" s="307">
        <v>3</v>
      </c>
      <c r="G319" s="307">
        <v>3</v>
      </c>
      <c r="H319" s="284">
        <v>6</v>
      </c>
      <c r="I319" s="307">
        <v>0</v>
      </c>
      <c r="J319" s="284">
        <v>0</v>
      </c>
      <c r="K319" s="307">
        <v>0</v>
      </c>
      <c r="L319" s="284">
        <v>0</v>
      </c>
      <c r="M319" s="307">
        <v>0</v>
      </c>
      <c r="N319" s="284">
        <v>0</v>
      </c>
      <c r="O319" s="284">
        <v>0</v>
      </c>
      <c r="P319" s="284">
        <v>0</v>
      </c>
      <c r="Q319" s="284">
        <v>0</v>
      </c>
      <c r="R319" s="285">
        <v>4</v>
      </c>
      <c r="S319" s="285">
        <v>6</v>
      </c>
      <c r="T319" s="285">
        <v>10</v>
      </c>
    </row>
    <row r="320" spans="2:20" x14ac:dyDescent="0.25">
      <c r="B320" s="229" t="s">
        <v>467</v>
      </c>
      <c r="C320" s="307">
        <v>11</v>
      </c>
      <c r="D320" s="307">
        <v>11</v>
      </c>
      <c r="E320" s="307">
        <v>22</v>
      </c>
      <c r="F320" s="307">
        <v>14</v>
      </c>
      <c r="G320" s="307">
        <v>15</v>
      </c>
      <c r="H320" s="284">
        <v>29</v>
      </c>
      <c r="I320" s="307">
        <v>0</v>
      </c>
      <c r="J320" s="284">
        <v>1</v>
      </c>
      <c r="K320" s="307">
        <v>1</v>
      </c>
      <c r="L320" s="284">
        <v>0</v>
      </c>
      <c r="M320" s="307">
        <v>2</v>
      </c>
      <c r="N320" s="284">
        <v>2</v>
      </c>
      <c r="O320" s="284">
        <v>0</v>
      </c>
      <c r="P320" s="284">
        <v>0</v>
      </c>
      <c r="Q320" s="284">
        <v>0</v>
      </c>
      <c r="R320" s="285">
        <v>25</v>
      </c>
      <c r="S320" s="285">
        <v>29</v>
      </c>
      <c r="T320" s="285">
        <v>54</v>
      </c>
    </row>
    <row r="321" spans="2:20" x14ac:dyDescent="0.25">
      <c r="B321" s="229" t="s">
        <v>468</v>
      </c>
      <c r="C321" s="307">
        <v>6</v>
      </c>
      <c r="D321" s="307">
        <v>9</v>
      </c>
      <c r="E321" s="307">
        <v>15</v>
      </c>
      <c r="F321" s="307">
        <v>4</v>
      </c>
      <c r="G321" s="307">
        <v>2</v>
      </c>
      <c r="H321" s="284">
        <v>6</v>
      </c>
      <c r="I321" s="307">
        <v>0</v>
      </c>
      <c r="J321" s="284">
        <v>0</v>
      </c>
      <c r="K321" s="307">
        <v>0</v>
      </c>
      <c r="L321" s="284">
        <v>0</v>
      </c>
      <c r="M321" s="307">
        <v>1</v>
      </c>
      <c r="N321" s="284">
        <v>1</v>
      </c>
      <c r="O321" s="284">
        <v>0</v>
      </c>
      <c r="P321" s="284">
        <v>0</v>
      </c>
      <c r="Q321" s="284">
        <v>0</v>
      </c>
      <c r="R321" s="285">
        <v>10</v>
      </c>
      <c r="S321" s="285">
        <v>12</v>
      </c>
      <c r="T321" s="285">
        <v>22</v>
      </c>
    </row>
    <row r="322" spans="2:20" x14ac:dyDescent="0.25">
      <c r="B322" s="229" t="s">
        <v>469</v>
      </c>
      <c r="C322" s="307">
        <v>2</v>
      </c>
      <c r="D322" s="307">
        <v>5</v>
      </c>
      <c r="E322" s="307">
        <v>7</v>
      </c>
      <c r="F322" s="307">
        <v>1</v>
      </c>
      <c r="G322" s="307">
        <v>1</v>
      </c>
      <c r="H322" s="284">
        <v>2</v>
      </c>
      <c r="I322" s="307">
        <v>0</v>
      </c>
      <c r="J322" s="284">
        <v>0</v>
      </c>
      <c r="K322" s="307">
        <v>0</v>
      </c>
      <c r="L322" s="284">
        <v>0</v>
      </c>
      <c r="M322" s="307">
        <v>1</v>
      </c>
      <c r="N322" s="284">
        <v>1</v>
      </c>
      <c r="O322" s="284">
        <v>0</v>
      </c>
      <c r="P322" s="284">
        <v>0</v>
      </c>
      <c r="Q322" s="284">
        <v>0</v>
      </c>
      <c r="R322" s="285">
        <v>3</v>
      </c>
      <c r="S322" s="285">
        <v>7</v>
      </c>
      <c r="T322" s="285">
        <v>10</v>
      </c>
    </row>
    <row r="323" spans="2:20" x14ac:dyDescent="0.25">
      <c r="B323" s="229" t="s">
        <v>470</v>
      </c>
      <c r="C323" s="307">
        <v>15</v>
      </c>
      <c r="D323" s="307">
        <v>7</v>
      </c>
      <c r="E323" s="307">
        <v>22</v>
      </c>
      <c r="F323" s="307">
        <v>7</v>
      </c>
      <c r="G323" s="307">
        <v>4</v>
      </c>
      <c r="H323" s="284">
        <v>11</v>
      </c>
      <c r="I323" s="307">
        <v>1</v>
      </c>
      <c r="J323" s="284">
        <v>0</v>
      </c>
      <c r="K323" s="307">
        <v>1</v>
      </c>
      <c r="L323" s="284">
        <v>1</v>
      </c>
      <c r="M323" s="307">
        <v>2</v>
      </c>
      <c r="N323" s="284">
        <v>3</v>
      </c>
      <c r="O323" s="284">
        <v>0</v>
      </c>
      <c r="P323" s="284">
        <v>0</v>
      </c>
      <c r="Q323" s="284">
        <v>0</v>
      </c>
      <c r="R323" s="285">
        <v>24</v>
      </c>
      <c r="S323" s="285">
        <v>13</v>
      </c>
      <c r="T323" s="285">
        <v>37</v>
      </c>
    </row>
    <row r="324" spans="2:20" x14ac:dyDescent="0.25">
      <c r="B324" s="229" t="s">
        <v>471</v>
      </c>
      <c r="C324" s="307">
        <v>6</v>
      </c>
      <c r="D324" s="307">
        <v>6</v>
      </c>
      <c r="E324" s="307">
        <v>12</v>
      </c>
      <c r="F324" s="307">
        <v>3</v>
      </c>
      <c r="G324" s="307">
        <v>10</v>
      </c>
      <c r="H324" s="284">
        <v>13</v>
      </c>
      <c r="I324" s="307">
        <v>1</v>
      </c>
      <c r="J324" s="284">
        <v>1</v>
      </c>
      <c r="K324" s="307">
        <v>2</v>
      </c>
      <c r="L324" s="284">
        <v>0</v>
      </c>
      <c r="M324" s="307">
        <v>1</v>
      </c>
      <c r="N324" s="284">
        <v>1</v>
      </c>
      <c r="O324" s="284">
        <v>0</v>
      </c>
      <c r="P324" s="284">
        <v>0</v>
      </c>
      <c r="Q324" s="284">
        <v>0</v>
      </c>
      <c r="R324" s="285">
        <v>10</v>
      </c>
      <c r="S324" s="285">
        <v>18</v>
      </c>
      <c r="T324" s="285">
        <v>28</v>
      </c>
    </row>
    <row r="325" spans="2:20" x14ac:dyDescent="0.25">
      <c r="B325" s="260" t="s">
        <v>25</v>
      </c>
      <c r="C325" s="282">
        <v>351</v>
      </c>
      <c r="D325" s="282">
        <v>305</v>
      </c>
      <c r="E325" s="282">
        <v>656</v>
      </c>
      <c r="F325" s="282">
        <v>220</v>
      </c>
      <c r="G325" s="282">
        <v>191</v>
      </c>
      <c r="H325" s="285">
        <v>411</v>
      </c>
      <c r="I325" s="282">
        <v>9</v>
      </c>
      <c r="J325" s="285">
        <v>9</v>
      </c>
      <c r="K325" s="282">
        <v>18</v>
      </c>
      <c r="L325" s="285">
        <v>23</v>
      </c>
      <c r="M325" s="282">
        <v>42</v>
      </c>
      <c r="N325" s="285">
        <v>65</v>
      </c>
      <c r="O325" s="285">
        <v>0</v>
      </c>
      <c r="P325" s="285">
        <v>0</v>
      </c>
      <c r="Q325" s="285">
        <v>0</v>
      </c>
      <c r="R325" s="285">
        <v>603</v>
      </c>
      <c r="S325" s="285">
        <v>547</v>
      </c>
      <c r="T325" s="285">
        <v>1150</v>
      </c>
    </row>
    <row r="326" spans="2:20" ht="83.25" customHeight="1" x14ac:dyDescent="0.25">
      <c r="B326" s="454" t="s">
        <v>866</v>
      </c>
      <c r="C326" s="454"/>
      <c r="D326" s="454"/>
      <c r="E326" s="454"/>
      <c r="F326" s="454"/>
      <c r="G326" s="454"/>
      <c r="H326" s="454"/>
      <c r="I326" s="454"/>
      <c r="J326" s="454"/>
      <c r="K326" s="454"/>
      <c r="L326" s="454"/>
      <c r="M326" s="454"/>
      <c r="N326" s="454"/>
      <c r="O326" s="454"/>
      <c r="P326" s="454"/>
      <c r="Q326" s="454"/>
    </row>
    <row r="327" spans="2:20" x14ac:dyDescent="0.25">
      <c r="B327" s="157"/>
      <c r="C327" s="157"/>
      <c r="D327" s="157"/>
      <c r="E327"/>
      <c r="F327"/>
      <c r="G327"/>
    </row>
    <row r="328" spans="2:20" x14ac:dyDescent="0.25">
      <c r="B328" s="157"/>
      <c r="C328" s="157"/>
      <c r="D328" s="157"/>
      <c r="E328"/>
      <c r="F328"/>
      <c r="G328"/>
    </row>
    <row r="329" spans="2:20" x14ac:dyDescent="0.25">
      <c r="B329" s="186" t="s">
        <v>908</v>
      </c>
      <c r="C329"/>
      <c r="D329"/>
      <c r="E329"/>
      <c r="F329"/>
      <c r="G329"/>
    </row>
    <row r="330" spans="2:20" x14ac:dyDescent="0.25">
      <c r="B330" s="186"/>
      <c r="C330"/>
      <c r="D330"/>
      <c r="E330"/>
      <c r="F330"/>
      <c r="G330"/>
    </row>
    <row r="331" spans="2:20" ht="15" customHeight="1" x14ac:dyDescent="0.25">
      <c r="B331" s="426" t="s">
        <v>532</v>
      </c>
      <c r="C331" s="475" t="s">
        <v>477</v>
      </c>
      <c r="D331" s="475"/>
      <c r="E331" s="475"/>
      <c r="F331" s="475"/>
      <c r="G331" s="475"/>
      <c r="H331" s="475"/>
      <c r="I331" s="475"/>
      <c r="J331" s="475"/>
      <c r="K331" s="475"/>
      <c r="L331" s="475"/>
      <c r="M331" s="475"/>
      <c r="N331" s="475"/>
      <c r="O331" s="475"/>
      <c r="P331" s="475"/>
      <c r="Q331" s="475"/>
      <c r="R331" s="469" t="s">
        <v>877</v>
      </c>
      <c r="S331" s="470"/>
      <c r="T331" s="471"/>
    </row>
    <row r="332" spans="2:20" ht="15" customHeight="1" x14ac:dyDescent="0.25">
      <c r="B332" s="427"/>
      <c r="C332" s="463" t="s">
        <v>849</v>
      </c>
      <c r="D332" s="463"/>
      <c r="E332" s="463"/>
      <c r="F332" s="463" t="s">
        <v>850</v>
      </c>
      <c r="G332" s="463"/>
      <c r="H332" s="463"/>
      <c r="I332" s="463" t="s">
        <v>3</v>
      </c>
      <c r="J332" s="463"/>
      <c r="K332" s="463"/>
      <c r="L332" s="463" t="s">
        <v>5</v>
      </c>
      <c r="M332" s="463"/>
      <c r="N332" s="463"/>
      <c r="O332" s="463" t="s">
        <v>859</v>
      </c>
      <c r="P332" s="463"/>
      <c r="Q332" s="463"/>
      <c r="R332" s="472"/>
      <c r="S332" s="473"/>
      <c r="T332" s="474"/>
    </row>
    <row r="333" spans="2:20" x14ac:dyDescent="0.25">
      <c r="B333" s="428"/>
      <c r="C333" s="264" t="s">
        <v>73</v>
      </c>
      <c r="D333" s="264" t="s">
        <v>74</v>
      </c>
      <c r="E333" s="264" t="s">
        <v>25</v>
      </c>
      <c r="F333" s="264" t="s">
        <v>73</v>
      </c>
      <c r="G333" s="264" t="s">
        <v>74</v>
      </c>
      <c r="H333" s="264" t="s">
        <v>25</v>
      </c>
      <c r="I333" s="264" t="s">
        <v>73</v>
      </c>
      <c r="J333" s="264" t="s">
        <v>74</v>
      </c>
      <c r="K333" s="264" t="s">
        <v>25</v>
      </c>
      <c r="L333" s="264" t="s">
        <v>73</v>
      </c>
      <c r="M333" s="264" t="s">
        <v>74</v>
      </c>
      <c r="N333" s="264" t="s">
        <v>25</v>
      </c>
      <c r="O333" s="264" t="s">
        <v>73</v>
      </c>
      <c r="P333" s="264" t="s">
        <v>74</v>
      </c>
      <c r="Q333" s="264" t="s">
        <v>25</v>
      </c>
      <c r="R333" s="274" t="s">
        <v>73</v>
      </c>
      <c r="S333" s="274" t="s">
        <v>74</v>
      </c>
      <c r="T333" s="274" t="s">
        <v>25</v>
      </c>
    </row>
    <row r="334" spans="2:20" x14ac:dyDescent="0.25">
      <c r="B334" s="156" t="s">
        <v>269</v>
      </c>
      <c r="C334" s="316">
        <v>3</v>
      </c>
      <c r="D334" s="316">
        <v>2</v>
      </c>
      <c r="E334" s="316">
        <v>5</v>
      </c>
      <c r="F334" s="320">
        <v>0</v>
      </c>
      <c r="G334" s="307">
        <v>3</v>
      </c>
      <c r="H334" s="284">
        <v>3</v>
      </c>
      <c r="I334" s="307">
        <v>0</v>
      </c>
      <c r="J334" s="284">
        <v>1</v>
      </c>
      <c r="K334" s="307">
        <v>1</v>
      </c>
      <c r="L334" s="284">
        <v>0</v>
      </c>
      <c r="M334" s="307">
        <v>0</v>
      </c>
      <c r="N334" s="284">
        <v>0</v>
      </c>
      <c r="O334" s="284">
        <v>0</v>
      </c>
      <c r="P334" s="284">
        <v>0</v>
      </c>
      <c r="Q334" s="284">
        <v>0</v>
      </c>
      <c r="R334" s="285">
        <v>3</v>
      </c>
      <c r="S334" s="285">
        <v>6</v>
      </c>
      <c r="T334" s="285">
        <v>9</v>
      </c>
    </row>
    <row r="335" spans="2:20" x14ac:dyDescent="0.25">
      <c r="B335" s="136" t="s">
        <v>270</v>
      </c>
      <c r="C335" s="316">
        <v>5</v>
      </c>
      <c r="D335" s="316">
        <v>2</v>
      </c>
      <c r="E335" s="316">
        <v>7</v>
      </c>
      <c r="F335" s="320">
        <v>1</v>
      </c>
      <c r="G335" s="307">
        <v>2</v>
      </c>
      <c r="H335" s="284">
        <v>3</v>
      </c>
      <c r="I335" s="307">
        <v>0</v>
      </c>
      <c r="J335" s="284">
        <v>0</v>
      </c>
      <c r="K335" s="307">
        <v>0</v>
      </c>
      <c r="L335" s="284">
        <v>0</v>
      </c>
      <c r="M335" s="307">
        <v>0</v>
      </c>
      <c r="N335" s="284">
        <v>0</v>
      </c>
      <c r="O335" s="284">
        <v>0</v>
      </c>
      <c r="P335" s="284">
        <v>0</v>
      </c>
      <c r="Q335" s="284">
        <v>0</v>
      </c>
      <c r="R335" s="285">
        <v>6</v>
      </c>
      <c r="S335" s="285">
        <v>4</v>
      </c>
      <c r="T335" s="285">
        <v>10</v>
      </c>
    </row>
    <row r="336" spans="2:20" x14ac:dyDescent="0.25">
      <c r="B336" s="136" t="s">
        <v>271</v>
      </c>
      <c r="C336" s="316">
        <v>28</v>
      </c>
      <c r="D336" s="316">
        <v>34</v>
      </c>
      <c r="E336" s="316">
        <v>62</v>
      </c>
      <c r="F336" s="320">
        <v>20</v>
      </c>
      <c r="G336" s="307">
        <v>13</v>
      </c>
      <c r="H336" s="284">
        <v>33</v>
      </c>
      <c r="I336" s="307">
        <v>0</v>
      </c>
      <c r="J336" s="284">
        <v>1</v>
      </c>
      <c r="K336" s="307">
        <v>1</v>
      </c>
      <c r="L336" s="284">
        <v>1</v>
      </c>
      <c r="M336" s="307">
        <v>5</v>
      </c>
      <c r="N336" s="284">
        <v>6</v>
      </c>
      <c r="O336" s="284">
        <v>0</v>
      </c>
      <c r="P336" s="284">
        <v>0</v>
      </c>
      <c r="Q336" s="284">
        <v>0</v>
      </c>
      <c r="R336" s="285">
        <v>49</v>
      </c>
      <c r="S336" s="285">
        <v>53</v>
      </c>
      <c r="T336" s="285">
        <v>102</v>
      </c>
    </row>
    <row r="337" spans="2:20" x14ac:dyDescent="0.25">
      <c r="B337" s="136" t="s">
        <v>272</v>
      </c>
      <c r="C337" s="316">
        <v>15</v>
      </c>
      <c r="D337" s="316">
        <v>16</v>
      </c>
      <c r="E337" s="316">
        <v>31</v>
      </c>
      <c r="F337" s="320">
        <v>9</v>
      </c>
      <c r="G337" s="307">
        <v>9</v>
      </c>
      <c r="H337" s="284">
        <v>18</v>
      </c>
      <c r="I337" s="307">
        <v>1</v>
      </c>
      <c r="J337" s="284">
        <v>2</v>
      </c>
      <c r="K337" s="307">
        <v>3</v>
      </c>
      <c r="L337" s="284">
        <v>1</v>
      </c>
      <c r="M337" s="307">
        <v>1</v>
      </c>
      <c r="N337" s="284">
        <v>2</v>
      </c>
      <c r="O337" s="284">
        <v>0</v>
      </c>
      <c r="P337" s="284">
        <v>0</v>
      </c>
      <c r="Q337" s="284">
        <v>0</v>
      </c>
      <c r="R337" s="285">
        <v>26</v>
      </c>
      <c r="S337" s="285">
        <v>28</v>
      </c>
      <c r="T337" s="285">
        <v>54</v>
      </c>
    </row>
    <row r="338" spans="2:20" x14ac:dyDescent="0.25">
      <c r="B338" s="136" t="s">
        <v>495</v>
      </c>
      <c r="C338" s="316">
        <v>24</v>
      </c>
      <c r="D338" s="316">
        <v>25</v>
      </c>
      <c r="E338" s="316">
        <v>49</v>
      </c>
      <c r="F338" s="320">
        <v>15</v>
      </c>
      <c r="G338" s="307">
        <v>14</v>
      </c>
      <c r="H338" s="284">
        <v>29</v>
      </c>
      <c r="I338" s="307">
        <v>0</v>
      </c>
      <c r="J338" s="284">
        <v>1</v>
      </c>
      <c r="K338" s="307">
        <v>1</v>
      </c>
      <c r="L338" s="284">
        <v>1</v>
      </c>
      <c r="M338" s="307">
        <v>2</v>
      </c>
      <c r="N338" s="284">
        <v>3</v>
      </c>
      <c r="O338" s="284">
        <v>0</v>
      </c>
      <c r="P338" s="284">
        <v>0</v>
      </c>
      <c r="Q338" s="284">
        <v>0</v>
      </c>
      <c r="R338" s="285">
        <v>40</v>
      </c>
      <c r="S338" s="285">
        <v>42</v>
      </c>
      <c r="T338" s="285">
        <v>82</v>
      </c>
    </row>
    <row r="339" spans="2:20" x14ac:dyDescent="0.25">
      <c r="B339" s="136" t="s">
        <v>273</v>
      </c>
      <c r="C339" s="316">
        <v>48</v>
      </c>
      <c r="D339" s="316">
        <v>31</v>
      </c>
      <c r="E339" s="316">
        <v>79</v>
      </c>
      <c r="F339" s="320">
        <v>40</v>
      </c>
      <c r="G339" s="307">
        <v>27</v>
      </c>
      <c r="H339" s="284">
        <v>67</v>
      </c>
      <c r="I339" s="307">
        <v>0</v>
      </c>
      <c r="J339" s="284">
        <v>0</v>
      </c>
      <c r="K339" s="307">
        <v>0</v>
      </c>
      <c r="L339" s="284">
        <v>5</v>
      </c>
      <c r="M339" s="307">
        <v>2</v>
      </c>
      <c r="N339" s="284">
        <v>7</v>
      </c>
      <c r="O339" s="284">
        <v>0</v>
      </c>
      <c r="P339" s="284">
        <v>0</v>
      </c>
      <c r="Q339" s="284">
        <v>0</v>
      </c>
      <c r="R339" s="285">
        <v>93</v>
      </c>
      <c r="S339" s="285">
        <v>60</v>
      </c>
      <c r="T339" s="285">
        <v>153</v>
      </c>
    </row>
    <row r="340" spans="2:20" x14ac:dyDescent="0.25">
      <c r="B340" s="136" t="s">
        <v>274</v>
      </c>
      <c r="C340" s="316">
        <v>126</v>
      </c>
      <c r="D340" s="316">
        <v>120</v>
      </c>
      <c r="E340" s="316">
        <v>246</v>
      </c>
      <c r="F340" s="320">
        <v>129</v>
      </c>
      <c r="G340" s="307">
        <v>75</v>
      </c>
      <c r="H340" s="284">
        <v>204</v>
      </c>
      <c r="I340" s="307">
        <v>2</v>
      </c>
      <c r="J340" s="284">
        <v>9</v>
      </c>
      <c r="K340" s="307">
        <v>11</v>
      </c>
      <c r="L340" s="284">
        <v>8</v>
      </c>
      <c r="M340" s="307">
        <v>11</v>
      </c>
      <c r="N340" s="284">
        <v>19</v>
      </c>
      <c r="O340" s="284">
        <v>0</v>
      </c>
      <c r="P340" s="284">
        <v>0</v>
      </c>
      <c r="Q340" s="284">
        <v>0</v>
      </c>
      <c r="R340" s="285">
        <v>265</v>
      </c>
      <c r="S340" s="285">
        <v>215</v>
      </c>
      <c r="T340" s="285">
        <v>480</v>
      </c>
    </row>
    <row r="341" spans="2:20" x14ac:dyDescent="0.25">
      <c r="B341" s="136" t="s">
        <v>275</v>
      </c>
      <c r="C341" s="316">
        <v>3</v>
      </c>
      <c r="D341" s="316">
        <v>11</v>
      </c>
      <c r="E341" s="316">
        <v>14</v>
      </c>
      <c r="F341" s="320">
        <v>3</v>
      </c>
      <c r="G341" s="307">
        <v>2</v>
      </c>
      <c r="H341" s="284">
        <v>5</v>
      </c>
      <c r="I341" s="307">
        <v>0</v>
      </c>
      <c r="J341" s="284">
        <v>0</v>
      </c>
      <c r="K341" s="307">
        <v>0</v>
      </c>
      <c r="L341" s="284">
        <v>0</v>
      </c>
      <c r="M341" s="307">
        <v>0</v>
      </c>
      <c r="N341" s="284">
        <v>0</v>
      </c>
      <c r="O341" s="284">
        <v>0</v>
      </c>
      <c r="P341" s="284">
        <v>0</v>
      </c>
      <c r="Q341" s="284">
        <v>0</v>
      </c>
      <c r="R341" s="285">
        <v>6</v>
      </c>
      <c r="S341" s="285">
        <v>13</v>
      </c>
      <c r="T341" s="285">
        <v>19</v>
      </c>
    </row>
    <row r="342" spans="2:20" x14ac:dyDescent="0.25">
      <c r="B342" s="136" t="s">
        <v>276</v>
      </c>
      <c r="C342" s="316">
        <v>81</v>
      </c>
      <c r="D342" s="316">
        <v>72</v>
      </c>
      <c r="E342" s="316">
        <v>153</v>
      </c>
      <c r="F342" s="320">
        <v>51</v>
      </c>
      <c r="G342" s="307">
        <v>48</v>
      </c>
      <c r="H342" s="284">
        <v>99</v>
      </c>
      <c r="I342" s="307">
        <v>0</v>
      </c>
      <c r="J342" s="284">
        <v>1</v>
      </c>
      <c r="K342" s="307">
        <v>1</v>
      </c>
      <c r="L342" s="284">
        <v>6</v>
      </c>
      <c r="M342" s="307">
        <v>8</v>
      </c>
      <c r="N342" s="284">
        <v>14</v>
      </c>
      <c r="O342" s="284">
        <v>0</v>
      </c>
      <c r="P342" s="284">
        <v>0</v>
      </c>
      <c r="Q342" s="284">
        <v>0</v>
      </c>
      <c r="R342" s="285">
        <v>138</v>
      </c>
      <c r="S342" s="285">
        <v>129</v>
      </c>
      <c r="T342" s="285">
        <v>267</v>
      </c>
    </row>
    <row r="343" spans="2:20" x14ac:dyDescent="0.25">
      <c r="B343" s="136" t="s">
        <v>277</v>
      </c>
      <c r="C343" s="316">
        <v>18</v>
      </c>
      <c r="D343" s="316">
        <v>18</v>
      </c>
      <c r="E343" s="316">
        <v>36</v>
      </c>
      <c r="F343" s="320">
        <v>19</v>
      </c>
      <c r="G343" s="307">
        <v>18</v>
      </c>
      <c r="H343" s="284">
        <v>37</v>
      </c>
      <c r="I343" s="307">
        <v>0</v>
      </c>
      <c r="J343" s="284">
        <v>0</v>
      </c>
      <c r="K343" s="307">
        <v>0</v>
      </c>
      <c r="L343" s="284">
        <v>0</v>
      </c>
      <c r="M343" s="307">
        <v>1</v>
      </c>
      <c r="N343" s="284">
        <v>1</v>
      </c>
      <c r="O343" s="284">
        <v>0</v>
      </c>
      <c r="P343" s="284">
        <v>0</v>
      </c>
      <c r="Q343" s="284">
        <v>0</v>
      </c>
      <c r="R343" s="285">
        <v>37</v>
      </c>
      <c r="S343" s="285">
        <v>37</v>
      </c>
      <c r="T343" s="285">
        <v>74</v>
      </c>
    </row>
    <row r="344" spans="2:20" x14ac:dyDescent="0.25">
      <c r="B344" s="136" t="s">
        <v>278</v>
      </c>
      <c r="C344" s="316">
        <v>12</v>
      </c>
      <c r="D344" s="316">
        <v>6</v>
      </c>
      <c r="E344" s="316">
        <v>18</v>
      </c>
      <c r="F344" s="320">
        <v>4</v>
      </c>
      <c r="G344" s="307">
        <v>3</v>
      </c>
      <c r="H344" s="284">
        <v>7</v>
      </c>
      <c r="I344" s="307">
        <v>2</v>
      </c>
      <c r="J344" s="284">
        <v>1</v>
      </c>
      <c r="K344" s="307">
        <v>3</v>
      </c>
      <c r="L344" s="284">
        <v>0</v>
      </c>
      <c r="M344" s="307">
        <v>1</v>
      </c>
      <c r="N344" s="284">
        <v>1</v>
      </c>
      <c r="O344" s="284">
        <v>0</v>
      </c>
      <c r="P344" s="284">
        <v>0</v>
      </c>
      <c r="Q344" s="284">
        <v>0</v>
      </c>
      <c r="R344" s="285">
        <v>18</v>
      </c>
      <c r="S344" s="285">
        <v>11</v>
      </c>
      <c r="T344" s="285">
        <v>29</v>
      </c>
    </row>
    <row r="345" spans="2:20" x14ac:dyDescent="0.25">
      <c r="B345" s="136" t="s">
        <v>279</v>
      </c>
      <c r="C345" s="316">
        <v>54</v>
      </c>
      <c r="D345" s="316">
        <v>46</v>
      </c>
      <c r="E345" s="316">
        <v>100</v>
      </c>
      <c r="F345" s="320">
        <v>42</v>
      </c>
      <c r="G345" s="307">
        <v>23</v>
      </c>
      <c r="H345" s="284">
        <v>65</v>
      </c>
      <c r="I345" s="307">
        <v>1</v>
      </c>
      <c r="J345" s="284">
        <v>0</v>
      </c>
      <c r="K345" s="307">
        <v>1</v>
      </c>
      <c r="L345" s="284">
        <v>5</v>
      </c>
      <c r="M345" s="307">
        <v>6</v>
      </c>
      <c r="N345" s="284">
        <v>11</v>
      </c>
      <c r="O345" s="284">
        <v>0</v>
      </c>
      <c r="P345" s="284">
        <v>0</v>
      </c>
      <c r="Q345" s="284">
        <v>0</v>
      </c>
      <c r="R345" s="285">
        <v>102</v>
      </c>
      <c r="S345" s="285">
        <v>75</v>
      </c>
      <c r="T345" s="285">
        <v>177</v>
      </c>
    </row>
    <row r="346" spans="2:20" x14ac:dyDescent="0.25">
      <c r="B346" s="136" t="s">
        <v>280</v>
      </c>
      <c r="C346" s="316">
        <v>22</v>
      </c>
      <c r="D346" s="316">
        <v>20</v>
      </c>
      <c r="E346" s="316">
        <v>42</v>
      </c>
      <c r="F346" s="320">
        <v>9</v>
      </c>
      <c r="G346" s="307">
        <v>7</v>
      </c>
      <c r="H346" s="284">
        <v>16</v>
      </c>
      <c r="I346" s="307">
        <v>0</v>
      </c>
      <c r="J346" s="284">
        <v>0</v>
      </c>
      <c r="K346" s="307">
        <v>0</v>
      </c>
      <c r="L346" s="284">
        <v>1</v>
      </c>
      <c r="M346" s="307">
        <v>3</v>
      </c>
      <c r="N346" s="284">
        <v>4</v>
      </c>
      <c r="O346" s="284">
        <v>0</v>
      </c>
      <c r="P346" s="284">
        <v>0</v>
      </c>
      <c r="Q346" s="284">
        <v>0</v>
      </c>
      <c r="R346" s="285">
        <v>32</v>
      </c>
      <c r="S346" s="285">
        <v>30</v>
      </c>
      <c r="T346" s="285">
        <v>62</v>
      </c>
    </row>
    <row r="347" spans="2:20" x14ac:dyDescent="0.25">
      <c r="B347" s="136" t="s">
        <v>281</v>
      </c>
      <c r="C347" s="316">
        <v>22</v>
      </c>
      <c r="D347" s="316">
        <v>21</v>
      </c>
      <c r="E347" s="316">
        <v>43</v>
      </c>
      <c r="F347" s="320">
        <v>7</v>
      </c>
      <c r="G347" s="307">
        <v>8</v>
      </c>
      <c r="H347" s="284">
        <v>15</v>
      </c>
      <c r="I347" s="307">
        <v>2</v>
      </c>
      <c r="J347" s="284">
        <v>0</v>
      </c>
      <c r="K347" s="307">
        <v>2</v>
      </c>
      <c r="L347" s="284">
        <v>1</v>
      </c>
      <c r="M347" s="307">
        <v>1</v>
      </c>
      <c r="N347" s="284">
        <v>2</v>
      </c>
      <c r="O347" s="284">
        <v>0</v>
      </c>
      <c r="P347" s="284">
        <v>0</v>
      </c>
      <c r="Q347" s="284">
        <v>0</v>
      </c>
      <c r="R347" s="285">
        <v>32</v>
      </c>
      <c r="S347" s="285">
        <v>30</v>
      </c>
      <c r="T347" s="285">
        <v>62</v>
      </c>
    </row>
    <row r="348" spans="2:20" x14ac:dyDescent="0.25">
      <c r="B348" s="136" t="s">
        <v>282</v>
      </c>
      <c r="C348" s="316">
        <v>16</v>
      </c>
      <c r="D348" s="316">
        <v>12</v>
      </c>
      <c r="E348" s="316">
        <v>28</v>
      </c>
      <c r="F348" s="320">
        <v>11</v>
      </c>
      <c r="G348" s="307">
        <v>11</v>
      </c>
      <c r="H348" s="284">
        <v>22</v>
      </c>
      <c r="I348" s="307">
        <v>0</v>
      </c>
      <c r="J348" s="284">
        <v>2</v>
      </c>
      <c r="K348" s="307">
        <v>2</v>
      </c>
      <c r="L348" s="284">
        <v>1</v>
      </c>
      <c r="M348" s="307">
        <v>0</v>
      </c>
      <c r="N348" s="284">
        <v>1</v>
      </c>
      <c r="O348" s="284">
        <v>0</v>
      </c>
      <c r="P348" s="284">
        <v>0</v>
      </c>
      <c r="Q348" s="284">
        <v>0</v>
      </c>
      <c r="R348" s="285">
        <v>28</v>
      </c>
      <c r="S348" s="285">
        <v>25</v>
      </c>
      <c r="T348" s="285">
        <v>53</v>
      </c>
    </row>
    <row r="349" spans="2:20" x14ac:dyDescent="0.25">
      <c r="B349" s="136" t="s">
        <v>283</v>
      </c>
      <c r="C349" s="316">
        <v>12</v>
      </c>
      <c r="D349" s="316">
        <v>16</v>
      </c>
      <c r="E349" s="316">
        <v>28</v>
      </c>
      <c r="F349" s="320">
        <v>6</v>
      </c>
      <c r="G349" s="307">
        <v>5</v>
      </c>
      <c r="H349" s="284">
        <v>11</v>
      </c>
      <c r="I349" s="307">
        <v>0</v>
      </c>
      <c r="J349" s="284">
        <v>0</v>
      </c>
      <c r="K349" s="307">
        <v>0</v>
      </c>
      <c r="L349" s="284">
        <v>1</v>
      </c>
      <c r="M349" s="307">
        <v>1</v>
      </c>
      <c r="N349" s="284">
        <v>2</v>
      </c>
      <c r="O349" s="284">
        <v>0</v>
      </c>
      <c r="P349" s="284">
        <v>0</v>
      </c>
      <c r="Q349" s="284">
        <v>0</v>
      </c>
      <c r="R349" s="285">
        <v>19</v>
      </c>
      <c r="S349" s="285">
        <v>22</v>
      </c>
      <c r="T349" s="285">
        <v>41</v>
      </c>
    </row>
    <row r="350" spans="2:20" x14ac:dyDescent="0.25">
      <c r="B350" s="136" t="s">
        <v>284</v>
      </c>
      <c r="C350" s="316">
        <v>140</v>
      </c>
      <c r="D350" s="316">
        <v>120</v>
      </c>
      <c r="E350" s="316">
        <v>260</v>
      </c>
      <c r="F350" s="320">
        <v>99</v>
      </c>
      <c r="G350" s="307">
        <v>75</v>
      </c>
      <c r="H350" s="284">
        <v>174</v>
      </c>
      <c r="I350" s="307">
        <v>11</v>
      </c>
      <c r="J350" s="284">
        <v>6</v>
      </c>
      <c r="K350" s="307">
        <v>17</v>
      </c>
      <c r="L350" s="284">
        <v>18</v>
      </c>
      <c r="M350" s="307">
        <v>21</v>
      </c>
      <c r="N350" s="284">
        <v>39</v>
      </c>
      <c r="O350" s="284">
        <v>0</v>
      </c>
      <c r="P350" s="284">
        <v>0</v>
      </c>
      <c r="Q350" s="284">
        <v>0</v>
      </c>
      <c r="R350" s="285">
        <v>268</v>
      </c>
      <c r="S350" s="285">
        <v>222</v>
      </c>
      <c r="T350" s="285">
        <v>490</v>
      </c>
    </row>
    <row r="351" spans="2:20" x14ac:dyDescent="0.25">
      <c r="B351" s="136" t="s">
        <v>285</v>
      </c>
      <c r="C351" s="316">
        <v>33</v>
      </c>
      <c r="D351" s="316">
        <v>26</v>
      </c>
      <c r="E351" s="316">
        <v>59</v>
      </c>
      <c r="F351" s="320">
        <v>17</v>
      </c>
      <c r="G351" s="307">
        <v>19</v>
      </c>
      <c r="H351" s="284">
        <v>36</v>
      </c>
      <c r="I351" s="307">
        <v>0</v>
      </c>
      <c r="J351" s="284">
        <v>1</v>
      </c>
      <c r="K351" s="307">
        <v>1</v>
      </c>
      <c r="L351" s="284">
        <v>0</v>
      </c>
      <c r="M351" s="307">
        <v>3</v>
      </c>
      <c r="N351" s="284">
        <v>3</v>
      </c>
      <c r="O351" s="284">
        <v>0</v>
      </c>
      <c r="P351" s="284">
        <v>0</v>
      </c>
      <c r="Q351" s="284">
        <v>0</v>
      </c>
      <c r="R351" s="285">
        <v>50</v>
      </c>
      <c r="S351" s="285">
        <v>49</v>
      </c>
      <c r="T351" s="285">
        <v>99</v>
      </c>
    </row>
    <row r="352" spans="2:20" x14ac:dyDescent="0.25">
      <c r="B352" s="136" t="s">
        <v>286</v>
      </c>
      <c r="C352" s="316">
        <v>16</v>
      </c>
      <c r="D352" s="316">
        <v>25</v>
      </c>
      <c r="E352" s="316">
        <v>41</v>
      </c>
      <c r="F352" s="320">
        <v>16</v>
      </c>
      <c r="G352" s="307">
        <v>13</v>
      </c>
      <c r="H352" s="284">
        <v>29</v>
      </c>
      <c r="I352" s="307">
        <v>3</v>
      </c>
      <c r="J352" s="284">
        <v>0</v>
      </c>
      <c r="K352" s="307">
        <v>3</v>
      </c>
      <c r="L352" s="284">
        <v>6</v>
      </c>
      <c r="M352" s="307">
        <v>4</v>
      </c>
      <c r="N352" s="284">
        <v>10</v>
      </c>
      <c r="O352" s="284">
        <v>0</v>
      </c>
      <c r="P352" s="284">
        <v>0</v>
      </c>
      <c r="Q352" s="284">
        <v>0</v>
      </c>
      <c r="R352" s="285">
        <v>41</v>
      </c>
      <c r="S352" s="285">
        <v>42</v>
      </c>
      <c r="T352" s="285">
        <v>83</v>
      </c>
    </row>
    <row r="353" spans="2:20" x14ac:dyDescent="0.25">
      <c r="B353" s="136" t="s">
        <v>287</v>
      </c>
      <c r="C353" s="316">
        <v>20</v>
      </c>
      <c r="D353" s="316">
        <v>18</v>
      </c>
      <c r="E353" s="316">
        <v>38</v>
      </c>
      <c r="F353" s="320">
        <v>5</v>
      </c>
      <c r="G353" s="307">
        <v>12</v>
      </c>
      <c r="H353" s="284">
        <v>17</v>
      </c>
      <c r="I353" s="307">
        <v>0</v>
      </c>
      <c r="J353" s="284">
        <v>1</v>
      </c>
      <c r="K353" s="307">
        <v>1</v>
      </c>
      <c r="L353" s="284">
        <v>3</v>
      </c>
      <c r="M353" s="307">
        <v>4</v>
      </c>
      <c r="N353" s="284">
        <v>7</v>
      </c>
      <c r="O353" s="284">
        <v>0</v>
      </c>
      <c r="P353" s="284">
        <v>0</v>
      </c>
      <c r="Q353" s="284">
        <v>0</v>
      </c>
      <c r="R353" s="285">
        <v>28</v>
      </c>
      <c r="S353" s="285">
        <v>35</v>
      </c>
      <c r="T353" s="285">
        <v>63</v>
      </c>
    </row>
    <row r="354" spans="2:20" x14ac:dyDescent="0.25">
      <c r="B354" s="136" t="s">
        <v>288</v>
      </c>
      <c r="C354" s="316">
        <v>8</v>
      </c>
      <c r="D354" s="316">
        <v>3</v>
      </c>
      <c r="E354" s="316">
        <v>11</v>
      </c>
      <c r="F354" s="320">
        <v>0</v>
      </c>
      <c r="G354" s="307">
        <v>7</v>
      </c>
      <c r="H354" s="284">
        <v>7</v>
      </c>
      <c r="I354" s="307">
        <v>0</v>
      </c>
      <c r="J354" s="284">
        <v>0</v>
      </c>
      <c r="K354" s="307">
        <v>0</v>
      </c>
      <c r="L354" s="284">
        <v>0</v>
      </c>
      <c r="M354" s="307">
        <v>0</v>
      </c>
      <c r="N354" s="284">
        <v>0</v>
      </c>
      <c r="O354" s="284">
        <v>0</v>
      </c>
      <c r="P354" s="284">
        <v>0</v>
      </c>
      <c r="Q354" s="284">
        <v>0</v>
      </c>
      <c r="R354" s="285">
        <v>8</v>
      </c>
      <c r="S354" s="285">
        <v>10</v>
      </c>
      <c r="T354" s="285">
        <v>18</v>
      </c>
    </row>
    <row r="355" spans="2:20" x14ac:dyDescent="0.25">
      <c r="B355" s="136" t="s">
        <v>289</v>
      </c>
      <c r="C355" s="316">
        <v>32</v>
      </c>
      <c r="D355" s="316">
        <v>29</v>
      </c>
      <c r="E355" s="316">
        <v>61</v>
      </c>
      <c r="F355" s="320">
        <v>9</v>
      </c>
      <c r="G355" s="307">
        <v>9</v>
      </c>
      <c r="H355" s="284">
        <v>18</v>
      </c>
      <c r="I355" s="307">
        <v>0</v>
      </c>
      <c r="J355" s="284">
        <v>0</v>
      </c>
      <c r="K355" s="307">
        <v>0</v>
      </c>
      <c r="L355" s="284">
        <v>1</v>
      </c>
      <c r="M355" s="307">
        <v>2</v>
      </c>
      <c r="N355" s="284">
        <v>3</v>
      </c>
      <c r="O355" s="284">
        <v>0</v>
      </c>
      <c r="P355" s="284">
        <v>0</v>
      </c>
      <c r="Q355" s="284">
        <v>0</v>
      </c>
      <c r="R355" s="285">
        <v>42</v>
      </c>
      <c r="S355" s="285">
        <v>40</v>
      </c>
      <c r="T355" s="285">
        <v>82</v>
      </c>
    </row>
    <row r="356" spans="2:20" x14ac:dyDescent="0.25">
      <c r="B356" s="136" t="s">
        <v>290</v>
      </c>
      <c r="C356" s="316">
        <v>3</v>
      </c>
      <c r="D356" s="316">
        <v>4</v>
      </c>
      <c r="E356" s="316">
        <v>7</v>
      </c>
      <c r="F356" s="320">
        <v>2</v>
      </c>
      <c r="G356" s="307">
        <v>2</v>
      </c>
      <c r="H356" s="284">
        <v>4</v>
      </c>
      <c r="I356" s="307">
        <v>0</v>
      </c>
      <c r="J356" s="284">
        <v>0</v>
      </c>
      <c r="K356" s="307">
        <v>0</v>
      </c>
      <c r="L356" s="284">
        <v>0</v>
      </c>
      <c r="M356" s="307">
        <v>0</v>
      </c>
      <c r="N356" s="284">
        <v>0</v>
      </c>
      <c r="O356" s="284">
        <v>0</v>
      </c>
      <c r="P356" s="284">
        <v>0</v>
      </c>
      <c r="Q356" s="284">
        <v>0</v>
      </c>
      <c r="R356" s="285">
        <v>5</v>
      </c>
      <c r="S356" s="285">
        <v>6</v>
      </c>
      <c r="T356" s="285">
        <v>11</v>
      </c>
    </row>
    <row r="357" spans="2:20" x14ac:dyDescent="0.25">
      <c r="B357" s="136" t="s">
        <v>291</v>
      </c>
      <c r="C357" s="316">
        <v>5</v>
      </c>
      <c r="D357" s="316">
        <v>6</v>
      </c>
      <c r="E357" s="316">
        <v>11</v>
      </c>
      <c r="F357" s="320">
        <v>3</v>
      </c>
      <c r="G357" s="307">
        <v>4</v>
      </c>
      <c r="H357" s="284">
        <v>7</v>
      </c>
      <c r="I357" s="307">
        <v>0</v>
      </c>
      <c r="J357" s="284">
        <v>0</v>
      </c>
      <c r="K357" s="307">
        <v>0</v>
      </c>
      <c r="L357" s="284">
        <v>1</v>
      </c>
      <c r="M357" s="307">
        <v>1</v>
      </c>
      <c r="N357" s="284">
        <v>2</v>
      </c>
      <c r="O357" s="284">
        <v>0</v>
      </c>
      <c r="P357" s="284">
        <v>0</v>
      </c>
      <c r="Q357" s="284">
        <v>0</v>
      </c>
      <c r="R357" s="285">
        <v>9</v>
      </c>
      <c r="S357" s="285">
        <v>11</v>
      </c>
      <c r="T357" s="285">
        <v>20</v>
      </c>
    </row>
    <row r="358" spans="2:20" x14ac:dyDescent="0.25">
      <c r="B358" s="136" t="s">
        <v>292</v>
      </c>
      <c r="C358" s="316">
        <v>47</v>
      </c>
      <c r="D358" s="316">
        <v>44</v>
      </c>
      <c r="E358" s="316">
        <v>91</v>
      </c>
      <c r="F358" s="320">
        <v>62</v>
      </c>
      <c r="G358" s="307">
        <v>33</v>
      </c>
      <c r="H358" s="284">
        <v>95</v>
      </c>
      <c r="I358" s="307">
        <v>2</v>
      </c>
      <c r="J358" s="284">
        <v>0</v>
      </c>
      <c r="K358" s="307">
        <v>2</v>
      </c>
      <c r="L358" s="284">
        <v>5</v>
      </c>
      <c r="M358" s="307">
        <v>5</v>
      </c>
      <c r="N358" s="284">
        <v>10</v>
      </c>
      <c r="O358" s="284">
        <v>0</v>
      </c>
      <c r="P358" s="284">
        <v>0</v>
      </c>
      <c r="Q358" s="284">
        <v>0</v>
      </c>
      <c r="R358" s="285">
        <v>116</v>
      </c>
      <c r="S358" s="285">
        <v>82</v>
      </c>
      <c r="T358" s="285">
        <v>198</v>
      </c>
    </row>
    <row r="359" spans="2:20" x14ac:dyDescent="0.25">
      <c r="B359" s="136" t="s">
        <v>293</v>
      </c>
      <c r="C359" s="316">
        <v>5</v>
      </c>
      <c r="D359" s="316">
        <v>1</v>
      </c>
      <c r="E359" s="316">
        <v>6</v>
      </c>
      <c r="F359" s="320">
        <v>2</v>
      </c>
      <c r="G359" s="307">
        <v>2</v>
      </c>
      <c r="H359" s="284">
        <v>4</v>
      </c>
      <c r="I359" s="307">
        <v>0</v>
      </c>
      <c r="J359" s="284">
        <v>0</v>
      </c>
      <c r="K359" s="307">
        <v>0</v>
      </c>
      <c r="L359" s="284">
        <v>0</v>
      </c>
      <c r="M359" s="307">
        <v>0</v>
      </c>
      <c r="N359" s="284">
        <v>0</v>
      </c>
      <c r="O359" s="284">
        <v>0</v>
      </c>
      <c r="P359" s="284">
        <v>0</v>
      </c>
      <c r="Q359" s="284">
        <v>0</v>
      </c>
      <c r="R359" s="285">
        <v>7</v>
      </c>
      <c r="S359" s="285">
        <v>3</v>
      </c>
      <c r="T359" s="285">
        <v>10</v>
      </c>
    </row>
    <row r="360" spans="2:20" x14ac:dyDescent="0.25">
      <c r="B360" s="136" t="s">
        <v>294</v>
      </c>
      <c r="C360" s="316">
        <v>8</v>
      </c>
      <c r="D360" s="316">
        <v>7</v>
      </c>
      <c r="E360" s="316">
        <v>15</v>
      </c>
      <c r="F360" s="320">
        <v>7</v>
      </c>
      <c r="G360" s="307">
        <v>5</v>
      </c>
      <c r="H360" s="284">
        <v>12</v>
      </c>
      <c r="I360" s="307">
        <v>0</v>
      </c>
      <c r="J360" s="284">
        <v>0</v>
      </c>
      <c r="K360" s="307">
        <v>0</v>
      </c>
      <c r="L360" s="284">
        <v>0</v>
      </c>
      <c r="M360" s="307">
        <v>0</v>
      </c>
      <c r="N360" s="284">
        <v>0</v>
      </c>
      <c r="O360" s="284">
        <v>0</v>
      </c>
      <c r="P360" s="284">
        <v>0</v>
      </c>
      <c r="Q360" s="284">
        <v>0</v>
      </c>
      <c r="R360" s="285">
        <v>15</v>
      </c>
      <c r="S360" s="285">
        <v>12</v>
      </c>
      <c r="T360" s="285">
        <v>27</v>
      </c>
    </row>
    <row r="361" spans="2:20" x14ac:dyDescent="0.25">
      <c r="B361" s="136" t="s">
        <v>295</v>
      </c>
      <c r="C361" s="316">
        <v>9</v>
      </c>
      <c r="D361" s="316">
        <v>13</v>
      </c>
      <c r="E361" s="316">
        <v>22</v>
      </c>
      <c r="F361" s="320">
        <v>14</v>
      </c>
      <c r="G361" s="307">
        <v>5</v>
      </c>
      <c r="H361" s="284">
        <v>19</v>
      </c>
      <c r="I361" s="307">
        <v>1</v>
      </c>
      <c r="J361" s="284">
        <v>0</v>
      </c>
      <c r="K361" s="307">
        <v>1</v>
      </c>
      <c r="L361" s="284">
        <v>2</v>
      </c>
      <c r="M361" s="307">
        <v>1</v>
      </c>
      <c r="N361" s="284">
        <v>3</v>
      </c>
      <c r="O361" s="284">
        <v>0</v>
      </c>
      <c r="P361" s="284">
        <v>0</v>
      </c>
      <c r="Q361" s="284">
        <v>0</v>
      </c>
      <c r="R361" s="285">
        <v>26</v>
      </c>
      <c r="S361" s="285">
        <v>19</v>
      </c>
      <c r="T361" s="285">
        <v>45</v>
      </c>
    </row>
    <row r="362" spans="2:20" x14ac:dyDescent="0.25">
      <c r="B362" s="136" t="s">
        <v>296</v>
      </c>
      <c r="C362" s="316">
        <v>103</v>
      </c>
      <c r="D362" s="316">
        <v>90</v>
      </c>
      <c r="E362" s="316">
        <v>193</v>
      </c>
      <c r="F362" s="320">
        <v>79</v>
      </c>
      <c r="G362" s="307">
        <v>66</v>
      </c>
      <c r="H362" s="284">
        <v>145</v>
      </c>
      <c r="I362" s="307">
        <v>1</v>
      </c>
      <c r="J362" s="284">
        <v>2</v>
      </c>
      <c r="K362" s="307">
        <v>3</v>
      </c>
      <c r="L362" s="284">
        <v>6</v>
      </c>
      <c r="M362" s="307">
        <v>5</v>
      </c>
      <c r="N362" s="284">
        <v>11</v>
      </c>
      <c r="O362" s="284">
        <v>0</v>
      </c>
      <c r="P362" s="284">
        <v>0</v>
      </c>
      <c r="Q362" s="284">
        <v>0</v>
      </c>
      <c r="R362" s="285">
        <v>189</v>
      </c>
      <c r="S362" s="285">
        <v>163</v>
      </c>
      <c r="T362" s="285">
        <v>352</v>
      </c>
    </row>
    <row r="363" spans="2:20" x14ac:dyDescent="0.25">
      <c r="B363" s="136" t="s">
        <v>297</v>
      </c>
      <c r="C363" s="316">
        <v>8</v>
      </c>
      <c r="D363" s="316">
        <v>9</v>
      </c>
      <c r="E363" s="316">
        <v>17</v>
      </c>
      <c r="F363" s="320">
        <v>1</v>
      </c>
      <c r="G363" s="307">
        <v>1</v>
      </c>
      <c r="H363" s="284">
        <v>2</v>
      </c>
      <c r="I363" s="307">
        <v>0</v>
      </c>
      <c r="J363" s="284">
        <v>0</v>
      </c>
      <c r="K363" s="307">
        <v>0</v>
      </c>
      <c r="L363" s="284">
        <v>0</v>
      </c>
      <c r="M363" s="307">
        <v>0</v>
      </c>
      <c r="N363" s="284">
        <v>0</v>
      </c>
      <c r="O363" s="284">
        <v>0</v>
      </c>
      <c r="P363" s="284">
        <v>0</v>
      </c>
      <c r="Q363" s="284">
        <v>0</v>
      </c>
      <c r="R363" s="285">
        <v>9</v>
      </c>
      <c r="S363" s="285">
        <v>10</v>
      </c>
      <c r="T363" s="285">
        <v>19</v>
      </c>
    </row>
    <row r="364" spans="2:20" x14ac:dyDescent="0.25">
      <c r="B364" s="136" t="s">
        <v>298</v>
      </c>
      <c r="C364" s="316">
        <v>44</v>
      </c>
      <c r="D364" s="316">
        <v>53</v>
      </c>
      <c r="E364" s="316">
        <v>97</v>
      </c>
      <c r="F364" s="320">
        <v>33</v>
      </c>
      <c r="G364" s="307">
        <v>19</v>
      </c>
      <c r="H364" s="284">
        <v>52</v>
      </c>
      <c r="I364" s="307">
        <v>0</v>
      </c>
      <c r="J364" s="284">
        <v>0</v>
      </c>
      <c r="K364" s="307">
        <v>0</v>
      </c>
      <c r="L364" s="284">
        <v>2</v>
      </c>
      <c r="M364" s="307">
        <v>6</v>
      </c>
      <c r="N364" s="284">
        <v>8</v>
      </c>
      <c r="O364" s="284">
        <v>0</v>
      </c>
      <c r="P364" s="284">
        <v>0</v>
      </c>
      <c r="Q364" s="284">
        <v>0</v>
      </c>
      <c r="R364" s="285">
        <v>79</v>
      </c>
      <c r="S364" s="285">
        <v>78</v>
      </c>
      <c r="T364" s="285">
        <v>157</v>
      </c>
    </row>
    <row r="365" spans="2:20" x14ac:dyDescent="0.25">
      <c r="B365" s="155" t="s">
        <v>299</v>
      </c>
      <c r="C365" s="317">
        <v>11</v>
      </c>
      <c r="D365" s="317">
        <v>8</v>
      </c>
      <c r="E365" s="317">
        <v>19</v>
      </c>
      <c r="F365" s="321">
        <v>5</v>
      </c>
      <c r="G365" s="307">
        <v>7</v>
      </c>
      <c r="H365" s="284">
        <v>12</v>
      </c>
      <c r="I365" s="307">
        <v>0</v>
      </c>
      <c r="J365" s="284">
        <v>1</v>
      </c>
      <c r="K365" s="307">
        <v>1</v>
      </c>
      <c r="L365" s="284">
        <v>1</v>
      </c>
      <c r="M365" s="307">
        <v>0</v>
      </c>
      <c r="N365" s="284">
        <v>1</v>
      </c>
      <c r="O365" s="284">
        <v>0</v>
      </c>
      <c r="P365" s="284">
        <v>0</v>
      </c>
      <c r="Q365" s="284">
        <v>0</v>
      </c>
      <c r="R365" s="285">
        <v>17</v>
      </c>
      <c r="S365" s="285">
        <v>16</v>
      </c>
      <c r="T365" s="285">
        <v>33</v>
      </c>
    </row>
    <row r="366" spans="2:20" x14ac:dyDescent="0.25">
      <c r="B366" s="158" t="s">
        <v>300</v>
      </c>
      <c r="C366" s="307">
        <v>15</v>
      </c>
      <c r="D366" s="307">
        <v>18</v>
      </c>
      <c r="E366" s="307">
        <v>33</v>
      </c>
      <c r="F366" s="323">
        <v>9</v>
      </c>
      <c r="G366" s="307">
        <v>8</v>
      </c>
      <c r="H366" s="284">
        <v>17</v>
      </c>
      <c r="I366" s="307">
        <v>0</v>
      </c>
      <c r="J366" s="284">
        <v>0</v>
      </c>
      <c r="K366" s="307">
        <v>0</v>
      </c>
      <c r="L366" s="284">
        <v>0</v>
      </c>
      <c r="M366" s="307">
        <v>2</v>
      </c>
      <c r="N366" s="284">
        <v>2</v>
      </c>
      <c r="O366" s="284">
        <v>0</v>
      </c>
      <c r="P366" s="284">
        <v>0</v>
      </c>
      <c r="Q366" s="284">
        <v>0</v>
      </c>
      <c r="R366" s="285">
        <v>24</v>
      </c>
      <c r="S366" s="285">
        <v>28</v>
      </c>
      <c r="T366" s="285">
        <v>52</v>
      </c>
    </row>
    <row r="367" spans="2:20" x14ac:dyDescent="0.25">
      <c r="B367" s="260" t="s">
        <v>25</v>
      </c>
      <c r="C367" s="282">
        <v>996</v>
      </c>
      <c r="D367" s="282">
        <v>926</v>
      </c>
      <c r="E367" s="282">
        <v>1922</v>
      </c>
      <c r="F367" s="282">
        <v>729</v>
      </c>
      <c r="G367" s="282">
        <v>555</v>
      </c>
      <c r="H367" s="285">
        <v>1284</v>
      </c>
      <c r="I367" s="282">
        <v>26</v>
      </c>
      <c r="J367" s="285">
        <v>29</v>
      </c>
      <c r="K367" s="282">
        <v>55</v>
      </c>
      <c r="L367" s="285">
        <v>76</v>
      </c>
      <c r="M367" s="282">
        <v>96</v>
      </c>
      <c r="N367" s="285">
        <v>172</v>
      </c>
      <c r="O367" s="285">
        <v>0</v>
      </c>
      <c r="P367" s="285">
        <v>0</v>
      </c>
      <c r="Q367" s="285">
        <v>0</v>
      </c>
      <c r="R367" s="285">
        <v>1827</v>
      </c>
      <c r="S367" s="285">
        <v>1606</v>
      </c>
      <c r="T367" s="285">
        <v>3433</v>
      </c>
    </row>
    <row r="368" spans="2:20" ht="84" customHeight="1" x14ac:dyDescent="0.25">
      <c r="B368" s="454" t="s">
        <v>866</v>
      </c>
      <c r="C368" s="454"/>
      <c r="D368" s="454"/>
      <c r="E368" s="454"/>
      <c r="F368" s="454"/>
      <c r="G368" s="454"/>
      <c r="H368" s="454"/>
      <c r="I368" s="454"/>
      <c r="J368" s="454"/>
      <c r="K368" s="454"/>
      <c r="L368" s="454"/>
      <c r="M368" s="454"/>
      <c r="N368" s="454"/>
      <c r="O368" s="454"/>
      <c r="P368" s="454"/>
      <c r="Q368" s="454"/>
    </row>
    <row r="369" spans="2:20" x14ac:dyDescent="0.25">
      <c r="B369" s="157"/>
      <c r="C369" s="157"/>
      <c r="D369" s="157"/>
      <c r="E369"/>
      <c r="F369"/>
      <c r="G369"/>
    </row>
    <row r="370" spans="2:20" x14ac:dyDescent="0.25">
      <c r="B370" s="186" t="s">
        <v>513</v>
      </c>
      <c r="C370"/>
      <c r="D370"/>
      <c r="E370"/>
      <c r="F370"/>
      <c r="G370"/>
    </row>
    <row r="371" spans="2:20" x14ac:dyDescent="0.25">
      <c r="B371" s="186"/>
      <c r="C371"/>
      <c r="D371"/>
      <c r="E371"/>
      <c r="F371"/>
      <c r="G371"/>
    </row>
    <row r="372" spans="2:20" ht="15" customHeight="1" x14ac:dyDescent="0.25">
      <c r="B372" s="426" t="s">
        <v>532</v>
      </c>
      <c r="C372" s="475" t="s">
        <v>477</v>
      </c>
      <c r="D372" s="475"/>
      <c r="E372" s="475"/>
      <c r="F372" s="475"/>
      <c r="G372" s="475"/>
      <c r="H372" s="475"/>
      <c r="I372" s="475"/>
      <c r="J372" s="475"/>
      <c r="K372" s="475"/>
      <c r="L372" s="475"/>
      <c r="M372" s="475"/>
      <c r="N372" s="475"/>
      <c r="O372" s="475"/>
      <c r="P372" s="475"/>
      <c r="Q372" s="475"/>
      <c r="R372" s="469" t="s">
        <v>877</v>
      </c>
      <c r="S372" s="470"/>
      <c r="T372" s="471"/>
    </row>
    <row r="373" spans="2:20" ht="15" customHeight="1" x14ac:dyDescent="0.25">
      <c r="B373" s="427"/>
      <c r="C373" s="463" t="s">
        <v>849</v>
      </c>
      <c r="D373" s="463"/>
      <c r="E373" s="463"/>
      <c r="F373" s="463" t="s">
        <v>850</v>
      </c>
      <c r="G373" s="463"/>
      <c r="H373" s="463"/>
      <c r="I373" s="463" t="s">
        <v>3</v>
      </c>
      <c r="J373" s="463"/>
      <c r="K373" s="463"/>
      <c r="L373" s="463" t="s">
        <v>5</v>
      </c>
      <c r="M373" s="463"/>
      <c r="N373" s="463"/>
      <c r="O373" s="463" t="s">
        <v>859</v>
      </c>
      <c r="P373" s="463"/>
      <c r="Q373" s="463"/>
      <c r="R373" s="472"/>
      <c r="S373" s="473"/>
      <c r="T373" s="474"/>
    </row>
    <row r="374" spans="2:20" x14ac:dyDescent="0.25">
      <c r="B374" s="428"/>
      <c r="C374" s="264" t="s">
        <v>73</v>
      </c>
      <c r="D374" s="264" t="s">
        <v>74</v>
      </c>
      <c r="E374" s="264" t="s">
        <v>25</v>
      </c>
      <c r="F374" s="264" t="s">
        <v>73</v>
      </c>
      <c r="G374" s="264" t="s">
        <v>74</v>
      </c>
      <c r="H374" s="264" t="s">
        <v>25</v>
      </c>
      <c r="I374" s="264" t="s">
        <v>73</v>
      </c>
      <c r="J374" s="264" t="s">
        <v>74</v>
      </c>
      <c r="K374" s="264" t="s">
        <v>25</v>
      </c>
      <c r="L374" s="264" t="s">
        <v>73</v>
      </c>
      <c r="M374" s="264" t="s">
        <v>74</v>
      </c>
      <c r="N374" s="264" t="s">
        <v>25</v>
      </c>
      <c r="O374" s="264" t="s">
        <v>73</v>
      </c>
      <c r="P374" s="264" t="s">
        <v>74</v>
      </c>
      <c r="Q374" s="264" t="s">
        <v>25</v>
      </c>
      <c r="R374" s="274" t="s">
        <v>73</v>
      </c>
      <c r="S374" s="274" t="s">
        <v>74</v>
      </c>
      <c r="T374" s="274" t="s">
        <v>25</v>
      </c>
    </row>
    <row r="375" spans="2:20" x14ac:dyDescent="0.25">
      <c r="B375" s="336" t="s">
        <v>301</v>
      </c>
      <c r="C375" s="307">
        <v>36</v>
      </c>
      <c r="D375" s="307">
        <v>39</v>
      </c>
      <c r="E375" s="307">
        <v>75</v>
      </c>
      <c r="F375" s="307">
        <v>30</v>
      </c>
      <c r="G375" s="307">
        <v>24</v>
      </c>
      <c r="H375" s="284">
        <v>54</v>
      </c>
      <c r="I375" s="307">
        <v>3</v>
      </c>
      <c r="J375" s="284">
        <v>1</v>
      </c>
      <c r="K375" s="307">
        <v>4</v>
      </c>
      <c r="L375" s="284">
        <v>4</v>
      </c>
      <c r="M375" s="307">
        <v>5</v>
      </c>
      <c r="N375" s="284">
        <v>9</v>
      </c>
      <c r="O375" s="284">
        <v>0</v>
      </c>
      <c r="P375" s="284">
        <v>0</v>
      </c>
      <c r="Q375" s="284">
        <v>0</v>
      </c>
      <c r="R375" s="285">
        <v>73</v>
      </c>
      <c r="S375" s="285">
        <v>69</v>
      </c>
      <c r="T375" s="285">
        <v>142</v>
      </c>
    </row>
    <row r="376" spans="2:20" x14ac:dyDescent="0.25">
      <c r="B376" s="249" t="s">
        <v>302</v>
      </c>
      <c r="C376" s="307">
        <v>20</v>
      </c>
      <c r="D376" s="307">
        <v>24</v>
      </c>
      <c r="E376" s="307">
        <v>44</v>
      </c>
      <c r="F376" s="307">
        <v>6</v>
      </c>
      <c r="G376" s="307">
        <v>6</v>
      </c>
      <c r="H376" s="284">
        <v>12</v>
      </c>
      <c r="I376" s="307">
        <v>1</v>
      </c>
      <c r="J376" s="284">
        <v>1</v>
      </c>
      <c r="K376" s="307">
        <v>2</v>
      </c>
      <c r="L376" s="284">
        <v>0</v>
      </c>
      <c r="M376" s="307">
        <v>1</v>
      </c>
      <c r="N376" s="284">
        <v>1</v>
      </c>
      <c r="O376" s="284">
        <v>0</v>
      </c>
      <c r="P376" s="284">
        <v>0</v>
      </c>
      <c r="Q376" s="284">
        <v>0</v>
      </c>
      <c r="R376" s="285">
        <v>27</v>
      </c>
      <c r="S376" s="285">
        <v>32</v>
      </c>
      <c r="T376" s="285">
        <v>59</v>
      </c>
    </row>
    <row r="377" spans="2:20" x14ac:dyDescent="0.25">
      <c r="B377" s="249" t="s">
        <v>303</v>
      </c>
      <c r="C377" s="307">
        <v>11</v>
      </c>
      <c r="D377" s="307">
        <v>5</v>
      </c>
      <c r="E377" s="307">
        <v>16</v>
      </c>
      <c r="F377" s="307">
        <v>7</v>
      </c>
      <c r="G377" s="307">
        <v>2</v>
      </c>
      <c r="H377" s="284">
        <v>9</v>
      </c>
      <c r="I377" s="307">
        <v>0</v>
      </c>
      <c r="J377" s="284">
        <v>0</v>
      </c>
      <c r="K377" s="307">
        <v>0</v>
      </c>
      <c r="L377" s="284">
        <v>2</v>
      </c>
      <c r="M377" s="307">
        <v>3</v>
      </c>
      <c r="N377" s="284">
        <v>5</v>
      </c>
      <c r="O377" s="284">
        <v>0</v>
      </c>
      <c r="P377" s="284">
        <v>0</v>
      </c>
      <c r="Q377" s="284">
        <v>0</v>
      </c>
      <c r="R377" s="285">
        <v>20</v>
      </c>
      <c r="S377" s="285">
        <v>10</v>
      </c>
      <c r="T377" s="285">
        <v>30</v>
      </c>
    </row>
    <row r="378" spans="2:20" x14ac:dyDescent="0.25">
      <c r="B378" s="249" t="s">
        <v>304</v>
      </c>
      <c r="C378" s="307">
        <v>21</v>
      </c>
      <c r="D378" s="307">
        <v>17</v>
      </c>
      <c r="E378" s="307">
        <v>38</v>
      </c>
      <c r="F378" s="307">
        <v>15</v>
      </c>
      <c r="G378" s="307">
        <v>8</v>
      </c>
      <c r="H378" s="284">
        <v>23</v>
      </c>
      <c r="I378" s="307">
        <v>1</v>
      </c>
      <c r="J378" s="284">
        <v>1</v>
      </c>
      <c r="K378" s="307">
        <v>2</v>
      </c>
      <c r="L378" s="284">
        <v>0</v>
      </c>
      <c r="M378" s="307">
        <v>2</v>
      </c>
      <c r="N378" s="284">
        <v>2</v>
      </c>
      <c r="O378" s="284">
        <v>0</v>
      </c>
      <c r="P378" s="284">
        <v>0</v>
      </c>
      <c r="Q378" s="284">
        <v>0</v>
      </c>
      <c r="R378" s="285">
        <v>37</v>
      </c>
      <c r="S378" s="285">
        <v>28</v>
      </c>
      <c r="T378" s="285">
        <v>65</v>
      </c>
    </row>
    <row r="379" spans="2:20" x14ac:dyDescent="0.25">
      <c r="B379" s="249" t="s">
        <v>305</v>
      </c>
      <c r="C379" s="307">
        <v>21</v>
      </c>
      <c r="D379" s="307">
        <v>19</v>
      </c>
      <c r="E379" s="307">
        <v>40</v>
      </c>
      <c r="F379" s="307">
        <v>7</v>
      </c>
      <c r="G379" s="307">
        <v>6</v>
      </c>
      <c r="H379" s="284">
        <v>13</v>
      </c>
      <c r="I379" s="307">
        <v>0</v>
      </c>
      <c r="J379" s="284">
        <v>1</v>
      </c>
      <c r="K379" s="307">
        <v>1</v>
      </c>
      <c r="L379" s="284">
        <v>0</v>
      </c>
      <c r="M379" s="307">
        <v>4</v>
      </c>
      <c r="N379" s="284">
        <v>4</v>
      </c>
      <c r="O379" s="284">
        <v>0</v>
      </c>
      <c r="P379" s="284">
        <v>0</v>
      </c>
      <c r="Q379" s="284">
        <v>0</v>
      </c>
      <c r="R379" s="285">
        <v>28</v>
      </c>
      <c r="S379" s="285">
        <v>30</v>
      </c>
      <c r="T379" s="285">
        <v>58</v>
      </c>
    </row>
    <row r="380" spans="2:20" x14ac:dyDescent="0.25">
      <c r="B380" s="249" t="s">
        <v>306</v>
      </c>
      <c r="C380" s="307">
        <v>10</v>
      </c>
      <c r="D380" s="307">
        <v>13</v>
      </c>
      <c r="E380" s="307">
        <v>23</v>
      </c>
      <c r="F380" s="307">
        <v>15</v>
      </c>
      <c r="G380" s="307">
        <v>6</v>
      </c>
      <c r="H380" s="284">
        <v>21</v>
      </c>
      <c r="I380" s="307">
        <v>1</v>
      </c>
      <c r="J380" s="284">
        <v>0</v>
      </c>
      <c r="K380" s="307">
        <v>1</v>
      </c>
      <c r="L380" s="284">
        <v>2</v>
      </c>
      <c r="M380" s="307">
        <v>2</v>
      </c>
      <c r="N380" s="284">
        <v>4</v>
      </c>
      <c r="O380" s="284">
        <v>0</v>
      </c>
      <c r="P380" s="284">
        <v>0</v>
      </c>
      <c r="Q380" s="284">
        <v>0</v>
      </c>
      <c r="R380" s="285">
        <v>28</v>
      </c>
      <c r="S380" s="285">
        <v>21</v>
      </c>
      <c r="T380" s="285">
        <v>49</v>
      </c>
    </row>
    <row r="381" spans="2:20" x14ac:dyDescent="0.25">
      <c r="B381" s="249" t="s">
        <v>307</v>
      </c>
      <c r="C381" s="307">
        <v>7</v>
      </c>
      <c r="D381" s="307">
        <v>6</v>
      </c>
      <c r="E381" s="307">
        <v>13</v>
      </c>
      <c r="F381" s="307">
        <v>0</v>
      </c>
      <c r="G381" s="307">
        <v>2</v>
      </c>
      <c r="H381" s="284">
        <v>2</v>
      </c>
      <c r="I381" s="307">
        <v>0</v>
      </c>
      <c r="J381" s="284">
        <v>0</v>
      </c>
      <c r="K381" s="307">
        <v>0</v>
      </c>
      <c r="L381" s="284">
        <v>0</v>
      </c>
      <c r="M381" s="307">
        <v>1</v>
      </c>
      <c r="N381" s="284">
        <v>1</v>
      </c>
      <c r="O381" s="284">
        <v>0</v>
      </c>
      <c r="P381" s="284">
        <v>0</v>
      </c>
      <c r="Q381" s="284">
        <v>0</v>
      </c>
      <c r="R381" s="285">
        <v>7</v>
      </c>
      <c r="S381" s="285">
        <v>9</v>
      </c>
      <c r="T381" s="285">
        <v>16</v>
      </c>
    </row>
    <row r="382" spans="2:20" x14ac:dyDescent="0.25">
      <c r="B382" s="249" t="s">
        <v>308</v>
      </c>
      <c r="C382" s="307">
        <v>6</v>
      </c>
      <c r="D382" s="307">
        <v>6</v>
      </c>
      <c r="E382" s="307">
        <v>12</v>
      </c>
      <c r="F382" s="307">
        <v>2</v>
      </c>
      <c r="G382" s="307">
        <v>3</v>
      </c>
      <c r="H382" s="284">
        <v>5</v>
      </c>
      <c r="I382" s="307">
        <v>1</v>
      </c>
      <c r="J382" s="284">
        <v>0</v>
      </c>
      <c r="K382" s="307">
        <v>1</v>
      </c>
      <c r="L382" s="284">
        <v>1</v>
      </c>
      <c r="M382" s="307">
        <v>1</v>
      </c>
      <c r="N382" s="284">
        <v>2</v>
      </c>
      <c r="O382" s="284">
        <v>0</v>
      </c>
      <c r="P382" s="284">
        <v>0</v>
      </c>
      <c r="Q382" s="284">
        <v>0</v>
      </c>
      <c r="R382" s="285">
        <v>10</v>
      </c>
      <c r="S382" s="285">
        <v>10</v>
      </c>
      <c r="T382" s="285">
        <v>20</v>
      </c>
    </row>
    <row r="383" spans="2:20" x14ac:dyDescent="0.25">
      <c r="B383" s="249" t="s">
        <v>309</v>
      </c>
      <c r="C383" s="307">
        <v>17</v>
      </c>
      <c r="D383" s="307">
        <v>17</v>
      </c>
      <c r="E383" s="307">
        <v>34</v>
      </c>
      <c r="F383" s="307">
        <v>5</v>
      </c>
      <c r="G383" s="307">
        <v>10</v>
      </c>
      <c r="H383" s="284">
        <v>15</v>
      </c>
      <c r="I383" s="307">
        <v>0</v>
      </c>
      <c r="J383" s="284">
        <v>1</v>
      </c>
      <c r="K383" s="307">
        <v>1</v>
      </c>
      <c r="L383" s="284">
        <v>1</v>
      </c>
      <c r="M383" s="307">
        <v>1</v>
      </c>
      <c r="N383" s="284">
        <v>2</v>
      </c>
      <c r="O383" s="284">
        <v>0</v>
      </c>
      <c r="P383" s="284">
        <v>0</v>
      </c>
      <c r="Q383" s="284">
        <v>0</v>
      </c>
      <c r="R383" s="285">
        <v>23</v>
      </c>
      <c r="S383" s="285">
        <v>29</v>
      </c>
      <c r="T383" s="285">
        <v>52</v>
      </c>
    </row>
    <row r="384" spans="2:20" x14ac:dyDescent="0.25">
      <c r="B384" s="249" t="s">
        <v>310</v>
      </c>
      <c r="C384" s="307">
        <v>7</v>
      </c>
      <c r="D384" s="307">
        <v>9</v>
      </c>
      <c r="E384" s="307">
        <v>16</v>
      </c>
      <c r="F384" s="307">
        <v>2</v>
      </c>
      <c r="G384" s="307">
        <v>4</v>
      </c>
      <c r="H384" s="284">
        <v>6</v>
      </c>
      <c r="I384" s="307">
        <v>3</v>
      </c>
      <c r="J384" s="284">
        <v>0</v>
      </c>
      <c r="K384" s="307">
        <v>3</v>
      </c>
      <c r="L384" s="284">
        <v>0</v>
      </c>
      <c r="M384" s="307">
        <v>0</v>
      </c>
      <c r="N384" s="284">
        <v>0</v>
      </c>
      <c r="O384" s="284">
        <v>0</v>
      </c>
      <c r="P384" s="284">
        <v>0</v>
      </c>
      <c r="Q384" s="284">
        <v>0</v>
      </c>
      <c r="R384" s="285">
        <v>12</v>
      </c>
      <c r="S384" s="285">
        <v>13</v>
      </c>
      <c r="T384" s="285">
        <v>25</v>
      </c>
    </row>
    <row r="385" spans="2:20" x14ac:dyDescent="0.25">
      <c r="B385" s="249" t="s">
        <v>311</v>
      </c>
      <c r="C385" s="307">
        <v>12</v>
      </c>
      <c r="D385" s="307">
        <v>9</v>
      </c>
      <c r="E385" s="307">
        <v>21</v>
      </c>
      <c r="F385" s="307">
        <v>8</v>
      </c>
      <c r="G385" s="307">
        <v>10</v>
      </c>
      <c r="H385" s="284">
        <v>18</v>
      </c>
      <c r="I385" s="307">
        <v>0</v>
      </c>
      <c r="J385" s="284">
        <v>1</v>
      </c>
      <c r="K385" s="307">
        <v>1</v>
      </c>
      <c r="L385" s="284">
        <v>0</v>
      </c>
      <c r="M385" s="307">
        <v>1</v>
      </c>
      <c r="N385" s="284">
        <v>1</v>
      </c>
      <c r="O385" s="284">
        <v>0</v>
      </c>
      <c r="P385" s="284">
        <v>0</v>
      </c>
      <c r="Q385" s="284">
        <v>0</v>
      </c>
      <c r="R385" s="285">
        <v>20</v>
      </c>
      <c r="S385" s="285">
        <v>21</v>
      </c>
      <c r="T385" s="285">
        <v>41</v>
      </c>
    </row>
    <row r="386" spans="2:20" x14ac:dyDescent="0.25">
      <c r="B386" s="249" t="s">
        <v>312</v>
      </c>
      <c r="C386" s="307">
        <v>24</v>
      </c>
      <c r="D386" s="307">
        <v>20</v>
      </c>
      <c r="E386" s="307">
        <v>44</v>
      </c>
      <c r="F386" s="307">
        <v>14</v>
      </c>
      <c r="G386" s="307">
        <v>12</v>
      </c>
      <c r="H386" s="284">
        <v>26</v>
      </c>
      <c r="I386" s="307">
        <v>0</v>
      </c>
      <c r="J386" s="284">
        <v>0</v>
      </c>
      <c r="K386" s="307">
        <v>0</v>
      </c>
      <c r="L386" s="284">
        <v>2</v>
      </c>
      <c r="M386" s="307">
        <v>3</v>
      </c>
      <c r="N386" s="284">
        <v>5</v>
      </c>
      <c r="O386" s="284">
        <v>0</v>
      </c>
      <c r="P386" s="284">
        <v>0</v>
      </c>
      <c r="Q386" s="284">
        <v>0</v>
      </c>
      <c r="R386" s="285">
        <v>40</v>
      </c>
      <c r="S386" s="285">
        <v>35</v>
      </c>
      <c r="T386" s="285">
        <v>75</v>
      </c>
    </row>
    <row r="387" spans="2:20" x14ac:dyDescent="0.25">
      <c r="B387" s="249" t="s">
        <v>313</v>
      </c>
      <c r="C387" s="307">
        <v>17</v>
      </c>
      <c r="D387" s="307">
        <v>16</v>
      </c>
      <c r="E387" s="307">
        <v>33</v>
      </c>
      <c r="F387" s="307">
        <v>9</v>
      </c>
      <c r="G387" s="307">
        <v>13</v>
      </c>
      <c r="H387" s="284">
        <v>22</v>
      </c>
      <c r="I387" s="307">
        <v>1</v>
      </c>
      <c r="J387" s="284">
        <v>0</v>
      </c>
      <c r="K387" s="307">
        <v>1</v>
      </c>
      <c r="L387" s="284">
        <v>2</v>
      </c>
      <c r="M387" s="307">
        <v>2</v>
      </c>
      <c r="N387" s="284">
        <v>4</v>
      </c>
      <c r="O387" s="284">
        <v>0</v>
      </c>
      <c r="P387" s="284">
        <v>0</v>
      </c>
      <c r="Q387" s="284">
        <v>0</v>
      </c>
      <c r="R387" s="285">
        <v>29</v>
      </c>
      <c r="S387" s="285">
        <v>31</v>
      </c>
      <c r="T387" s="285">
        <v>60</v>
      </c>
    </row>
    <row r="388" spans="2:20" x14ac:dyDescent="0.25">
      <c r="B388" s="249" t="s">
        <v>314</v>
      </c>
      <c r="C388" s="307">
        <v>4</v>
      </c>
      <c r="D388" s="307">
        <v>7</v>
      </c>
      <c r="E388" s="307">
        <v>11</v>
      </c>
      <c r="F388" s="307">
        <v>2</v>
      </c>
      <c r="G388" s="307">
        <v>1</v>
      </c>
      <c r="H388" s="284">
        <v>3</v>
      </c>
      <c r="I388" s="307">
        <v>0</v>
      </c>
      <c r="J388" s="284">
        <v>2</v>
      </c>
      <c r="K388" s="307">
        <v>2</v>
      </c>
      <c r="L388" s="284">
        <v>0</v>
      </c>
      <c r="M388" s="307">
        <v>0</v>
      </c>
      <c r="N388" s="284">
        <v>0</v>
      </c>
      <c r="O388" s="284">
        <v>0</v>
      </c>
      <c r="P388" s="284">
        <v>0</v>
      </c>
      <c r="Q388" s="284">
        <v>0</v>
      </c>
      <c r="R388" s="285">
        <v>6</v>
      </c>
      <c r="S388" s="285">
        <v>10</v>
      </c>
      <c r="T388" s="285">
        <v>16</v>
      </c>
    </row>
    <row r="389" spans="2:20" x14ac:dyDescent="0.25">
      <c r="B389" s="249" t="s">
        <v>315</v>
      </c>
      <c r="C389" s="307">
        <v>8</v>
      </c>
      <c r="D389" s="307">
        <v>7</v>
      </c>
      <c r="E389" s="307">
        <v>15</v>
      </c>
      <c r="F389" s="307">
        <v>2</v>
      </c>
      <c r="G389" s="307">
        <v>2</v>
      </c>
      <c r="H389" s="284">
        <v>4</v>
      </c>
      <c r="I389" s="307">
        <v>0</v>
      </c>
      <c r="J389" s="284">
        <v>1</v>
      </c>
      <c r="K389" s="307">
        <v>1</v>
      </c>
      <c r="L389" s="284">
        <v>0</v>
      </c>
      <c r="M389" s="307">
        <v>0</v>
      </c>
      <c r="N389" s="284">
        <v>0</v>
      </c>
      <c r="O389" s="284">
        <v>0</v>
      </c>
      <c r="P389" s="284">
        <v>0</v>
      </c>
      <c r="Q389" s="284">
        <v>0</v>
      </c>
      <c r="R389" s="285">
        <v>10</v>
      </c>
      <c r="S389" s="285">
        <v>10</v>
      </c>
      <c r="T389" s="285">
        <v>20</v>
      </c>
    </row>
    <row r="390" spans="2:20" x14ac:dyDescent="0.25">
      <c r="B390" s="249" t="s">
        <v>316</v>
      </c>
      <c r="C390" s="307">
        <v>7</v>
      </c>
      <c r="D390" s="307">
        <v>4</v>
      </c>
      <c r="E390" s="307">
        <v>11</v>
      </c>
      <c r="F390" s="307">
        <v>1</v>
      </c>
      <c r="G390" s="307">
        <v>3</v>
      </c>
      <c r="H390" s="284">
        <v>4</v>
      </c>
      <c r="I390" s="307">
        <v>1</v>
      </c>
      <c r="J390" s="284">
        <v>0</v>
      </c>
      <c r="K390" s="307">
        <v>1</v>
      </c>
      <c r="L390" s="284">
        <v>0</v>
      </c>
      <c r="M390" s="307">
        <v>0</v>
      </c>
      <c r="N390" s="284">
        <v>0</v>
      </c>
      <c r="O390" s="284">
        <v>0</v>
      </c>
      <c r="P390" s="284">
        <v>0</v>
      </c>
      <c r="Q390" s="284">
        <v>0</v>
      </c>
      <c r="R390" s="285">
        <v>9</v>
      </c>
      <c r="S390" s="285">
        <v>7</v>
      </c>
      <c r="T390" s="285">
        <v>16</v>
      </c>
    </row>
    <row r="391" spans="2:20" x14ac:dyDescent="0.25">
      <c r="B391" s="249" t="s">
        <v>317</v>
      </c>
      <c r="C391" s="307">
        <v>10</v>
      </c>
      <c r="D391" s="307">
        <v>5</v>
      </c>
      <c r="E391" s="307">
        <v>15</v>
      </c>
      <c r="F391" s="307">
        <v>2</v>
      </c>
      <c r="G391" s="307">
        <v>5</v>
      </c>
      <c r="H391" s="284">
        <v>7</v>
      </c>
      <c r="I391" s="307">
        <v>0</v>
      </c>
      <c r="J391" s="284">
        <v>0</v>
      </c>
      <c r="K391" s="307">
        <v>0</v>
      </c>
      <c r="L391" s="284">
        <v>0</v>
      </c>
      <c r="M391" s="307">
        <v>0</v>
      </c>
      <c r="N391" s="284">
        <v>0</v>
      </c>
      <c r="O391" s="284">
        <v>0</v>
      </c>
      <c r="P391" s="284">
        <v>0</v>
      </c>
      <c r="Q391" s="284">
        <v>0</v>
      </c>
      <c r="R391" s="285">
        <v>12</v>
      </c>
      <c r="S391" s="285">
        <v>10</v>
      </c>
      <c r="T391" s="285">
        <v>22</v>
      </c>
    </row>
    <row r="392" spans="2:20" x14ac:dyDescent="0.25">
      <c r="B392" s="249" t="s">
        <v>318</v>
      </c>
      <c r="C392" s="307">
        <v>31</v>
      </c>
      <c r="D392" s="307">
        <v>27</v>
      </c>
      <c r="E392" s="307">
        <v>58</v>
      </c>
      <c r="F392" s="307">
        <v>10</v>
      </c>
      <c r="G392" s="307">
        <v>9</v>
      </c>
      <c r="H392" s="284">
        <v>19</v>
      </c>
      <c r="I392" s="307">
        <v>2</v>
      </c>
      <c r="J392" s="284">
        <v>0</v>
      </c>
      <c r="K392" s="307">
        <v>2</v>
      </c>
      <c r="L392" s="284">
        <v>1</v>
      </c>
      <c r="M392" s="307">
        <v>5</v>
      </c>
      <c r="N392" s="284">
        <v>6</v>
      </c>
      <c r="O392" s="284">
        <v>0</v>
      </c>
      <c r="P392" s="284">
        <v>0</v>
      </c>
      <c r="Q392" s="284">
        <v>0</v>
      </c>
      <c r="R392" s="285">
        <v>44</v>
      </c>
      <c r="S392" s="285">
        <v>41</v>
      </c>
      <c r="T392" s="285">
        <v>85</v>
      </c>
    </row>
    <row r="393" spans="2:20" x14ac:dyDescent="0.25">
      <c r="B393" s="249" t="s">
        <v>319</v>
      </c>
      <c r="C393" s="307">
        <v>48</v>
      </c>
      <c r="D393" s="307">
        <v>33</v>
      </c>
      <c r="E393" s="307">
        <v>81</v>
      </c>
      <c r="F393" s="307">
        <v>31</v>
      </c>
      <c r="G393" s="307">
        <v>16</v>
      </c>
      <c r="H393" s="284">
        <v>47</v>
      </c>
      <c r="I393" s="307">
        <v>2</v>
      </c>
      <c r="J393" s="284">
        <v>0</v>
      </c>
      <c r="K393" s="307">
        <v>2</v>
      </c>
      <c r="L393" s="284">
        <v>2</v>
      </c>
      <c r="M393" s="307">
        <v>3</v>
      </c>
      <c r="N393" s="284">
        <v>5</v>
      </c>
      <c r="O393" s="284">
        <v>0</v>
      </c>
      <c r="P393" s="284">
        <v>0</v>
      </c>
      <c r="Q393" s="284">
        <v>0</v>
      </c>
      <c r="R393" s="285">
        <v>83</v>
      </c>
      <c r="S393" s="285">
        <v>52</v>
      </c>
      <c r="T393" s="285">
        <v>135</v>
      </c>
    </row>
    <row r="394" spans="2:20" x14ac:dyDescent="0.25">
      <c r="B394" s="249" t="s">
        <v>320</v>
      </c>
      <c r="C394" s="307">
        <v>6</v>
      </c>
      <c r="D394" s="307">
        <v>1</v>
      </c>
      <c r="E394" s="307">
        <v>7</v>
      </c>
      <c r="F394" s="307">
        <v>6</v>
      </c>
      <c r="G394" s="307">
        <v>3</v>
      </c>
      <c r="H394" s="284">
        <v>9</v>
      </c>
      <c r="I394" s="307">
        <v>0</v>
      </c>
      <c r="J394" s="284">
        <v>1</v>
      </c>
      <c r="K394" s="307">
        <v>1</v>
      </c>
      <c r="L394" s="284">
        <v>0</v>
      </c>
      <c r="M394" s="307">
        <v>1</v>
      </c>
      <c r="N394" s="284">
        <v>1</v>
      </c>
      <c r="O394" s="284">
        <v>0</v>
      </c>
      <c r="P394" s="284">
        <v>0</v>
      </c>
      <c r="Q394" s="284">
        <v>0</v>
      </c>
      <c r="R394" s="285">
        <v>12</v>
      </c>
      <c r="S394" s="285">
        <v>6</v>
      </c>
      <c r="T394" s="285">
        <v>18</v>
      </c>
    </row>
    <row r="395" spans="2:20" x14ac:dyDescent="0.25">
      <c r="B395" s="249" t="s">
        <v>321</v>
      </c>
      <c r="C395" s="307">
        <v>17</v>
      </c>
      <c r="D395" s="307">
        <v>15</v>
      </c>
      <c r="E395" s="307">
        <v>32</v>
      </c>
      <c r="F395" s="307">
        <v>10</v>
      </c>
      <c r="G395" s="307">
        <v>6</v>
      </c>
      <c r="H395" s="284">
        <v>16</v>
      </c>
      <c r="I395" s="307">
        <v>1</v>
      </c>
      <c r="J395" s="284">
        <v>0</v>
      </c>
      <c r="K395" s="307">
        <v>1</v>
      </c>
      <c r="L395" s="284">
        <v>0</v>
      </c>
      <c r="M395" s="307">
        <v>3</v>
      </c>
      <c r="N395" s="284">
        <v>3</v>
      </c>
      <c r="O395" s="284">
        <v>0</v>
      </c>
      <c r="P395" s="284">
        <v>0</v>
      </c>
      <c r="Q395" s="284">
        <v>0</v>
      </c>
      <c r="R395" s="285">
        <v>28</v>
      </c>
      <c r="S395" s="285">
        <v>24</v>
      </c>
      <c r="T395" s="285">
        <v>52</v>
      </c>
    </row>
    <row r="396" spans="2:20" x14ac:dyDescent="0.25">
      <c r="B396" s="249" t="s">
        <v>322</v>
      </c>
      <c r="C396" s="307">
        <v>22</v>
      </c>
      <c r="D396" s="307">
        <v>25</v>
      </c>
      <c r="E396" s="307">
        <v>47</v>
      </c>
      <c r="F396" s="307">
        <v>14</v>
      </c>
      <c r="G396" s="307">
        <v>12</v>
      </c>
      <c r="H396" s="284">
        <v>26</v>
      </c>
      <c r="I396" s="307">
        <v>1</v>
      </c>
      <c r="J396" s="284">
        <v>2</v>
      </c>
      <c r="K396" s="307">
        <v>3</v>
      </c>
      <c r="L396" s="284">
        <v>2</v>
      </c>
      <c r="M396" s="307">
        <v>1</v>
      </c>
      <c r="N396" s="284">
        <v>3</v>
      </c>
      <c r="O396" s="284">
        <v>0</v>
      </c>
      <c r="P396" s="284">
        <v>0</v>
      </c>
      <c r="Q396" s="284">
        <v>0</v>
      </c>
      <c r="R396" s="285">
        <v>39</v>
      </c>
      <c r="S396" s="285">
        <v>40</v>
      </c>
      <c r="T396" s="285">
        <v>79</v>
      </c>
    </row>
    <row r="397" spans="2:20" x14ac:dyDescent="0.25">
      <c r="B397" s="249" t="s">
        <v>323</v>
      </c>
      <c r="C397" s="307">
        <v>16</v>
      </c>
      <c r="D397" s="307">
        <v>12</v>
      </c>
      <c r="E397" s="307">
        <v>28</v>
      </c>
      <c r="F397" s="307">
        <v>4</v>
      </c>
      <c r="G397" s="307">
        <v>4</v>
      </c>
      <c r="H397" s="284">
        <v>8</v>
      </c>
      <c r="I397" s="307">
        <v>0</v>
      </c>
      <c r="J397" s="284">
        <v>0</v>
      </c>
      <c r="K397" s="307">
        <v>0</v>
      </c>
      <c r="L397" s="284">
        <v>1</v>
      </c>
      <c r="M397" s="307">
        <v>2</v>
      </c>
      <c r="N397" s="284">
        <v>3</v>
      </c>
      <c r="O397" s="284">
        <v>0</v>
      </c>
      <c r="P397" s="284">
        <v>0</v>
      </c>
      <c r="Q397" s="284">
        <v>0</v>
      </c>
      <c r="R397" s="285">
        <v>21</v>
      </c>
      <c r="S397" s="285">
        <v>18</v>
      </c>
      <c r="T397" s="285">
        <v>39</v>
      </c>
    </row>
    <row r="398" spans="2:20" x14ac:dyDescent="0.25">
      <c r="B398" s="249" t="s">
        <v>324</v>
      </c>
      <c r="C398" s="307">
        <v>8</v>
      </c>
      <c r="D398" s="307">
        <v>6</v>
      </c>
      <c r="E398" s="307">
        <v>14</v>
      </c>
      <c r="F398" s="307">
        <v>9</v>
      </c>
      <c r="G398" s="307">
        <v>10</v>
      </c>
      <c r="H398" s="284">
        <v>19</v>
      </c>
      <c r="I398" s="307">
        <v>0</v>
      </c>
      <c r="J398" s="284">
        <v>0</v>
      </c>
      <c r="K398" s="307">
        <v>0</v>
      </c>
      <c r="L398" s="284">
        <v>2</v>
      </c>
      <c r="M398" s="307">
        <v>2</v>
      </c>
      <c r="N398" s="284">
        <v>4</v>
      </c>
      <c r="O398" s="284">
        <v>0</v>
      </c>
      <c r="P398" s="284">
        <v>0</v>
      </c>
      <c r="Q398" s="284">
        <v>0</v>
      </c>
      <c r="R398" s="285">
        <v>19</v>
      </c>
      <c r="S398" s="285">
        <v>18</v>
      </c>
      <c r="T398" s="285">
        <v>37</v>
      </c>
    </row>
    <row r="399" spans="2:20" x14ac:dyDescent="0.25">
      <c r="B399" s="249" t="s">
        <v>325</v>
      </c>
      <c r="C399" s="307">
        <v>9</v>
      </c>
      <c r="D399" s="307">
        <v>6</v>
      </c>
      <c r="E399" s="307">
        <v>15</v>
      </c>
      <c r="F399" s="307">
        <v>5</v>
      </c>
      <c r="G399" s="307">
        <v>6</v>
      </c>
      <c r="H399" s="284">
        <v>11</v>
      </c>
      <c r="I399" s="307">
        <v>0</v>
      </c>
      <c r="J399" s="284">
        <v>0</v>
      </c>
      <c r="K399" s="307">
        <v>0</v>
      </c>
      <c r="L399" s="284">
        <v>1</v>
      </c>
      <c r="M399" s="307">
        <v>2</v>
      </c>
      <c r="N399" s="284">
        <v>3</v>
      </c>
      <c r="O399" s="284">
        <v>0</v>
      </c>
      <c r="P399" s="284">
        <v>0</v>
      </c>
      <c r="Q399" s="284">
        <v>0</v>
      </c>
      <c r="R399" s="285">
        <v>15</v>
      </c>
      <c r="S399" s="285">
        <v>14</v>
      </c>
      <c r="T399" s="285">
        <v>29</v>
      </c>
    </row>
    <row r="400" spans="2:20" x14ac:dyDescent="0.25">
      <c r="B400" s="249" t="s">
        <v>326</v>
      </c>
      <c r="C400" s="307">
        <v>139</v>
      </c>
      <c r="D400" s="307">
        <v>157</v>
      </c>
      <c r="E400" s="307">
        <v>296</v>
      </c>
      <c r="F400" s="307">
        <v>120</v>
      </c>
      <c r="G400" s="307">
        <v>90</v>
      </c>
      <c r="H400" s="284">
        <v>210</v>
      </c>
      <c r="I400" s="307">
        <v>7</v>
      </c>
      <c r="J400" s="284">
        <v>4</v>
      </c>
      <c r="K400" s="307">
        <v>11</v>
      </c>
      <c r="L400" s="284">
        <v>7</v>
      </c>
      <c r="M400" s="307">
        <v>19</v>
      </c>
      <c r="N400" s="284">
        <v>26</v>
      </c>
      <c r="O400" s="284">
        <v>0</v>
      </c>
      <c r="P400" s="284">
        <v>0</v>
      </c>
      <c r="Q400" s="284">
        <v>0</v>
      </c>
      <c r="R400" s="285">
        <v>273</v>
      </c>
      <c r="S400" s="285">
        <v>270</v>
      </c>
      <c r="T400" s="285">
        <v>543</v>
      </c>
    </row>
    <row r="401" spans="2:20" x14ac:dyDescent="0.25">
      <c r="B401" s="249" t="s">
        <v>327</v>
      </c>
      <c r="C401" s="307">
        <v>14</v>
      </c>
      <c r="D401" s="307">
        <v>8</v>
      </c>
      <c r="E401" s="307">
        <v>22</v>
      </c>
      <c r="F401" s="307">
        <v>8</v>
      </c>
      <c r="G401" s="307">
        <v>8</v>
      </c>
      <c r="H401" s="284">
        <v>16</v>
      </c>
      <c r="I401" s="307">
        <v>0</v>
      </c>
      <c r="J401" s="284">
        <v>1</v>
      </c>
      <c r="K401" s="307">
        <v>1</v>
      </c>
      <c r="L401" s="284">
        <v>1</v>
      </c>
      <c r="M401" s="307">
        <v>3</v>
      </c>
      <c r="N401" s="284">
        <v>4</v>
      </c>
      <c r="O401" s="284">
        <v>0</v>
      </c>
      <c r="P401" s="284">
        <v>0</v>
      </c>
      <c r="Q401" s="284">
        <v>0</v>
      </c>
      <c r="R401" s="285">
        <v>23</v>
      </c>
      <c r="S401" s="285">
        <v>20</v>
      </c>
      <c r="T401" s="285">
        <v>43</v>
      </c>
    </row>
    <row r="402" spans="2:20" x14ac:dyDescent="0.25">
      <c r="B402" s="249" t="s">
        <v>328</v>
      </c>
      <c r="C402" s="307">
        <v>8</v>
      </c>
      <c r="D402" s="307">
        <v>9</v>
      </c>
      <c r="E402" s="307">
        <v>17</v>
      </c>
      <c r="F402" s="307">
        <v>2</v>
      </c>
      <c r="G402" s="307">
        <v>3</v>
      </c>
      <c r="H402" s="284">
        <v>5</v>
      </c>
      <c r="I402" s="307">
        <v>1</v>
      </c>
      <c r="J402" s="284">
        <v>0</v>
      </c>
      <c r="K402" s="307">
        <v>1</v>
      </c>
      <c r="L402" s="284">
        <v>0</v>
      </c>
      <c r="M402" s="307">
        <v>0</v>
      </c>
      <c r="N402" s="284">
        <v>0</v>
      </c>
      <c r="O402" s="284">
        <v>0</v>
      </c>
      <c r="P402" s="284">
        <v>0</v>
      </c>
      <c r="Q402" s="284">
        <v>0</v>
      </c>
      <c r="R402" s="285">
        <v>11</v>
      </c>
      <c r="S402" s="285">
        <v>12</v>
      </c>
      <c r="T402" s="285">
        <v>23</v>
      </c>
    </row>
    <row r="403" spans="2:20" x14ac:dyDescent="0.25">
      <c r="B403" s="249" t="s">
        <v>329</v>
      </c>
      <c r="C403" s="307">
        <v>7</v>
      </c>
      <c r="D403" s="307">
        <v>17</v>
      </c>
      <c r="E403" s="307">
        <v>24</v>
      </c>
      <c r="F403" s="307">
        <v>8</v>
      </c>
      <c r="G403" s="307">
        <v>4</v>
      </c>
      <c r="H403" s="284">
        <v>12</v>
      </c>
      <c r="I403" s="307">
        <v>0</v>
      </c>
      <c r="J403" s="284">
        <v>0</v>
      </c>
      <c r="K403" s="307">
        <v>0</v>
      </c>
      <c r="L403" s="284">
        <v>1</v>
      </c>
      <c r="M403" s="307">
        <v>2</v>
      </c>
      <c r="N403" s="284">
        <v>3</v>
      </c>
      <c r="O403" s="284">
        <v>0</v>
      </c>
      <c r="P403" s="284">
        <v>0</v>
      </c>
      <c r="Q403" s="284">
        <v>0</v>
      </c>
      <c r="R403" s="285">
        <v>16</v>
      </c>
      <c r="S403" s="285">
        <v>23</v>
      </c>
      <c r="T403" s="285">
        <v>39</v>
      </c>
    </row>
    <row r="404" spans="2:20" x14ac:dyDescent="0.25">
      <c r="B404" s="249" t="s">
        <v>330</v>
      </c>
      <c r="C404" s="307">
        <v>28</v>
      </c>
      <c r="D404" s="307">
        <v>24</v>
      </c>
      <c r="E404" s="307">
        <v>52</v>
      </c>
      <c r="F404" s="307">
        <v>16</v>
      </c>
      <c r="G404" s="307">
        <v>14</v>
      </c>
      <c r="H404" s="284">
        <v>30</v>
      </c>
      <c r="I404" s="307">
        <v>3</v>
      </c>
      <c r="J404" s="284">
        <v>0</v>
      </c>
      <c r="K404" s="307">
        <v>3</v>
      </c>
      <c r="L404" s="284">
        <v>3</v>
      </c>
      <c r="M404" s="307">
        <v>2</v>
      </c>
      <c r="N404" s="284">
        <v>5</v>
      </c>
      <c r="O404" s="284">
        <v>0</v>
      </c>
      <c r="P404" s="284">
        <v>0</v>
      </c>
      <c r="Q404" s="284">
        <v>0</v>
      </c>
      <c r="R404" s="285">
        <v>50</v>
      </c>
      <c r="S404" s="285">
        <v>40</v>
      </c>
      <c r="T404" s="285">
        <v>90</v>
      </c>
    </row>
    <row r="405" spans="2:20" x14ac:dyDescent="0.25">
      <c r="B405" s="249" t="s">
        <v>331</v>
      </c>
      <c r="C405" s="307">
        <v>21</v>
      </c>
      <c r="D405" s="307">
        <v>20</v>
      </c>
      <c r="E405" s="307">
        <v>41</v>
      </c>
      <c r="F405" s="307">
        <v>8</v>
      </c>
      <c r="G405" s="307">
        <v>8</v>
      </c>
      <c r="H405" s="284">
        <v>16</v>
      </c>
      <c r="I405" s="307">
        <v>0</v>
      </c>
      <c r="J405" s="284">
        <v>0</v>
      </c>
      <c r="K405" s="307">
        <v>0</v>
      </c>
      <c r="L405" s="284">
        <v>0</v>
      </c>
      <c r="M405" s="307">
        <v>3</v>
      </c>
      <c r="N405" s="284">
        <v>3</v>
      </c>
      <c r="O405" s="284">
        <v>0</v>
      </c>
      <c r="P405" s="284">
        <v>0</v>
      </c>
      <c r="Q405" s="284">
        <v>0</v>
      </c>
      <c r="R405" s="285">
        <v>29</v>
      </c>
      <c r="S405" s="285">
        <v>31</v>
      </c>
      <c r="T405" s="285">
        <v>60</v>
      </c>
    </row>
    <row r="406" spans="2:20" x14ac:dyDescent="0.25">
      <c r="B406" s="249" t="s">
        <v>332</v>
      </c>
      <c r="C406" s="307">
        <v>32</v>
      </c>
      <c r="D406" s="307">
        <v>45</v>
      </c>
      <c r="E406" s="307">
        <v>77</v>
      </c>
      <c r="F406" s="307">
        <v>35</v>
      </c>
      <c r="G406" s="307">
        <v>16</v>
      </c>
      <c r="H406" s="284">
        <v>51</v>
      </c>
      <c r="I406" s="307">
        <v>4</v>
      </c>
      <c r="J406" s="284">
        <v>1</v>
      </c>
      <c r="K406" s="307">
        <v>5</v>
      </c>
      <c r="L406" s="284">
        <v>3</v>
      </c>
      <c r="M406" s="307">
        <v>5</v>
      </c>
      <c r="N406" s="284">
        <v>8</v>
      </c>
      <c r="O406" s="284">
        <v>0</v>
      </c>
      <c r="P406" s="284">
        <v>0</v>
      </c>
      <c r="Q406" s="284">
        <v>0</v>
      </c>
      <c r="R406" s="285">
        <v>74</v>
      </c>
      <c r="S406" s="285">
        <v>67</v>
      </c>
      <c r="T406" s="285">
        <v>141</v>
      </c>
    </row>
    <row r="407" spans="2:20" x14ac:dyDescent="0.25">
      <c r="B407" s="297" t="s">
        <v>25</v>
      </c>
      <c r="C407" s="282">
        <v>644</v>
      </c>
      <c r="D407" s="282">
        <v>628</v>
      </c>
      <c r="E407" s="282">
        <v>1272</v>
      </c>
      <c r="F407" s="282">
        <v>413</v>
      </c>
      <c r="G407" s="282">
        <v>326</v>
      </c>
      <c r="H407" s="285">
        <v>739</v>
      </c>
      <c r="I407" s="282">
        <v>33</v>
      </c>
      <c r="J407" s="285">
        <v>18</v>
      </c>
      <c r="K407" s="282">
        <v>51</v>
      </c>
      <c r="L407" s="285">
        <v>38</v>
      </c>
      <c r="M407" s="282">
        <v>79</v>
      </c>
      <c r="N407" s="285">
        <v>117</v>
      </c>
      <c r="O407" s="285">
        <v>0</v>
      </c>
      <c r="P407" s="285">
        <v>0</v>
      </c>
      <c r="Q407" s="285">
        <v>0</v>
      </c>
      <c r="R407" s="285">
        <v>1128</v>
      </c>
      <c r="S407" s="285">
        <v>1051</v>
      </c>
      <c r="T407" s="285">
        <v>2179</v>
      </c>
    </row>
    <row r="408" spans="2:20" ht="84" customHeight="1" x14ac:dyDescent="0.25">
      <c r="B408" s="454" t="s">
        <v>866</v>
      </c>
      <c r="C408" s="454"/>
      <c r="D408" s="454"/>
      <c r="E408" s="454"/>
      <c r="F408" s="454"/>
      <c r="G408" s="454"/>
      <c r="H408" s="454"/>
      <c r="I408" s="454"/>
      <c r="J408" s="454"/>
      <c r="K408" s="454"/>
      <c r="L408" s="454"/>
      <c r="M408" s="454"/>
      <c r="N408" s="454"/>
      <c r="O408" s="454"/>
      <c r="P408" s="454"/>
      <c r="Q408" s="454"/>
    </row>
    <row r="409" spans="2:20" x14ac:dyDescent="0.25">
      <c r="B409" s="157"/>
      <c r="C409" s="157"/>
      <c r="D409" s="157"/>
      <c r="E409"/>
      <c r="F409"/>
      <c r="G409"/>
    </row>
    <row r="410" spans="2:20" x14ac:dyDescent="0.25">
      <c r="B410" s="157"/>
      <c r="C410" s="157"/>
      <c r="D410" s="157"/>
      <c r="E410"/>
      <c r="F410"/>
      <c r="G410"/>
    </row>
    <row r="411" spans="2:20" x14ac:dyDescent="0.25">
      <c r="B411" s="186" t="s">
        <v>518</v>
      </c>
      <c r="C411"/>
      <c r="D411"/>
      <c r="E411"/>
      <c r="F411"/>
      <c r="G411"/>
    </row>
    <row r="412" spans="2:20" x14ac:dyDescent="0.25">
      <c r="B412" s="186"/>
      <c r="C412"/>
      <c r="D412"/>
      <c r="E412"/>
      <c r="F412"/>
      <c r="G412"/>
    </row>
    <row r="413" spans="2:20" ht="15" customHeight="1" x14ac:dyDescent="0.25">
      <c r="B413" s="426" t="s">
        <v>532</v>
      </c>
      <c r="C413" s="475" t="s">
        <v>477</v>
      </c>
      <c r="D413" s="475"/>
      <c r="E413" s="475"/>
      <c r="F413" s="475"/>
      <c r="G413" s="475"/>
      <c r="H413" s="475"/>
      <c r="I413" s="475"/>
      <c r="J413" s="475"/>
      <c r="K413" s="475"/>
      <c r="L413" s="475"/>
      <c r="M413" s="475"/>
      <c r="N413" s="475"/>
      <c r="O413" s="475"/>
      <c r="P413" s="475"/>
      <c r="Q413" s="475"/>
      <c r="R413" s="469" t="s">
        <v>877</v>
      </c>
      <c r="S413" s="470"/>
      <c r="T413" s="471"/>
    </row>
    <row r="414" spans="2:20" ht="15" customHeight="1" x14ac:dyDescent="0.25">
      <c r="B414" s="427"/>
      <c r="C414" s="463" t="s">
        <v>849</v>
      </c>
      <c r="D414" s="463"/>
      <c r="E414" s="463"/>
      <c r="F414" s="463" t="s">
        <v>850</v>
      </c>
      <c r="G414" s="463"/>
      <c r="H414" s="463"/>
      <c r="I414" s="463" t="s">
        <v>3</v>
      </c>
      <c r="J414" s="463"/>
      <c r="K414" s="463"/>
      <c r="L414" s="463" t="s">
        <v>5</v>
      </c>
      <c r="M414" s="463"/>
      <c r="N414" s="463"/>
      <c r="O414" s="463" t="s">
        <v>859</v>
      </c>
      <c r="P414" s="463"/>
      <c r="Q414" s="463"/>
      <c r="R414" s="472"/>
      <c r="S414" s="473"/>
      <c r="T414" s="474"/>
    </row>
    <row r="415" spans="2:20" x14ac:dyDescent="0.25">
      <c r="B415" s="428"/>
      <c r="C415" s="264" t="s">
        <v>73</v>
      </c>
      <c r="D415" s="264" t="s">
        <v>74</v>
      </c>
      <c r="E415" s="264" t="s">
        <v>25</v>
      </c>
      <c r="F415" s="264" t="s">
        <v>73</v>
      </c>
      <c r="G415" s="264" t="s">
        <v>74</v>
      </c>
      <c r="H415" s="264" t="s">
        <v>25</v>
      </c>
      <c r="I415" s="264" t="s">
        <v>73</v>
      </c>
      <c r="J415" s="264" t="s">
        <v>74</v>
      </c>
      <c r="K415" s="264" t="s">
        <v>25</v>
      </c>
      <c r="L415" s="264" t="s">
        <v>73</v>
      </c>
      <c r="M415" s="264" t="s">
        <v>74</v>
      </c>
      <c r="N415" s="264" t="s">
        <v>25</v>
      </c>
      <c r="O415" s="264" t="s">
        <v>73</v>
      </c>
      <c r="P415" s="264" t="s">
        <v>74</v>
      </c>
      <c r="Q415" s="264" t="s">
        <v>25</v>
      </c>
      <c r="R415" s="274" t="s">
        <v>73</v>
      </c>
      <c r="S415" s="274" t="s">
        <v>74</v>
      </c>
      <c r="T415" s="274" t="s">
        <v>25</v>
      </c>
    </row>
    <row r="416" spans="2:20" x14ac:dyDescent="0.25">
      <c r="B416" s="336" t="s">
        <v>435</v>
      </c>
      <c r="C416" s="307">
        <v>5</v>
      </c>
      <c r="D416" s="307">
        <v>5</v>
      </c>
      <c r="E416" s="307">
        <v>10</v>
      </c>
      <c r="F416" s="307">
        <v>1</v>
      </c>
      <c r="G416" s="307">
        <v>6</v>
      </c>
      <c r="H416" s="284">
        <v>7</v>
      </c>
      <c r="I416" s="307">
        <v>1</v>
      </c>
      <c r="J416" s="284">
        <v>0</v>
      </c>
      <c r="K416" s="307">
        <v>1</v>
      </c>
      <c r="L416" s="284">
        <v>0</v>
      </c>
      <c r="M416" s="307">
        <v>1</v>
      </c>
      <c r="N416" s="284">
        <v>1</v>
      </c>
      <c r="O416" s="284">
        <v>0</v>
      </c>
      <c r="P416" s="284">
        <v>0</v>
      </c>
      <c r="Q416" s="284">
        <v>0</v>
      </c>
      <c r="R416" s="285">
        <v>7</v>
      </c>
      <c r="S416" s="285">
        <v>12</v>
      </c>
      <c r="T416" s="285">
        <v>19</v>
      </c>
    </row>
    <row r="417" spans="2:20" x14ac:dyDescent="0.25">
      <c r="B417" s="249" t="s">
        <v>436</v>
      </c>
      <c r="C417" s="307">
        <v>13</v>
      </c>
      <c r="D417" s="307">
        <v>9</v>
      </c>
      <c r="E417" s="307">
        <v>22</v>
      </c>
      <c r="F417" s="307">
        <v>4</v>
      </c>
      <c r="G417" s="307">
        <v>6</v>
      </c>
      <c r="H417" s="284">
        <v>10</v>
      </c>
      <c r="I417" s="307">
        <v>0</v>
      </c>
      <c r="J417" s="284">
        <v>0</v>
      </c>
      <c r="K417" s="307">
        <v>0</v>
      </c>
      <c r="L417" s="284">
        <v>0</v>
      </c>
      <c r="M417" s="307">
        <v>3</v>
      </c>
      <c r="N417" s="284">
        <v>3</v>
      </c>
      <c r="O417" s="284">
        <v>0</v>
      </c>
      <c r="P417" s="284">
        <v>0</v>
      </c>
      <c r="Q417" s="284">
        <v>0</v>
      </c>
      <c r="R417" s="285">
        <v>17</v>
      </c>
      <c r="S417" s="285">
        <v>18</v>
      </c>
      <c r="T417" s="285">
        <v>35</v>
      </c>
    </row>
    <row r="418" spans="2:20" x14ac:dyDescent="0.25">
      <c r="B418" s="249" t="s">
        <v>437</v>
      </c>
      <c r="C418" s="307">
        <v>22</v>
      </c>
      <c r="D418" s="307">
        <v>31</v>
      </c>
      <c r="E418" s="307">
        <v>53</v>
      </c>
      <c r="F418" s="307">
        <v>16</v>
      </c>
      <c r="G418" s="307">
        <v>12</v>
      </c>
      <c r="H418" s="284">
        <v>28</v>
      </c>
      <c r="I418" s="307">
        <v>0</v>
      </c>
      <c r="J418" s="284">
        <v>0</v>
      </c>
      <c r="K418" s="307">
        <v>0</v>
      </c>
      <c r="L418" s="284">
        <v>1</v>
      </c>
      <c r="M418" s="307">
        <v>3</v>
      </c>
      <c r="N418" s="284">
        <v>4</v>
      </c>
      <c r="O418" s="284">
        <v>0</v>
      </c>
      <c r="P418" s="284">
        <v>0</v>
      </c>
      <c r="Q418" s="284">
        <v>0</v>
      </c>
      <c r="R418" s="285">
        <v>39</v>
      </c>
      <c r="S418" s="285">
        <v>46</v>
      </c>
      <c r="T418" s="285">
        <v>85</v>
      </c>
    </row>
    <row r="419" spans="2:20" x14ac:dyDescent="0.25">
      <c r="B419" s="249" t="s">
        <v>438</v>
      </c>
      <c r="C419" s="307">
        <v>5</v>
      </c>
      <c r="D419" s="307">
        <v>15</v>
      </c>
      <c r="E419" s="307">
        <v>20</v>
      </c>
      <c r="F419" s="307">
        <v>3</v>
      </c>
      <c r="G419" s="307">
        <v>7</v>
      </c>
      <c r="H419" s="284">
        <v>10</v>
      </c>
      <c r="I419" s="307">
        <v>2</v>
      </c>
      <c r="J419" s="284">
        <v>0</v>
      </c>
      <c r="K419" s="307">
        <v>2</v>
      </c>
      <c r="L419" s="284">
        <v>0</v>
      </c>
      <c r="M419" s="307">
        <v>0</v>
      </c>
      <c r="N419" s="284">
        <v>0</v>
      </c>
      <c r="O419" s="284">
        <v>0</v>
      </c>
      <c r="P419" s="284">
        <v>0</v>
      </c>
      <c r="Q419" s="284">
        <v>0</v>
      </c>
      <c r="R419" s="285">
        <v>10</v>
      </c>
      <c r="S419" s="285">
        <v>22</v>
      </c>
      <c r="T419" s="285">
        <v>32</v>
      </c>
    </row>
    <row r="420" spans="2:20" x14ac:dyDescent="0.25">
      <c r="B420" s="249" t="s">
        <v>439</v>
      </c>
      <c r="C420" s="307">
        <v>3</v>
      </c>
      <c r="D420" s="307">
        <v>14</v>
      </c>
      <c r="E420" s="307">
        <v>17</v>
      </c>
      <c r="F420" s="307">
        <v>17</v>
      </c>
      <c r="G420" s="307">
        <v>2</v>
      </c>
      <c r="H420" s="284">
        <v>19</v>
      </c>
      <c r="I420" s="307">
        <v>0</v>
      </c>
      <c r="J420" s="284">
        <v>1</v>
      </c>
      <c r="K420" s="307">
        <v>1</v>
      </c>
      <c r="L420" s="284">
        <v>0</v>
      </c>
      <c r="M420" s="307">
        <v>3</v>
      </c>
      <c r="N420" s="284">
        <v>3</v>
      </c>
      <c r="O420" s="284">
        <v>0</v>
      </c>
      <c r="P420" s="284">
        <v>0</v>
      </c>
      <c r="Q420" s="284">
        <v>0</v>
      </c>
      <c r="R420" s="285">
        <v>20</v>
      </c>
      <c r="S420" s="285">
        <v>20</v>
      </c>
      <c r="T420" s="285">
        <v>40</v>
      </c>
    </row>
    <row r="421" spans="2:20" x14ac:dyDescent="0.25">
      <c r="B421" s="249" t="s">
        <v>440</v>
      </c>
      <c r="C421" s="307">
        <v>10</v>
      </c>
      <c r="D421" s="307">
        <v>18</v>
      </c>
      <c r="E421" s="307">
        <v>28</v>
      </c>
      <c r="F421" s="307">
        <v>7</v>
      </c>
      <c r="G421" s="307">
        <v>6</v>
      </c>
      <c r="H421" s="284">
        <v>13</v>
      </c>
      <c r="I421" s="307">
        <v>0</v>
      </c>
      <c r="J421" s="284">
        <v>0</v>
      </c>
      <c r="K421" s="307">
        <v>0</v>
      </c>
      <c r="L421" s="284">
        <v>0</v>
      </c>
      <c r="M421" s="307">
        <v>6</v>
      </c>
      <c r="N421" s="284">
        <v>6</v>
      </c>
      <c r="O421" s="284">
        <v>0</v>
      </c>
      <c r="P421" s="284">
        <v>0</v>
      </c>
      <c r="Q421" s="284">
        <v>0</v>
      </c>
      <c r="R421" s="285">
        <v>17</v>
      </c>
      <c r="S421" s="285">
        <v>30</v>
      </c>
      <c r="T421" s="285">
        <v>47</v>
      </c>
    </row>
    <row r="422" spans="2:20" x14ac:dyDescent="0.25">
      <c r="B422" s="249" t="s">
        <v>441</v>
      </c>
      <c r="C422" s="307">
        <v>1</v>
      </c>
      <c r="D422" s="307">
        <v>5</v>
      </c>
      <c r="E422" s="307">
        <v>6</v>
      </c>
      <c r="F422" s="307">
        <v>0</v>
      </c>
      <c r="G422" s="307">
        <v>3</v>
      </c>
      <c r="H422" s="284">
        <v>3</v>
      </c>
      <c r="I422" s="307">
        <v>1</v>
      </c>
      <c r="J422" s="284">
        <v>1</v>
      </c>
      <c r="K422" s="307">
        <v>2</v>
      </c>
      <c r="L422" s="284">
        <v>0</v>
      </c>
      <c r="M422" s="307">
        <v>2</v>
      </c>
      <c r="N422" s="284">
        <v>2</v>
      </c>
      <c r="O422" s="284">
        <v>0</v>
      </c>
      <c r="P422" s="284">
        <v>0</v>
      </c>
      <c r="Q422" s="284">
        <v>0</v>
      </c>
      <c r="R422" s="285">
        <v>2</v>
      </c>
      <c r="S422" s="285">
        <v>11</v>
      </c>
      <c r="T422" s="285">
        <v>13</v>
      </c>
    </row>
    <row r="423" spans="2:20" x14ac:dyDescent="0.25">
      <c r="B423" s="249" t="s">
        <v>442</v>
      </c>
      <c r="C423" s="307">
        <v>16</v>
      </c>
      <c r="D423" s="307">
        <v>14</v>
      </c>
      <c r="E423" s="307">
        <v>30</v>
      </c>
      <c r="F423" s="307">
        <v>8</v>
      </c>
      <c r="G423" s="307">
        <v>7</v>
      </c>
      <c r="H423" s="284">
        <v>15</v>
      </c>
      <c r="I423" s="307">
        <v>1</v>
      </c>
      <c r="J423" s="284">
        <v>1</v>
      </c>
      <c r="K423" s="307">
        <v>2</v>
      </c>
      <c r="L423" s="284">
        <v>1</v>
      </c>
      <c r="M423" s="307">
        <v>5</v>
      </c>
      <c r="N423" s="284">
        <v>6</v>
      </c>
      <c r="O423" s="284">
        <v>0</v>
      </c>
      <c r="P423" s="284">
        <v>0</v>
      </c>
      <c r="Q423" s="284">
        <v>0</v>
      </c>
      <c r="R423" s="285">
        <v>26</v>
      </c>
      <c r="S423" s="285">
        <v>27</v>
      </c>
      <c r="T423" s="285">
        <v>53</v>
      </c>
    </row>
    <row r="424" spans="2:20" x14ac:dyDescent="0.25">
      <c r="B424" s="249" t="s">
        <v>443</v>
      </c>
      <c r="C424" s="307">
        <v>18</v>
      </c>
      <c r="D424" s="307">
        <v>28</v>
      </c>
      <c r="E424" s="307">
        <v>46</v>
      </c>
      <c r="F424" s="307">
        <v>10</v>
      </c>
      <c r="G424" s="307">
        <v>8</v>
      </c>
      <c r="H424" s="284">
        <v>18</v>
      </c>
      <c r="I424" s="307">
        <v>3</v>
      </c>
      <c r="J424" s="284">
        <v>3</v>
      </c>
      <c r="K424" s="307">
        <v>6</v>
      </c>
      <c r="L424" s="284">
        <v>2</v>
      </c>
      <c r="M424" s="307">
        <v>2</v>
      </c>
      <c r="N424" s="284">
        <v>4</v>
      </c>
      <c r="O424" s="284">
        <v>0</v>
      </c>
      <c r="P424" s="284">
        <v>0</v>
      </c>
      <c r="Q424" s="284">
        <v>0</v>
      </c>
      <c r="R424" s="285">
        <v>33</v>
      </c>
      <c r="S424" s="285">
        <v>41</v>
      </c>
      <c r="T424" s="285">
        <v>74</v>
      </c>
    </row>
    <row r="425" spans="2:20" x14ac:dyDescent="0.25">
      <c r="B425" s="249" t="s">
        <v>444</v>
      </c>
      <c r="C425" s="307">
        <v>21</v>
      </c>
      <c r="D425" s="307">
        <v>18</v>
      </c>
      <c r="E425" s="307">
        <v>39</v>
      </c>
      <c r="F425" s="307">
        <v>13</v>
      </c>
      <c r="G425" s="307">
        <v>11</v>
      </c>
      <c r="H425" s="284">
        <v>24</v>
      </c>
      <c r="I425" s="307">
        <v>1</v>
      </c>
      <c r="J425" s="284">
        <v>2</v>
      </c>
      <c r="K425" s="307">
        <v>3</v>
      </c>
      <c r="L425" s="284">
        <v>1</v>
      </c>
      <c r="M425" s="307">
        <v>1</v>
      </c>
      <c r="N425" s="284">
        <v>2</v>
      </c>
      <c r="O425" s="284">
        <v>0</v>
      </c>
      <c r="P425" s="284">
        <v>0</v>
      </c>
      <c r="Q425" s="284">
        <v>0</v>
      </c>
      <c r="R425" s="285">
        <v>36</v>
      </c>
      <c r="S425" s="285">
        <v>32</v>
      </c>
      <c r="T425" s="285">
        <v>68</v>
      </c>
    </row>
    <row r="426" spans="2:20" x14ac:dyDescent="0.25">
      <c r="B426" s="249" t="s">
        <v>503</v>
      </c>
      <c r="C426" s="307">
        <v>5</v>
      </c>
      <c r="D426" s="307">
        <v>15</v>
      </c>
      <c r="E426" s="307">
        <v>20</v>
      </c>
      <c r="F426" s="307">
        <v>8</v>
      </c>
      <c r="G426" s="307">
        <v>6</v>
      </c>
      <c r="H426" s="284">
        <v>14</v>
      </c>
      <c r="I426" s="307">
        <v>3</v>
      </c>
      <c r="J426" s="284">
        <v>0</v>
      </c>
      <c r="K426" s="307">
        <v>3</v>
      </c>
      <c r="L426" s="284">
        <v>2</v>
      </c>
      <c r="M426" s="307">
        <v>2</v>
      </c>
      <c r="N426" s="284">
        <v>4</v>
      </c>
      <c r="O426" s="284">
        <v>0</v>
      </c>
      <c r="P426" s="284">
        <v>0</v>
      </c>
      <c r="Q426" s="284">
        <v>0</v>
      </c>
      <c r="R426" s="285">
        <v>18</v>
      </c>
      <c r="S426" s="285">
        <v>23</v>
      </c>
      <c r="T426" s="285">
        <v>41</v>
      </c>
    </row>
    <row r="427" spans="2:20" x14ac:dyDescent="0.25">
      <c r="B427" s="249" t="s">
        <v>446</v>
      </c>
      <c r="C427" s="307">
        <v>89</v>
      </c>
      <c r="D427" s="307">
        <v>85</v>
      </c>
      <c r="E427" s="307">
        <v>174</v>
      </c>
      <c r="F427" s="307">
        <v>86</v>
      </c>
      <c r="G427" s="307">
        <v>53</v>
      </c>
      <c r="H427" s="284">
        <v>139</v>
      </c>
      <c r="I427" s="307">
        <v>2</v>
      </c>
      <c r="J427" s="284">
        <v>1</v>
      </c>
      <c r="K427" s="307">
        <v>3</v>
      </c>
      <c r="L427" s="284">
        <v>10</v>
      </c>
      <c r="M427" s="307">
        <v>19</v>
      </c>
      <c r="N427" s="284">
        <v>29</v>
      </c>
      <c r="O427" s="284">
        <v>0</v>
      </c>
      <c r="P427" s="284">
        <v>0</v>
      </c>
      <c r="Q427" s="284">
        <v>0</v>
      </c>
      <c r="R427" s="285">
        <v>187</v>
      </c>
      <c r="S427" s="285">
        <v>158</v>
      </c>
      <c r="T427" s="285">
        <v>345</v>
      </c>
    </row>
    <row r="428" spans="2:20" x14ac:dyDescent="0.25">
      <c r="B428" s="297" t="s">
        <v>25</v>
      </c>
      <c r="C428" s="282">
        <v>208</v>
      </c>
      <c r="D428" s="282">
        <v>257</v>
      </c>
      <c r="E428" s="282">
        <v>465</v>
      </c>
      <c r="F428" s="282">
        <v>173</v>
      </c>
      <c r="G428" s="282">
        <v>127</v>
      </c>
      <c r="H428" s="285">
        <v>300</v>
      </c>
      <c r="I428" s="282">
        <v>14</v>
      </c>
      <c r="J428" s="285">
        <v>9</v>
      </c>
      <c r="K428" s="282">
        <v>23</v>
      </c>
      <c r="L428" s="285">
        <v>17</v>
      </c>
      <c r="M428" s="282">
        <v>47</v>
      </c>
      <c r="N428" s="285">
        <v>64</v>
      </c>
      <c r="O428" s="285">
        <v>0</v>
      </c>
      <c r="P428" s="285">
        <v>0</v>
      </c>
      <c r="Q428" s="285">
        <v>0</v>
      </c>
      <c r="R428" s="285">
        <v>412</v>
      </c>
      <c r="S428" s="285">
        <v>440</v>
      </c>
      <c r="T428" s="285">
        <v>852</v>
      </c>
    </row>
    <row r="429" spans="2:20" ht="86.25" customHeight="1" x14ac:dyDescent="0.25">
      <c r="B429" s="454" t="s">
        <v>866</v>
      </c>
      <c r="C429" s="454"/>
      <c r="D429" s="454"/>
      <c r="E429" s="454"/>
      <c r="F429" s="454"/>
      <c r="G429" s="454"/>
      <c r="H429" s="454"/>
      <c r="I429" s="454"/>
      <c r="J429" s="454"/>
      <c r="K429" s="454"/>
      <c r="L429" s="454"/>
      <c r="M429" s="454"/>
      <c r="N429" s="454"/>
      <c r="O429" s="454"/>
      <c r="P429" s="454"/>
      <c r="Q429" s="454"/>
    </row>
    <row r="430" spans="2:20" x14ac:dyDescent="0.25">
      <c r="B430" s="157"/>
      <c r="C430" s="157"/>
      <c r="D430" s="157"/>
      <c r="E430"/>
      <c r="F430"/>
      <c r="G430"/>
    </row>
    <row r="431" spans="2:20" x14ac:dyDescent="0.25">
      <c r="B431" s="157"/>
      <c r="C431" s="157"/>
      <c r="D431" s="157"/>
      <c r="E431"/>
      <c r="F431"/>
      <c r="G431"/>
    </row>
    <row r="432" spans="2:20" x14ac:dyDescent="0.25">
      <c r="B432" s="186" t="s">
        <v>514</v>
      </c>
      <c r="C432"/>
      <c r="D432"/>
      <c r="E432"/>
      <c r="F432"/>
      <c r="G432"/>
    </row>
    <row r="433" spans="2:20" x14ac:dyDescent="0.25">
      <c r="B433" s="186"/>
      <c r="C433"/>
      <c r="D433"/>
      <c r="E433"/>
      <c r="F433"/>
      <c r="G433"/>
    </row>
    <row r="434" spans="2:20" ht="15" customHeight="1" x14ac:dyDescent="0.25">
      <c r="B434" s="426" t="s">
        <v>532</v>
      </c>
      <c r="C434" s="475" t="s">
        <v>477</v>
      </c>
      <c r="D434" s="475"/>
      <c r="E434" s="475"/>
      <c r="F434" s="475"/>
      <c r="G434" s="475"/>
      <c r="H434" s="475"/>
      <c r="I434" s="475"/>
      <c r="J434" s="475"/>
      <c r="K434" s="475"/>
      <c r="L434" s="475"/>
      <c r="M434" s="475"/>
      <c r="N434" s="475"/>
      <c r="O434" s="475"/>
      <c r="P434" s="475"/>
      <c r="Q434" s="475"/>
      <c r="R434" s="469" t="s">
        <v>877</v>
      </c>
      <c r="S434" s="470"/>
      <c r="T434" s="471"/>
    </row>
    <row r="435" spans="2:20" ht="15" customHeight="1" x14ac:dyDescent="0.25">
      <c r="B435" s="427"/>
      <c r="C435" s="463" t="s">
        <v>849</v>
      </c>
      <c r="D435" s="463"/>
      <c r="E435" s="463"/>
      <c r="F435" s="463" t="s">
        <v>850</v>
      </c>
      <c r="G435" s="463"/>
      <c r="H435" s="463"/>
      <c r="I435" s="463" t="s">
        <v>3</v>
      </c>
      <c r="J435" s="463"/>
      <c r="K435" s="463"/>
      <c r="L435" s="463" t="s">
        <v>5</v>
      </c>
      <c r="M435" s="463"/>
      <c r="N435" s="463"/>
      <c r="O435" s="463" t="s">
        <v>859</v>
      </c>
      <c r="P435" s="463"/>
      <c r="Q435" s="463"/>
      <c r="R435" s="472"/>
      <c r="S435" s="473"/>
      <c r="T435" s="474"/>
    </row>
    <row r="436" spans="2:20" x14ac:dyDescent="0.25">
      <c r="B436" s="428"/>
      <c r="C436" s="264" t="s">
        <v>73</v>
      </c>
      <c r="D436" s="264" t="s">
        <v>74</v>
      </c>
      <c r="E436" s="264" t="s">
        <v>25</v>
      </c>
      <c r="F436" s="264" t="s">
        <v>73</v>
      </c>
      <c r="G436" s="264" t="s">
        <v>74</v>
      </c>
      <c r="H436" s="264" t="s">
        <v>25</v>
      </c>
      <c r="I436" s="264" t="s">
        <v>73</v>
      </c>
      <c r="J436" s="264" t="s">
        <v>74</v>
      </c>
      <c r="K436" s="264" t="s">
        <v>25</v>
      </c>
      <c r="L436" s="264" t="s">
        <v>73</v>
      </c>
      <c r="M436" s="264" t="s">
        <v>74</v>
      </c>
      <c r="N436" s="264" t="s">
        <v>25</v>
      </c>
      <c r="O436" s="264" t="s">
        <v>73</v>
      </c>
      <c r="P436" s="264" t="s">
        <v>74</v>
      </c>
      <c r="Q436" s="264" t="s">
        <v>25</v>
      </c>
      <c r="R436" s="274" t="s">
        <v>73</v>
      </c>
      <c r="S436" s="274" t="s">
        <v>74</v>
      </c>
      <c r="T436" s="274" t="s">
        <v>25</v>
      </c>
    </row>
    <row r="437" spans="2:20" x14ac:dyDescent="0.25">
      <c r="B437" s="336" t="s">
        <v>334</v>
      </c>
      <c r="C437" s="307">
        <v>29</v>
      </c>
      <c r="D437" s="307">
        <v>22</v>
      </c>
      <c r="E437" s="307">
        <v>51</v>
      </c>
      <c r="F437" s="307">
        <v>28</v>
      </c>
      <c r="G437" s="307">
        <v>14</v>
      </c>
      <c r="H437" s="284">
        <v>42</v>
      </c>
      <c r="I437" s="307">
        <v>3</v>
      </c>
      <c r="J437" s="284">
        <v>2</v>
      </c>
      <c r="K437" s="307">
        <v>5</v>
      </c>
      <c r="L437" s="284">
        <v>1</v>
      </c>
      <c r="M437" s="307">
        <v>3</v>
      </c>
      <c r="N437" s="284">
        <v>4</v>
      </c>
      <c r="O437" s="284">
        <v>0</v>
      </c>
      <c r="P437" s="284">
        <v>0</v>
      </c>
      <c r="Q437" s="284">
        <v>0</v>
      </c>
      <c r="R437" s="285">
        <v>61</v>
      </c>
      <c r="S437" s="285">
        <v>41</v>
      </c>
      <c r="T437" s="285">
        <v>102</v>
      </c>
    </row>
    <row r="438" spans="2:20" x14ac:dyDescent="0.25">
      <c r="B438" s="249" t="s">
        <v>335</v>
      </c>
      <c r="C438" s="307">
        <v>17</v>
      </c>
      <c r="D438" s="307">
        <v>23</v>
      </c>
      <c r="E438" s="307">
        <v>40</v>
      </c>
      <c r="F438" s="307">
        <v>4</v>
      </c>
      <c r="G438" s="307">
        <v>9</v>
      </c>
      <c r="H438" s="284">
        <v>13</v>
      </c>
      <c r="I438" s="307">
        <v>0</v>
      </c>
      <c r="J438" s="284">
        <v>1</v>
      </c>
      <c r="K438" s="307">
        <v>1</v>
      </c>
      <c r="L438" s="284">
        <v>0</v>
      </c>
      <c r="M438" s="307">
        <v>2</v>
      </c>
      <c r="N438" s="284">
        <v>2</v>
      </c>
      <c r="O438" s="284">
        <v>0</v>
      </c>
      <c r="P438" s="284">
        <v>0</v>
      </c>
      <c r="Q438" s="284">
        <v>0</v>
      </c>
      <c r="R438" s="285">
        <v>21</v>
      </c>
      <c r="S438" s="285">
        <v>35</v>
      </c>
      <c r="T438" s="285">
        <v>56</v>
      </c>
    </row>
    <row r="439" spans="2:20" x14ac:dyDescent="0.25">
      <c r="B439" s="249" t="s">
        <v>336</v>
      </c>
      <c r="C439" s="307">
        <v>24</v>
      </c>
      <c r="D439" s="307">
        <v>24</v>
      </c>
      <c r="E439" s="307">
        <v>48</v>
      </c>
      <c r="F439" s="307">
        <v>22</v>
      </c>
      <c r="G439" s="307">
        <v>15</v>
      </c>
      <c r="H439" s="284">
        <v>37</v>
      </c>
      <c r="I439" s="307">
        <v>0</v>
      </c>
      <c r="J439" s="284">
        <v>4</v>
      </c>
      <c r="K439" s="307">
        <v>4</v>
      </c>
      <c r="L439" s="284">
        <v>2</v>
      </c>
      <c r="M439" s="307">
        <v>5</v>
      </c>
      <c r="N439" s="284">
        <v>7</v>
      </c>
      <c r="O439" s="284">
        <v>0</v>
      </c>
      <c r="P439" s="284">
        <v>0</v>
      </c>
      <c r="Q439" s="284">
        <v>0</v>
      </c>
      <c r="R439" s="285">
        <v>48</v>
      </c>
      <c r="S439" s="285">
        <v>48</v>
      </c>
      <c r="T439" s="285">
        <v>96</v>
      </c>
    </row>
    <row r="440" spans="2:20" x14ac:dyDescent="0.25">
      <c r="B440" s="249" t="s">
        <v>337</v>
      </c>
      <c r="C440" s="307">
        <v>4</v>
      </c>
      <c r="D440" s="307">
        <v>3</v>
      </c>
      <c r="E440" s="307">
        <v>7</v>
      </c>
      <c r="F440" s="307">
        <v>1</v>
      </c>
      <c r="G440" s="307">
        <v>0</v>
      </c>
      <c r="H440" s="284">
        <v>1</v>
      </c>
      <c r="I440" s="307">
        <v>0</v>
      </c>
      <c r="J440" s="284">
        <v>0</v>
      </c>
      <c r="K440" s="307">
        <v>0</v>
      </c>
      <c r="L440" s="284">
        <v>1</v>
      </c>
      <c r="M440" s="307">
        <v>0</v>
      </c>
      <c r="N440" s="284">
        <v>1</v>
      </c>
      <c r="O440" s="284">
        <v>0</v>
      </c>
      <c r="P440" s="284">
        <v>0</v>
      </c>
      <c r="Q440" s="284">
        <v>0</v>
      </c>
      <c r="R440" s="285">
        <v>6</v>
      </c>
      <c r="S440" s="285">
        <v>3</v>
      </c>
      <c r="T440" s="285">
        <v>9</v>
      </c>
    </row>
    <row r="441" spans="2:20" x14ac:dyDescent="0.25">
      <c r="B441" s="249" t="s">
        <v>338</v>
      </c>
      <c r="C441" s="307">
        <v>12</v>
      </c>
      <c r="D441" s="307">
        <v>7</v>
      </c>
      <c r="E441" s="307">
        <v>19</v>
      </c>
      <c r="F441" s="307">
        <v>5</v>
      </c>
      <c r="G441" s="307">
        <v>5</v>
      </c>
      <c r="H441" s="284">
        <v>10</v>
      </c>
      <c r="I441" s="307">
        <v>0</v>
      </c>
      <c r="J441" s="284">
        <v>0</v>
      </c>
      <c r="K441" s="307">
        <v>0</v>
      </c>
      <c r="L441" s="284">
        <v>3</v>
      </c>
      <c r="M441" s="307">
        <v>2</v>
      </c>
      <c r="N441" s="284">
        <v>5</v>
      </c>
      <c r="O441" s="284">
        <v>0</v>
      </c>
      <c r="P441" s="284">
        <v>0</v>
      </c>
      <c r="Q441" s="284">
        <v>0</v>
      </c>
      <c r="R441" s="285">
        <v>20</v>
      </c>
      <c r="S441" s="285">
        <v>14</v>
      </c>
      <c r="T441" s="285">
        <v>34</v>
      </c>
    </row>
    <row r="442" spans="2:20" x14ac:dyDescent="0.25">
      <c r="B442" s="249" t="s">
        <v>339</v>
      </c>
      <c r="C442" s="307">
        <v>3</v>
      </c>
      <c r="D442" s="307">
        <v>0</v>
      </c>
      <c r="E442" s="307">
        <v>3</v>
      </c>
      <c r="F442" s="307">
        <v>1</v>
      </c>
      <c r="G442" s="307">
        <v>4</v>
      </c>
      <c r="H442" s="284">
        <v>5</v>
      </c>
      <c r="I442" s="307">
        <v>0</v>
      </c>
      <c r="J442" s="284">
        <v>0</v>
      </c>
      <c r="K442" s="307">
        <v>0</v>
      </c>
      <c r="L442" s="284">
        <v>0</v>
      </c>
      <c r="M442" s="307">
        <v>0</v>
      </c>
      <c r="N442" s="284">
        <v>0</v>
      </c>
      <c r="O442" s="284">
        <v>0</v>
      </c>
      <c r="P442" s="284">
        <v>0</v>
      </c>
      <c r="Q442" s="284">
        <v>0</v>
      </c>
      <c r="R442" s="285">
        <v>4</v>
      </c>
      <c r="S442" s="285">
        <v>4</v>
      </c>
      <c r="T442" s="285">
        <v>8</v>
      </c>
    </row>
    <row r="443" spans="2:20" x14ac:dyDescent="0.25">
      <c r="B443" s="249" t="s">
        <v>340</v>
      </c>
      <c r="C443" s="307">
        <v>2</v>
      </c>
      <c r="D443" s="307">
        <v>0</v>
      </c>
      <c r="E443" s="307">
        <v>2</v>
      </c>
      <c r="F443" s="307">
        <v>1</v>
      </c>
      <c r="G443" s="307">
        <v>0</v>
      </c>
      <c r="H443" s="284">
        <v>1</v>
      </c>
      <c r="I443" s="307">
        <v>0</v>
      </c>
      <c r="J443" s="284">
        <v>0</v>
      </c>
      <c r="K443" s="307">
        <v>0</v>
      </c>
      <c r="L443" s="284">
        <v>1</v>
      </c>
      <c r="M443" s="307">
        <v>1</v>
      </c>
      <c r="N443" s="284">
        <v>2</v>
      </c>
      <c r="O443" s="284">
        <v>0</v>
      </c>
      <c r="P443" s="284">
        <v>0</v>
      </c>
      <c r="Q443" s="284">
        <v>0</v>
      </c>
      <c r="R443" s="285">
        <v>4</v>
      </c>
      <c r="S443" s="285">
        <v>1</v>
      </c>
      <c r="T443" s="285">
        <v>5</v>
      </c>
    </row>
    <row r="444" spans="2:20" x14ac:dyDescent="0.25">
      <c r="B444" s="249" t="s">
        <v>341</v>
      </c>
      <c r="C444" s="307">
        <v>8</v>
      </c>
      <c r="D444" s="307">
        <v>11</v>
      </c>
      <c r="E444" s="307">
        <v>19</v>
      </c>
      <c r="F444" s="307">
        <v>4</v>
      </c>
      <c r="G444" s="307">
        <v>5</v>
      </c>
      <c r="H444" s="284">
        <v>9</v>
      </c>
      <c r="I444" s="307">
        <v>0</v>
      </c>
      <c r="J444" s="284">
        <v>0</v>
      </c>
      <c r="K444" s="307">
        <v>0</v>
      </c>
      <c r="L444" s="284">
        <v>1</v>
      </c>
      <c r="M444" s="307">
        <v>2</v>
      </c>
      <c r="N444" s="284">
        <v>3</v>
      </c>
      <c r="O444" s="284">
        <v>0</v>
      </c>
      <c r="P444" s="284">
        <v>0</v>
      </c>
      <c r="Q444" s="284">
        <v>0</v>
      </c>
      <c r="R444" s="285">
        <v>13</v>
      </c>
      <c r="S444" s="285">
        <v>18</v>
      </c>
      <c r="T444" s="285">
        <v>31</v>
      </c>
    </row>
    <row r="445" spans="2:20" x14ac:dyDescent="0.25">
      <c r="B445" s="249" t="s">
        <v>342</v>
      </c>
      <c r="C445" s="307">
        <v>10</v>
      </c>
      <c r="D445" s="307">
        <v>8</v>
      </c>
      <c r="E445" s="307">
        <v>18</v>
      </c>
      <c r="F445" s="307">
        <v>4</v>
      </c>
      <c r="G445" s="307">
        <v>7</v>
      </c>
      <c r="H445" s="284">
        <v>11</v>
      </c>
      <c r="I445" s="307">
        <v>0</v>
      </c>
      <c r="J445" s="284">
        <v>0</v>
      </c>
      <c r="K445" s="307">
        <v>0</v>
      </c>
      <c r="L445" s="284">
        <v>0</v>
      </c>
      <c r="M445" s="307">
        <v>4</v>
      </c>
      <c r="N445" s="284">
        <v>4</v>
      </c>
      <c r="O445" s="284">
        <v>0</v>
      </c>
      <c r="P445" s="284">
        <v>0</v>
      </c>
      <c r="Q445" s="284">
        <v>0</v>
      </c>
      <c r="R445" s="285">
        <v>14</v>
      </c>
      <c r="S445" s="285">
        <v>19</v>
      </c>
      <c r="T445" s="285">
        <v>33</v>
      </c>
    </row>
    <row r="446" spans="2:20" x14ac:dyDescent="0.25">
      <c r="B446" s="249" t="s">
        <v>343</v>
      </c>
      <c r="C446" s="307">
        <v>25</v>
      </c>
      <c r="D446" s="307">
        <v>18</v>
      </c>
      <c r="E446" s="307">
        <v>43</v>
      </c>
      <c r="F446" s="307">
        <v>16</v>
      </c>
      <c r="G446" s="307">
        <v>4</v>
      </c>
      <c r="H446" s="284">
        <v>20</v>
      </c>
      <c r="I446" s="307">
        <v>0</v>
      </c>
      <c r="J446" s="284">
        <v>0</v>
      </c>
      <c r="K446" s="307">
        <v>0</v>
      </c>
      <c r="L446" s="284">
        <v>0</v>
      </c>
      <c r="M446" s="307">
        <v>2</v>
      </c>
      <c r="N446" s="284">
        <v>2</v>
      </c>
      <c r="O446" s="284">
        <v>0</v>
      </c>
      <c r="P446" s="284">
        <v>0</v>
      </c>
      <c r="Q446" s="284">
        <v>0</v>
      </c>
      <c r="R446" s="285">
        <v>41</v>
      </c>
      <c r="S446" s="285">
        <v>24</v>
      </c>
      <c r="T446" s="285">
        <v>65</v>
      </c>
    </row>
    <row r="447" spans="2:20" x14ac:dyDescent="0.25">
      <c r="B447" s="249" t="s">
        <v>344</v>
      </c>
      <c r="C447" s="307">
        <v>1</v>
      </c>
      <c r="D447" s="307">
        <v>4</v>
      </c>
      <c r="E447" s="307">
        <v>5</v>
      </c>
      <c r="F447" s="307">
        <v>1</v>
      </c>
      <c r="G447" s="307">
        <v>0</v>
      </c>
      <c r="H447" s="284">
        <v>1</v>
      </c>
      <c r="I447" s="307">
        <v>0</v>
      </c>
      <c r="J447" s="284">
        <v>0</v>
      </c>
      <c r="K447" s="307">
        <v>0</v>
      </c>
      <c r="L447" s="284">
        <v>0</v>
      </c>
      <c r="M447" s="307">
        <v>0</v>
      </c>
      <c r="N447" s="284">
        <v>0</v>
      </c>
      <c r="O447" s="284">
        <v>0</v>
      </c>
      <c r="P447" s="284">
        <v>0</v>
      </c>
      <c r="Q447" s="284">
        <v>0</v>
      </c>
      <c r="R447" s="285">
        <v>2</v>
      </c>
      <c r="S447" s="285">
        <v>4</v>
      </c>
      <c r="T447" s="285">
        <v>6</v>
      </c>
    </row>
    <row r="448" spans="2:20" x14ac:dyDescent="0.25">
      <c r="B448" s="249" t="s">
        <v>345</v>
      </c>
      <c r="C448" s="307">
        <v>3</v>
      </c>
      <c r="D448" s="307">
        <v>5</v>
      </c>
      <c r="E448" s="307">
        <v>8</v>
      </c>
      <c r="F448" s="307">
        <v>2</v>
      </c>
      <c r="G448" s="307">
        <v>4</v>
      </c>
      <c r="H448" s="284">
        <v>6</v>
      </c>
      <c r="I448" s="307">
        <v>0</v>
      </c>
      <c r="J448" s="284">
        <v>0</v>
      </c>
      <c r="K448" s="307">
        <v>0</v>
      </c>
      <c r="L448" s="284">
        <v>0</v>
      </c>
      <c r="M448" s="307">
        <v>0</v>
      </c>
      <c r="N448" s="284">
        <v>0</v>
      </c>
      <c r="O448" s="284">
        <v>0</v>
      </c>
      <c r="P448" s="284">
        <v>0</v>
      </c>
      <c r="Q448" s="284">
        <v>0</v>
      </c>
      <c r="R448" s="285">
        <v>5</v>
      </c>
      <c r="S448" s="285">
        <v>9</v>
      </c>
      <c r="T448" s="285">
        <v>14</v>
      </c>
    </row>
    <row r="449" spans="2:20" x14ac:dyDescent="0.25">
      <c r="B449" s="249" t="s">
        <v>346</v>
      </c>
      <c r="C449" s="307">
        <v>11</v>
      </c>
      <c r="D449" s="307">
        <v>7</v>
      </c>
      <c r="E449" s="307">
        <v>18</v>
      </c>
      <c r="F449" s="307">
        <v>7</v>
      </c>
      <c r="G449" s="307">
        <v>4</v>
      </c>
      <c r="H449" s="284">
        <v>11</v>
      </c>
      <c r="I449" s="307">
        <v>1</v>
      </c>
      <c r="J449" s="284">
        <v>0</v>
      </c>
      <c r="K449" s="307">
        <v>1</v>
      </c>
      <c r="L449" s="284">
        <v>0</v>
      </c>
      <c r="M449" s="307">
        <v>1</v>
      </c>
      <c r="N449" s="284">
        <v>1</v>
      </c>
      <c r="O449" s="284">
        <v>0</v>
      </c>
      <c r="P449" s="284">
        <v>0</v>
      </c>
      <c r="Q449" s="284">
        <v>0</v>
      </c>
      <c r="R449" s="285">
        <v>19</v>
      </c>
      <c r="S449" s="285">
        <v>12</v>
      </c>
      <c r="T449" s="285">
        <v>31</v>
      </c>
    </row>
    <row r="450" spans="2:20" x14ac:dyDescent="0.25">
      <c r="B450" s="249" t="s">
        <v>347</v>
      </c>
      <c r="C450" s="307">
        <v>10</v>
      </c>
      <c r="D450" s="307">
        <v>11</v>
      </c>
      <c r="E450" s="307">
        <v>21</v>
      </c>
      <c r="F450" s="307">
        <v>4</v>
      </c>
      <c r="G450" s="307">
        <v>4</v>
      </c>
      <c r="H450" s="284">
        <v>8</v>
      </c>
      <c r="I450" s="307">
        <v>1</v>
      </c>
      <c r="J450" s="284">
        <v>1</v>
      </c>
      <c r="K450" s="307">
        <v>2</v>
      </c>
      <c r="L450" s="284">
        <v>2</v>
      </c>
      <c r="M450" s="307">
        <v>1</v>
      </c>
      <c r="N450" s="284">
        <v>3</v>
      </c>
      <c r="O450" s="284">
        <v>0</v>
      </c>
      <c r="P450" s="284">
        <v>0</v>
      </c>
      <c r="Q450" s="284">
        <v>0</v>
      </c>
      <c r="R450" s="285">
        <v>17</v>
      </c>
      <c r="S450" s="285">
        <v>17</v>
      </c>
      <c r="T450" s="285">
        <v>34</v>
      </c>
    </row>
    <row r="451" spans="2:20" x14ac:dyDescent="0.25">
      <c r="B451" s="249" t="s">
        <v>348</v>
      </c>
      <c r="C451" s="307">
        <v>8</v>
      </c>
      <c r="D451" s="307">
        <v>10</v>
      </c>
      <c r="E451" s="307">
        <v>18</v>
      </c>
      <c r="F451" s="307">
        <v>4</v>
      </c>
      <c r="G451" s="307">
        <v>6</v>
      </c>
      <c r="H451" s="284">
        <v>10</v>
      </c>
      <c r="I451" s="307">
        <v>0</v>
      </c>
      <c r="J451" s="284">
        <v>0</v>
      </c>
      <c r="K451" s="307">
        <v>0</v>
      </c>
      <c r="L451" s="284">
        <v>0</v>
      </c>
      <c r="M451" s="307">
        <v>2</v>
      </c>
      <c r="N451" s="284">
        <v>2</v>
      </c>
      <c r="O451" s="284">
        <v>0</v>
      </c>
      <c r="P451" s="284">
        <v>0</v>
      </c>
      <c r="Q451" s="284">
        <v>0</v>
      </c>
      <c r="R451" s="285">
        <v>12</v>
      </c>
      <c r="S451" s="285">
        <v>18</v>
      </c>
      <c r="T451" s="285">
        <v>30</v>
      </c>
    </row>
    <row r="452" spans="2:20" x14ac:dyDescent="0.25">
      <c r="B452" s="249" t="s">
        <v>349</v>
      </c>
      <c r="C452" s="307">
        <v>98</v>
      </c>
      <c r="D452" s="307">
        <v>102</v>
      </c>
      <c r="E452" s="307">
        <v>200</v>
      </c>
      <c r="F452" s="307">
        <v>87</v>
      </c>
      <c r="G452" s="307">
        <v>58</v>
      </c>
      <c r="H452" s="284">
        <v>145</v>
      </c>
      <c r="I452" s="307">
        <v>5</v>
      </c>
      <c r="J452" s="284">
        <v>5</v>
      </c>
      <c r="K452" s="307">
        <v>10</v>
      </c>
      <c r="L452" s="284">
        <v>11</v>
      </c>
      <c r="M452" s="307">
        <v>18</v>
      </c>
      <c r="N452" s="284">
        <v>29</v>
      </c>
      <c r="O452" s="284">
        <v>0</v>
      </c>
      <c r="P452" s="284">
        <v>0</v>
      </c>
      <c r="Q452" s="284">
        <v>0</v>
      </c>
      <c r="R452" s="285">
        <v>201</v>
      </c>
      <c r="S452" s="285">
        <v>183</v>
      </c>
      <c r="T452" s="285">
        <v>384</v>
      </c>
    </row>
    <row r="453" spans="2:20" x14ac:dyDescent="0.25">
      <c r="B453" s="249" t="s">
        <v>350</v>
      </c>
      <c r="C453" s="307">
        <v>0</v>
      </c>
      <c r="D453" s="307">
        <v>5</v>
      </c>
      <c r="E453" s="307">
        <v>5</v>
      </c>
      <c r="F453" s="307">
        <v>3</v>
      </c>
      <c r="G453" s="307">
        <v>0</v>
      </c>
      <c r="H453" s="284">
        <v>3</v>
      </c>
      <c r="I453" s="307">
        <v>0</v>
      </c>
      <c r="J453" s="284">
        <v>0</v>
      </c>
      <c r="K453" s="307">
        <v>0</v>
      </c>
      <c r="L453" s="284">
        <v>0</v>
      </c>
      <c r="M453" s="307">
        <v>0</v>
      </c>
      <c r="N453" s="284">
        <v>0</v>
      </c>
      <c r="O453" s="284">
        <v>0</v>
      </c>
      <c r="P453" s="284">
        <v>0</v>
      </c>
      <c r="Q453" s="284">
        <v>0</v>
      </c>
      <c r="R453" s="285">
        <v>3</v>
      </c>
      <c r="S453" s="285">
        <v>5</v>
      </c>
      <c r="T453" s="285">
        <v>8</v>
      </c>
    </row>
    <row r="454" spans="2:20" x14ac:dyDescent="0.25">
      <c r="B454" s="249" t="s">
        <v>351</v>
      </c>
      <c r="C454" s="307">
        <v>114</v>
      </c>
      <c r="D454" s="307">
        <v>125</v>
      </c>
      <c r="E454" s="307">
        <v>239</v>
      </c>
      <c r="F454" s="307">
        <v>92</v>
      </c>
      <c r="G454" s="307">
        <v>66</v>
      </c>
      <c r="H454" s="284">
        <v>158</v>
      </c>
      <c r="I454" s="307">
        <v>10</v>
      </c>
      <c r="J454" s="284">
        <v>5</v>
      </c>
      <c r="K454" s="307">
        <v>15</v>
      </c>
      <c r="L454" s="284">
        <v>14</v>
      </c>
      <c r="M454" s="307">
        <v>8</v>
      </c>
      <c r="N454" s="284">
        <v>22</v>
      </c>
      <c r="O454" s="284">
        <v>1</v>
      </c>
      <c r="P454" s="284">
        <v>0</v>
      </c>
      <c r="Q454" s="284">
        <v>1</v>
      </c>
      <c r="R454" s="285">
        <v>231</v>
      </c>
      <c r="S454" s="285">
        <v>204</v>
      </c>
      <c r="T454" s="285">
        <v>435</v>
      </c>
    </row>
    <row r="455" spans="2:20" x14ac:dyDescent="0.25">
      <c r="B455" s="249" t="s">
        <v>352</v>
      </c>
      <c r="C455" s="307">
        <v>6</v>
      </c>
      <c r="D455" s="307">
        <v>7</v>
      </c>
      <c r="E455" s="307">
        <v>13</v>
      </c>
      <c r="F455" s="307">
        <v>6</v>
      </c>
      <c r="G455" s="307">
        <v>7</v>
      </c>
      <c r="H455" s="284">
        <v>13</v>
      </c>
      <c r="I455" s="307">
        <v>0</v>
      </c>
      <c r="J455" s="284">
        <v>0</v>
      </c>
      <c r="K455" s="307">
        <v>0</v>
      </c>
      <c r="L455" s="284">
        <v>0</v>
      </c>
      <c r="M455" s="307">
        <v>1</v>
      </c>
      <c r="N455" s="284">
        <v>1</v>
      </c>
      <c r="O455" s="284">
        <v>0</v>
      </c>
      <c r="P455" s="284">
        <v>0</v>
      </c>
      <c r="Q455" s="284">
        <v>0</v>
      </c>
      <c r="R455" s="285">
        <v>12</v>
      </c>
      <c r="S455" s="285">
        <v>15</v>
      </c>
      <c r="T455" s="285">
        <v>27</v>
      </c>
    </row>
    <row r="456" spans="2:20" x14ac:dyDescent="0.25">
      <c r="B456" s="249" t="s">
        <v>353</v>
      </c>
      <c r="C456" s="307">
        <v>24</v>
      </c>
      <c r="D456" s="307">
        <v>23</v>
      </c>
      <c r="E456" s="307">
        <v>47</v>
      </c>
      <c r="F456" s="307">
        <v>21</v>
      </c>
      <c r="G456" s="307">
        <v>12</v>
      </c>
      <c r="H456" s="284">
        <v>33</v>
      </c>
      <c r="I456" s="307">
        <v>1</v>
      </c>
      <c r="J456" s="284">
        <v>0</v>
      </c>
      <c r="K456" s="307">
        <v>1</v>
      </c>
      <c r="L456" s="284">
        <v>2</v>
      </c>
      <c r="M456" s="307">
        <v>1</v>
      </c>
      <c r="N456" s="284">
        <v>3</v>
      </c>
      <c r="O456" s="284">
        <v>0</v>
      </c>
      <c r="P456" s="284">
        <v>0</v>
      </c>
      <c r="Q456" s="284">
        <v>0</v>
      </c>
      <c r="R456" s="285">
        <v>48</v>
      </c>
      <c r="S456" s="285">
        <v>36</v>
      </c>
      <c r="T456" s="285">
        <v>84</v>
      </c>
    </row>
    <row r="457" spans="2:20" x14ac:dyDescent="0.25">
      <c r="B457" s="249" t="s">
        <v>354</v>
      </c>
      <c r="C457" s="307">
        <v>3</v>
      </c>
      <c r="D457" s="307">
        <v>1</v>
      </c>
      <c r="E457" s="307">
        <v>4</v>
      </c>
      <c r="F457" s="307">
        <v>0</v>
      </c>
      <c r="G457" s="307">
        <v>3</v>
      </c>
      <c r="H457" s="284">
        <v>3</v>
      </c>
      <c r="I457" s="307">
        <v>0</v>
      </c>
      <c r="J457" s="284">
        <v>0</v>
      </c>
      <c r="K457" s="307">
        <v>0</v>
      </c>
      <c r="L457" s="284">
        <v>0</v>
      </c>
      <c r="M457" s="307">
        <v>0</v>
      </c>
      <c r="N457" s="284">
        <v>0</v>
      </c>
      <c r="O457" s="284">
        <v>0</v>
      </c>
      <c r="P457" s="284">
        <v>0</v>
      </c>
      <c r="Q457" s="284">
        <v>0</v>
      </c>
      <c r="R457" s="285">
        <v>3</v>
      </c>
      <c r="S457" s="285">
        <v>4</v>
      </c>
      <c r="T457" s="285">
        <v>7</v>
      </c>
    </row>
    <row r="458" spans="2:20" x14ac:dyDescent="0.25">
      <c r="B458" s="249" t="s">
        <v>355</v>
      </c>
      <c r="C458" s="307">
        <v>18</v>
      </c>
      <c r="D458" s="307">
        <v>11</v>
      </c>
      <c r="E458" s="307">
        <v>29</v>
      </c>
      <c r="F458" s="307">
        <v>12</v>
      </c>
      <c r="G458" s="307">
        <v>8</v>
      </c>
      <c r="H458" s="284">
        <v>20</v>
      </c>
      <c r="I458" s="307">
        <v>0</v>
      </c>
      <c r="J458" s="284">
        <v>0</v>
      </c>
      <c r="K458" s="307">
        <v>0</v>
      </c>
      <c r="L458" s="284">
        <v>1</v>
      </c>
      <c r="M458" s="307">
        <v>2</v>
      </c>
      <c r="N458" s="284">
        <v>3</v>
      </c>
      <c r="O458" s="284">
        <v>0</v>
      </c>
      <c r="P458" s="284">
        <v>0</v>
      </c>
      <c r="Q458" s="284">
        <v>0</v>
      </c>
      <c r="R458" s="285">
        <v>31</v>
      </c>
      <c r="S458" s="285">
        <v>21</v>
      </c>
      <c r="T458" s="285">
        <v>52</v>
      </c>
    </row>
    <row r="459" spans="2:20" x14ac:dyDescent="0.25">
      <c r="B459" s="249" t="s">
        <v>356</v>
      </c>
      <c r="C459" s="307">
        <v>4</v>
      </c>
      <c r="D459" s="307">
        <v>7</v>
      </c>
      <c r="E459" s="307">
        <v>11</v>
      </c>
      <c r="F459" s="307">
        <v>4</v>
      </c>
      <c r="G459" s="307">
        <v>4</v>
      </c>
      <c r="H459" s="284">
        <v>8</v>
      </c>
      <c r="I459" s="307">
        <v>0</v>
      </c>
      <c r="J459" s="284">
        <v>0</v>
      </c>
      <c r="K459" s="307">
        <v>0</v>
      </c>
      <c r="L459" s="284">
        <v>1</v>
      </c>
      <c r="M459" s="307">
        <v>1</v>
      </c>
      <c r="N459" s="284">
        <v>2</v>
      </c>
      <c r="O459" s="284">
        <v>0</v>
      </c>
      <c r="P459" s="284">
        <v>0</v>
      </c>
      <c r="Q459" s="284">
        <v>0</v>
      </c>
      <c r="R459" s="285">
        <v>9</v>
      </c>
      <c r="S459" s="285">
        <v>12</v>
      </c>
      <c r="T459" s="285">
        <v>21</v>
      </c>
    </row>
    <row r="460" spans="2:20" x14ac:dyDescent="0.25">
      <c r="B460" s="249" t="s">
        <v>357</v>
      </c>
      <c r="C460" s="307">
        <v>3</v>
      </c>
      <c r="D460" s="307">
        <v>4</v>
      </c>
      <c r="E460" s="307">
        <v>7</v>
      </c>
      <c r="F460" s="307">
        <v>3</v>
      </c>
      <c r="G460" s="307">
        <v>1</v>
      </c>
      <c r="H460" s="284">
        <v>4</v>
      </c>
      <c r="I460" s="307">
        <v>0</v>
      </c>
      <c r="J460" s="284">
        <v>0</v>
      </c>
      <c r="K460" s="307">
        <v>0</v>
      </c>
      <c r="L460" s="284">
        <v>1</v>
      </c>
      <c r="M460" s="307">
        <v>0</v>
      </c>
      <c r="N460" s="284">
        <v>1</v>
      </c>
      <c r="O460" s="284">
        <v>0</v>
      </c>
      <c r="P460" s="284">
        <v>0</v>
      </c>
      <c r="Q460" s="284">
        <v>0</v>
      </c>
      <c r="R460" s="285">
        <v>7</v>
      </c>
      <c r="S460" s="285">
        <v>5</v>
      </c>
      <c r="T460" s="285">
        <v>12</v>
      </c>
    </row>
    <row r="461" spans="2:20" x14ac:dyDescent="0.25">
      <c r="B461" s="249" t="s">
        <v>358</v>
      </c>
      <c r="C461" s="307">
        <v>12</v>
      </c>
      <c r="D461" s="307">
        <v>19</v>
      </c>
      <c r="E461" s="307">
        <v>31</v>
      </c>
      <c r="F461" s="307">
        <v>10</v>
      </c>
      <c r="G461" s="307">
        <v>5</v>
      </c>
      <c r="H461" s="284">
        <v>15</v>
      </c>
      <c r="I461" s="307">
        <v>1</v>
      </c>
      <c r="J461" s="284">
        <v>1</v>
      </c>
      <c r="K461" s="307">
        <v>2</v>
      </c>
      <c r="L461" s="284">
        <v>0</v>
      </c>
      <c r="M461" s="307">
        <v>0</v>
      </c>
      <c r="N461" s="284">
        <v>0</v>
      </c>
      <c r="O461" s="284">
        <v>0</v>
      </c>
      <c r="P461" s="284">
        <v>1</v>
      </c>
      <c r="Q461" s="284">
        <v>1</v>
      </c>
      <c r="R461" s="285">
        <v>23</v>
      </c>
      <c r="S461" s="285">
        <v>26</v>
      </c>
      <c r="T461" s="285">
        <v>49</v>
      </c>
    </row>
    <row r="462" spans="2:20" x14ac:dyDescent="0.25">
      <c r="B462" s="249" t="s">
        <v>359</v>
      </c>
      <c r="C462" s="307">
        <v>7</v>
      </c>
      <c r="D462" s="307">
        <v>9</v>
      </c>
      <c r="E462" s="307">
        <v>16</v>
      </c>
      <c r="F462" s="307">
        <v>5</v>
      </c>
      <c r="G462" s="307">
        <v>1</v>
      </c>
      <c r="H462" s="284">
        <v>6</v>
      </c>
      <c r="I462" s="307">
        <v>0</v>
      </c>
      <c r="J462" s="284">
        <v>0</v>
      </c>
      <c r="K462" s="307">
        <v>0</v>
      </c>
      <c r="L462" s="284">
        <v>1</v>
      </c>
      <c r="M462" s="307">
        <v>0</v>
      </c>
      <c r="N462" s="284">
        <v>1</v>
      </c>
      <c r="O462" s="284">
        <v>0</v>
      </c>
      <c r="P462" s="284">
        <v>0</v>
      </c>
      <c r="Q462" s="284">
        <v>0</v>
      </c>
      <c r="R462" s="285">
        <v>13</v>
      </c>
      <c r="S462" s="285">
        <v>10</v>
      </c>
      <c r="T462" s="285">
        <v>23</v>
      </c>
    </row>
    <row r="463" spans="2:20" x14ac:dyDescent="0.25">
      <c r="B463" s="249" t="s">
        <v>360</v>
      </c>
      <c r="C463" s="307">
        <v>5</v>
      </c>
      <c r="D463" s="307">
        <v>8</v>
      </c>
      <c r="E463" s="307">
        <v>13</v>
      </c>
      <c r="F463" s="307">
        <v>0</v>
      </c>
      <c r="G463" s="307">
        <v>3</v>
      </c>
      <c r="H463" s="284">
        <v>3</v>
      </c>
      <c r="I463" s="307">
        <v>0</v>
      </c>
      <c r="J463" s="284">
        <v>0</v>
      </c>
      <c r="K463" s="307">
        <v>0</v>
      </c>
      <c r="L463" s="284">
        <v>0</v>
      </c>
      <c r="M463" s="307">
        <v>0</v>
      </c>
      <c r="N463" s="284">
        <v>0</v>
      </c>
      <c r="O463" s="284">
        <v>0</v>
      </c>
      <c r="P463" s="284">
        <v>0</v>
      </c>
      <c r="Q463" s="284">
        <v>0</v>
      </c>
      <c r="R463" s="285">
        <v>5</v>
      </c>
      <c r="S463" s="285">
        <v>11</v>
      </c>
      <c r="T463" s="285">
        <v>16</v>
      </c>
    </row>
    <row r="464" spans="2:20" x14ac:dyDescent="0.25">
      <c r="B464" s="249" t="s">
        <v>361</v>
      </c>
      <c r="C464" s="307">
        <v>8</v>
      </c>
      <c r="D464" s="307">
        <v>8</v>
      </c>
      <c r="E464" s="307">
        <v>16</v>
      </c>
      <c r="F464" s="307">
        <v>5</v>
      </c>
      <c r="G464" s="307">
        <v>6</v>
      </c>
      <c r="H464" s="284">
        <v>11</v>
      </c>
      <c r="I464" s="307">
        <v>1</v>
      </c>
      <c r="J464" s="284">
        <v>0</v>
      </c>
      <c r="K464" s="307">
        <v>1</v>
      </c>
      <c r="L464" s="284">
        <v>0</v>
      </c>
      <c r="M464" s="307">
        <v>0</v>
      </c>
      <c r="N464" s="284">
        <v>0</v>
      </c>
      <c r="O464" s="284">
        <v>0</v>
      </c>
      <c r="P464" s="284">
        <v>0</v>
      </c>
      <c r="Q464" s="284">
        <v>0</v>
      </c>
      <c r="R464" s="285">
        <v>14</v>
      </c>
      <c r="S464" s="285">
        <v>14</v>
      </c>
      <c r="T464" s="285">
        <v>28</v>
      </c>
    </row>
    <row r="465" spans="2:20" x14ac:dyDescent="0.25">
      <c r="B465" s="249" t="s">
        <v>362</v>
      </c>
      <c r="C465" s="307">
        <v>7</v>
      </c>
      <c r="D465" s="307">
        <v>7</v>
      </c>
      <c r="E465" s="307">
        <v>14</v>
      </c>
      <c r="F465" s="307">
        <v>2</v>
      </c>
      <c r="G465" s="307">
        <v>3</v>
      </c>
      <c r="H465" s="284">
        <v>5</v>
      </c>
      <c r="I465" s="307">
        <v>0</v>
      </c>
      <c r="J465" s="284">
        <v>0</v>
      </c>
      <c r="K465" s="307">
        <v>0</v>
      </c>
      <c r="L465" s="284">
        <v>0</v>
      </c>
      <c r="M465" s="307">
        <v>3</v>
      </c>
      <c r="N465" s="284">
        <v>3</v>
      </c>
      <c r="O465" s="284">
        <v>0</v>
      </c>
      <c r="P465" s="284">
        <v>0</v>
      </c>
      <c r="Q465" s="284">
        <v>0</v>
      </c>
      <c r="R465" s="285">
        <v>9</v>
      </c>
      <c r="S465" s="285">
        <v>13</v>
      </c>
      <c r="T465" s="285">
        <v>22</v>
      </c>
    </row>
    <row r="466" spans="2:20" x14ac:dyDescent="0.25">
      <c r="B466" s="249" t="s">
        <v>363</v>
      </c>
      <c r="C466" s="307">
        <v>7</v>
      </c>
      <c r="D466" s="307">
        <v>7</v>
      </c>
      <c r="E466" s="307">
        <v>14</v>
      </c>
      <c r="F466" s="307">
        <v>0</v>
      </c>
      <c r="G466" s="307">
        <v>5</v>
      </c>
      <c r="H466" s="284">
        <v>5</v>
      </c>
      <c r="I466" s="307">
        <v>0</v>
      </c>
      <c r="J466" s="284">
        <v>0</v>
      </c>
      <c r="K466" s="307">
        <v>0</v>
      </c>
      <c r="L466" s="284">
        <v>0</v>
      </c>
      <c r="M466" s="307">
        <v>1</v>
      </c>
      <c r="N466" s="284">
        <v>1</v>
      </c>
      <c r="O466" s="284">
        <v>0</v>
      </c>
      <c r="P466" s="284">
        <v>0</v>
      </c>
      <c r="Q466" s="284">
        <v>0</v>
      </c>
      <c r="R466" s="285">
        <v>7</v>
      </c>
      <c r="S466" s="285">
        <v>13</v>
      </c>
      <c r="T466" s="285">
        <v>20</v>
      </c>
    </row>
    <row r="467" spans="2:20" x14ac:dyDescent="0.25">
      <c r="B467" s="297" t="s">
        <v>25</v>
      </c>
      <c r="C467" s="282">
        <v>483</v>
      </c>
      <c r="D467" s="282">
        <v>496</v>
      </c>
      <c r="E467" s="282">
        <v>979</v>
      </c>
      <c r="F467" s="282">
        <v>354</v>
      </c>
      <c r="G467" s="282">
        <v>263</v>
      </c>
      <c r="H467" s="285">
        <v>617</v>
      </c>
      <c r="I467" s="282">
        <v>23</v>
      </c>
      <c r="J467" s="285">
        <v>19</v>
      </c>
      <c r="K467" s="282">
        <v>42</v>
      </c>
      <c r="L467" s="285">
        <v>42</v>
      </c>
      <c r="M467" s="282">
        <v>60</v>
      </c>
      <c r="N467" s="285">
        <v>102</v>
      </c>
      <c r="O467" s="285">
        <v>1</v>
      </c>
      <c r="P467" s="285">
        <v>1</v>
      </c>
      <c r="Q467" s="285">
        <v>2</v>
      </c>
      <c r="R467" s="285">
        <v>903</v>
      </c>
      <c r="S467" s="285">
        <v>839</v>
      </c>
      <c r="T467" s="285">
        <v>1742</v>
      </c>
    </row>
    <row r="468" spans="2:20" ht="82.5" customHeight="1" x14ac:dyDescent="0.25">
      <c r="B468" s="454" t="s">
        <v>866</v>
      </c>
      <c r="C468" s="454"/>
      <c r="D468" s="454"/>
      <c r="E468" s="454"/>
      <c r="F468" s="454"/>
      <c r="G468" s="454"/>
      <c r="H468" s="454"/>
      <c r="I468" s="454"/>
      <c r="J468" s="454"/>
      <c r="K468" s="454"/>
      <c r="L468" s="454"/>
      <c r="M468" s="454"/>
      <c r="N468" s="454"/>
      <c r="O468" s="454"/>
      <c r="P468" s="454"/>
      <c r="Q468" s="454"/>
    </row>
    <row r="469" spans="2:20" x14ac:dyDescent="0.25">
      <c r="B469" s="157"/>
      <c r="C469" s="157"/>
      <c r="D469" s="157"/>
      <c r="E469" s="157"/>
      <c r="F469" s="157"/>
      <c r="G469"/>
    </row>
    <row r="470" spans="2:20" x14ac:dyDescent="0.25">
      <c r="B470" s="186" t="s">
        <v>515</v>
      </c>
      <c r="C470"/>
      <c r="D470"/>
      <c r="E470"/>
      <c r="F470"/>
      <c r="G470"/>
    </row>
    <row r="471" spans="2:20" x14ac:dyDescent="0.25">
      <c r="B471" s="186"/>
      <c r="C471"/>
      <c r="D471"/>
      <c r="E471"/>
      <c r="F471"/>
      <c r="G471"/>
    </row>
    <row r="472" spans="2:20" ht="15" customHeight="1" x14ac:dyDescent="0.25">
      <c r="B472" s="426" t="s">
        <v>532</v>
      </c>
      <c r="C472" s="475" t="s">
        <v>477</v>
      </c>
      <c r="D472" s="475"/>
      <c r="E472" s="475"/>
      <c r="F472" s="475"/>
      <c r="G472" s="475"/>
      <c r="H472" s="475"/>
      <c r="I472" s="475"/>
      <c r="J472" s="475"/>
      <c r="K472" s="475"/>
      <c r="L472" s="475"/>
      <c r="M472" s="475"/>
      <c r="N472" s="475"/>
      <c r="O472" s="475"/>
      <c r="P472" s="475"/>
      <c r="Q472" s="475"/>
      <c r="R472" s="469" t="s">
        <v>877</v>
      </c>
      <c r="S472" s="470"/>
      <c r="T472" s="471"/>
    </row>
    <row r="473" spans="2:20" ht="15" customHeight="1" x14ac:dyDescent="0.25">
      <c r="B473" s="427"/>
      <c r="C473" s="463" t="s">
        <v>849</v>
      </c>
      <c r="D473" s="463"/>
      <c r="E473" s="463"/>
      <c r="F473" s="463" t="s">
        <v>850</v>
      </c>
      <c r="G473" s="463"/>
      <c r="H473" s="463"/>
      <c r="I473" s="463" t="s">
        <v>3</v>
      </c>
      <c r="J473" s="463"/>
      <c r="K473" s="463"/>
      <c r="L473" s="463" t="s">
        <v>5</v>
      </c>
      <c r="M473" s="463"/>
      <c r="N473" s="463"/>
      <c r="O473" s="463" t="s">
        <v>859</v>
      </c>
      <c r="P473" s="463"/>
      <c r="Q473" s="463"/>
      <c r="R473" s="472"/>
      <c r="S473" s="473"/>
      <c r="T473" s="474"/>
    </row>
    <row r="474" spans="2:20" x14ac:dyDescent="0.25">
      <c r="B474" s="428"/>
      <c r="C474" s="264" t="s">
        <v>73</v>
      </c>
      <c r="D474" s="264" t="s">
        <v>74</v>
      </c>
      <c r="E474" s="264" t="s">
        <v>25</v>
      </c>
      <c r="F474" s="264" t="s">
        <v>73</v>
      </c>
      <c r="G474" s="264" t="s">
        <v>74</v>
      </c>
      <c r="H474" s="264" t="s">
        <v>25</v>
      </c>
      <c r="I474" s="264" t="s">
        <v>73</v>
      </c>
      <c r="J474" s="264" t="s">
        <v>74</v>
      </c>
      <c r="K474" s="264" t="s">
        <v>25</v>
      </c>
      <c r="L474" s="264" t="s">
        <v>73</v>
      </c>
      <c r="M474" s="264" t="s">
        <v>74</v>
      </c>
      <c r="N474" s="264" t="s">
        <v>25</v>
      </c>
      <c r="O474" s="264" t="s">
        <v>73</v>
      </c>
      <c r="P474" s="264" t="s">
        <v>74</v>
      </c>
      <c r="Q474" s="264" t="s">
        <v>25</v>
      </c>
      <c r="R474" s="274" t="s">
        <v>73</v>
      </c>
      <c r="S474" s="274" t="s">
        <v>74</v>
      </c>
      <c r="T474" s="274" t="s">
        <v>25</v>
      </c>
    </row>
    <row r="475" spans="2:20" x14ac:dyDescent="0.25">
      <c r="B475" s="336" t="s">
        <v>364</v>
      </c>
      <c r="C475" s="307">
        <v>5</v>
      </c>
      <c r="D475" s="307">
        <v>8</v>
      </c>
      <c r="E475" s="307">
        <v>13</v>
      </c>
      <c r="F475" s="307">
        <v>5</v>
      </c>
      <c r="G475" s="307">
        <v>2</v>
      </c>
      <c r="H475" s="284">
        <v>7</v>
      </c>
      <c r="I475" s="307">
        <v>0</v>
      </c>
      <c r="J475" s="284">
        <v>0</v>
      </c>
      <c r="K475" s="307">
        <v>0</v>
      </c>
      <c r="L475" s="284">
        <v>0</v>
      </c>
      <c r="M475" s="307">
        <v>1</v>
      </c>
      <c r="N475" s="284">
        <v>1</v>
      </c>
      <c r="O475" s="284">
        <v>0</v>
      </c>
      <c r="P475" s="284">
        <v>0</v>
      </c>
      <c r="Q475" s="284">
        <v>0</v>
      </c>
      <c r="R475" s="285">
        <v>10</v>
      </c>
      <c r="S475" s="285">
        <v>11</v>
      </c>
      <c r="T475" s="285">
        <v>21</v>
      </c>
    </row>
    <row r="476" spans="2:20" x14ac:dyDescent="0.25">
      <c r="B476" s="336" t="s">
        <v>365</v>
      </c>
      <c r="C476" s="307">
        <v>3</v>
      </c>
      <c r="D476" s="307">
        <v>2</v>
      </c>
      <c r="E476" s="307">
        <v>5</v>
      </c>
      <c r="F476" s="307">
        <v>4</v>
      </c>
      <c r="G476" s="307">
        <v>2</v>
      </c>
      <c r="H476" s="284">
        <v>6</v>
      </c>
      <c r="I476" s="307">
        <v>0</v>
      </c>
      <c r="J476" s="284">
        <v>0</v>
      </c>
      <c r="K476" s="307">
        <v>0</v>
      </c>
      <c r="L476" s="284">
        <v>1</v>
      </c>
      <c r="M476" s="307">
        <v>0</v>
      </c>
      <c r="N476" s="284">
        <v>1</v>
      </c>
      <c r="O476" s="284">
        <v>0</v>
      </c>
      <c r="P476" s="284">
        <v>0</v>
      </c>
      <c r="Q476" s="284">
        <v>0</v>
      </c>
      <c r="R476" s="285">
        <v>8</v>
      </c>
      <c r="S476" s="285">
        <v>4</v>
      </c>
      <c r="T476" s="285">
        <v>12</v>
      </c>
    </row>
    <row r="477" spans="2:20" x14ac:dyDescent="0.25">
      <c r="B477" s="249" t="s">
        <v>366</v>
      </c>
      <c r="C477" s="307">
        <v>1</v>
      </c>
      <c r="D477" s="307">
        <v>4</v>
      </c>
      <c r="E477" s="307">
        <v>5</v>
      </c>
      <c r="F477" s="307">
        <v>1</v>
      </c>
      <c r="G477" s="307">
        <v>0</v>
      </c>
      <c r="H477" s="284">
        <v>1</v>
      </c>
      <c r="I477" s="307">
        <v>0</v>
      </c>
      <c r="J477" s="284">
        <v>0</v>
      </c>
      <c r="K477" s="307">
        <v>0</v>
      </c>
      <c r="L477" s="284">
        <v>0</v>
      </c>
      <c r="M477" s="307">
        <v>0</v>
      </c>
      <c r="N477" s="284">
        <v>0</v>
      </c>
      <c r="O477" s="284">
        <v>0</v>
      </c>
      <c r="P477" s="284">
        <v>0</v>
      </c>
      <c r="Q477" s="284">
        <v>0</v>
      </c>
      <c r="R477" s="285">
        <v>2</v>
      </c>
      <c r="S477" s="285">
        <v>4</v>
      </c>
      <c r="T477" s="285">
        <v>6</v>
      </c>
    </row>
    <row r="478" spans="2:20" x14ac:dyDescent="0.25">
      <c r="B478" s="249" t="s">
        <v>367</v>
      </c>
      <c r="C478" s="307">
        <v>35</v>
      </c>
      <c r="D478" s="307">
        <v>35</v>
      </c>
      <c r="E478" s="307">
        <v>70</v>
      </c>
      <c r="F478" s="307">
        <v>29</v>
      </c>
      <c r="G478" s="307">
        <v>15</v>
      </c>
      <c r="H478" s="284">
        <v>44</v>
      </c>
      <c r="I478" s="307">
        <v>0</v>
      </c>
      <c r="J478" s="284">
        <v>0</v>
      </c>
      <c r="K478" s="307">
        <v>0</v>
      </c>
      <c r="L478" s="284">
        <v>2</v>
      </c>
      <c r="M478" s="307">
        <v>5</v>
      </c>
      <c r="N478" s="284">
        <v>7</v>
      </c>
      <c r="O478" s="284">
        <v>0</v>
      </c>
      <c r="P478" s="284">
        <v>0</v>
      </c>
      <c r="Q478" s="284">
        <v>0</v>
      </c>
      <c r="R478" s="285">
        <v>66</v>
      </c>
      <c r="S478" s="285">
        <v>55</v>
      </c>
      <c r="T478" s="285">
        <v>121</v>
      </c>
    </row>
    <row r="479" spans="2:20" x14ac:dyDescent="0.25">
      <c r="B479" s="249" t="s">
        <v>368</v>
      </c>
      <c r="C479" s="307">
        <v>0</v>
      </c>
      <c r="D479" s="307">
        <v>0</v>
      </c>
      <c r="E479" s="307">
        <v>0</v>
      </c>
      <c r="F479" s="307">
        <v>0</v>
      </c>
      <c r="G479" s="307">
        <v>1</v>
      </c>
      <c r="H479" s="284">
        <v>1</v>
      </c>
      <c r="I479" s="307">
        <v>0</v>
      </c>
      <c r="J479" s="284">
        <v>0</v>
      </c>
      <c r="K479" s="307">
        <v>0</v>
      </c>
      <c r="L479" s="284">
        <v>0</v>
      </c>
      <c r="M479" s="307">
        <v>0</v>
      </c>
      <c r="N479" s="284">
        <v>0</v>
      </c>
      <c r="O479" s="284">
        <v>0</v>
      </c>
      <c r="P479" s="284">
        <v>0</v>
      </c>
      <c r="Q479" s="284">
        <v>0</v>
      </c>
      <c r="R479" s="285">
        <v>0</v>
      </c>
      <c r="S479" s="285">
        <v>1</v>
      </c>
      <c r="T479" s="285">
        <v>1</v>
      </c>
    </row>
    <row r="480" spans="2:20" x14ac:dyDescent="0.25">
      <c r="B480" s="249" t="s">
        <v>369</v>
      </c>
      <c r="C480" s="307">
        <v>0</v>
      </c>
      <c r="D480" s="307">
        <v>3</v>
      </c>
      <c r="E480" s="307">
        <v>3</v>
      </c>
      <c r="F480" s="307">
        <v>1</v>
      </c>
      <c r="G480" s="307">
        <v>0</v>
      </c>
      <c r="H480" s="284">
        <v>1</v>
      </c>
      <c r="I480" s="307">
        <v>0</v>
      </c>
      <c r="J480" s="284">
        <v>0</v>
      </c>
      <c r="K480" s="307">
        <v>0</v>
      </c>
      <c r="L480" s="284">
        <v>0</v>
      </c>
      <c r="M480" s="307">
        <v>0</v>
      </c>
      <c r="N480" s="284">
        <v>0</v>
      </c>
      <c r="O480" s="284">
        <v>0</v>
      </c>
      <c r="P480" s="284">
        <v>0</v>
      </c>
      <c r="Q480" s="284">
        <v>0</v>
      </c>
      <c r="R480" s="285">
        <v>1</v>
      </c>
      <c r="S480" s="285">
        <v>3</v>
      </c>
      <c r="T480" s="285">
        <v>4</v>
      </c>
    </row>
    <row r="481" spans="2:20" x14ac:dyDescent="0.25">
      <c r="B481" s="249" t="s">
        <v>370</v>
      </c>
      <c r="C481" s="307">
        <v>0</v>
      </c>
      <c r="D481" s="307">
        <v>1</v>
      </c>
      <c r="E481" s="307">
        <v>1</v>
      </c>
      <c r="F481" s="307">
        <v>0</v>
      </c>
      <c r="G481" s="307">
        <v>0</v>
      </c>
      <c r="H481" s="284">
        <v>0</v>
      </c>
      <c r="I481" s="307">
        <v>0</v>
      </c>
      <c r="J481" s="284">
        <v>0</v>
      </c>
      <c r="K481" s="307">
        <v>0</v>
      </c>
      <c r="L481" s="284">
        <v>0</v>
      </c>
      <c r="M481" s="307">
        <v>0</v>
      </c>
      <c r="N481" s="284">
        <v>0</v>
      </c>
      <c r="O481" s="284">
        <v>0</v>
      </c>
      <c r="P481" s="284">
        <v>0</v>
      </c>
      <c r="Q481" s="284">
        <v>0</v>
      </c>
      <c r="R481" s="285">
        <v>0</v>
      </c>
      <c r="S481" s="285">
        <v>1</v>
      </c>
      <c r="T481" s="285">
        <v>1</v>
      </c>
    </row>
    <row r="482" spans="2:20" x14ac:dyDescent="0.25">
      <c r="B482" s="249" t="s">
        <v>371</v>
      </c>
      <c r="C482" s="307">
        <v>10</v>
      </c>
      <c r="D482" s="307">
        <v>21</v>
      </c>
      <c r="E482" s="307">
        <v>31</v>
      </c>
      <c r="F482" s="307">
        <v>16</v>
      </c>
      <c r="G482" s="307">
        <v>9</v>
      </c>
      <c r="H482" s="284">
        <v>25</v>
      </c>
      <c r="I482" s="307">
        <v>0</v>
      </c>
      <c r="J482" s="284">
        <v>0</v>
      </c>
      <c r="K482" s="307">
        <v>0</v>
      </c>
      <c r="L482" s="284">
        <v>0</v>
      </c>
      <c r="M482" s="307">
        <v>3</v>
      </c>
      <c r="N482" s="284">
        <v>3</v>
      </c>
      <c r="O482" s="284">
        <v>0</v>
      </c>
      <c r="P482" s="284">
        <v>0</v>
      </c>
      <c r="Q482" s="284">
        <v>0</v>
      </c>
      <c r="R482" s="285">
        <v>26</v>
      </c>
      <c r="S482" s="285">
        <v>33</v>
      </c>
      <c r="T482" s="285">
        <v>59</v>
      </c>
    </row>
    <row r="483" spans="2:20" x14ac:dyDescent="0.25">
      <c r="B483" s="249" t="s">
        <v>496</v>
      </c>
      <c r="C483" s="307">
        <v>5</v>
      </c>
      <c r="D483" s="307">
        <v>3</v>
      </c>
      <c r="E483" s="307">
        <v>8</v>
      </c>
      <c r="F483" s="307">
        <v>0</v>
      </c>
      <c r="G483" s="307">
        <v>1</v>
      </c>
      <c r="H483" s="284">
        <v>1</v>
      </c>
      <c r="I483" s="307">
        <v>0</v>
      </c>
      <c r="J483" s="284">
        <v>0</v>
      </c>
      <c r="K483" s="307">
        <v>0</v>
      </c>
      <c r="L483" s="284">
        <v>0</v>
      </c>
      <c r="M483" s="307">
        <v>0</v>
      </c>
      <c r="N483" s="284">
        <v>0</v>
      </c>
      <c r="O483" s="284">
        <v>0</v>
      </c>
      <c r="P483" s="284">
        <v>0</v>
      </c>
      <c r="Q483" s="284">
        <v>0</v>
      </c>
      <c r="R483" s="285">
        <v>5</v>
      </c>
      <c r="S483" s="285">
        <v>4</v>
      </c>
      <c r="T483" s="285">
        <v>9</v>
      </c>
    </row>
    <row r="484" spans="2:20" x14ac:dyDescent="0.25">
      <c r="B484" s="249" t="s">
        <v>372</v>
      </c>
      <c r="C484" s="307">
        <v>0</v>
      </c>
      <c r="D484" s="307">
        <v>0</v>
      </c>
      <c r="E484" s="307">
        <v>0</v>
      </c>
      <c r="F484" s="307">
        <v>0</v>
      </c>
      <c r="G484" s="307">
        <v>1</v>
      </c>
      <c r="H484" s="284">
        <v>1</v>
      </c>
      <c r="I484" s="307">
        <v>0</v>
      </c>
      <c r="J484" s="284">
        <v>0</v>
      </c>
      <c r="K484" s="307">
        <v>0</v>
      </c>
      <c r="L484" s="284">
        <v>0</v>
      </c>
      <c r="M484" s="307">
        <v>0</v>
      </c>
      <c r="N484" s="284">
        <v>0</v>
      </c>
      <c r="O484" s="284">
        <v>0</v>
      </c>
      <c r="P484" s="284">
        <v>0</v>
      </c>
      <c r="Q484" s="284">
        <v>0</v>
      </c>
      <c r="R484" s="285">
        <v>0</v>
      </c>
      <c r="S484" s="285">
        <v>1</v>
      </c>
      <c r="T484" s="285">
        <v>1</v>
      </c>
    </row>
    <row r="485" spans="2:20" x14ac:dyDescent="0.25">
      <c r="B485" s="297" t="s">
        <v>25</v>
      </c>
      <c r="C485" s="282">
        <v>59</v>
      </c>
      <c r="D485" s="282">
        <v>77</v>
      </c>
      <c r="E485" s="282">
        <v>136</v>
      </c>
      <c r="F485" s="282">
        <v>56</v>
      </c>
      <c r="G485" s="282">
        <v>31</v>
      </c>
      <c r="H485" s="285">
        <v>87</v>
      </c>
      <c r="I485" s="282">
        <v>0</v>
      </c>
      <c r="J485" s="285">
        <v>0</v>
      </c>
      <c r="K485" s="282">
        <v>0</v>
      </c>
      <c r="L485" s="285">
        <v>3</v>
      </c>
      <c r="M485" s="282">
        <v>9</v>
      </c>
      <c r="N485" s="285">
        <v>12</v>
      </c>
      <c r="O485" s="285">
        <v>0</v>
      </c>
      <c r="P485" s="285">
        <v>0</v>
      </c>
      <c r="Q485" s="285">
        <v>0</v>
      </c>
      <c r="R485" s="285">
        <v>118</v>
      </c>
      <c r="S485" s="285">
        <v>117</v>
      </c>
      <c r="T485" s="285">
        <v>235</v>
      </c>
    </row>
    <row r="486" spans="2:20" ht="82.5" customHeight="1" x14ac:dyDescent="0.25">
      <c r="B486" s="454" t="s">
        <v>866</v>
      </c>
      <c r="C486" s="454"/>
      <c r="D486" s="454"/>
      <c r="E486" s="454"/>
      <c r="F486" s="454"/>
      <c r="G486" s="454"/>
      <c r="H486" s="454"/>
      <c r="I486" s="454"/>
      <c r="J486" s="454"/>
      <c r="K486" s="454"/>
      <c r="L486" s="454"/>
      <c r="M486" s="454"/>
      <c r="N486" s="454"/>
      <c r="O486" s="454"/>
      <c r="P486" s="454"/>
      <c r="Q486" s="454"/>
    </row>
    <row r="487" spans="2:20" x14ac:dyDescent="0.25">
      <c r="B487" s="157"/>
      <c r="C487" s="157"/>
      <c r="D487" s="157"/>
      <c r="E487"/>
      <c r="F487"/>
      <c r="G487"/>
    </row>
    <row r="488" spans="2:20" x14ac:dyDescent="0.25">
      <c r="B488" s="186" t="s">
        <v>516</v>
      </c>
      <c r="C488"/>
      <c r="D488"/>
      <c r="E488"/>
      <c r="F488"/>
      <c r="G488"/>
    </row>
    <row r="489" spans="2:20" x14ac:dyDescent="0.25">
      <c r="B489" s="186"/>
      <c r="C489"/>
      <c r="D489"/>
      <c r="E489"/>
      <c r="F489"/>
      <c r="G489"/>
    </row>
    <row r="490" spans="2:20" ht="15" customHeight="1" x14ac:dyDescent="0.25">
      <c r="B490" s="426" t="s">
        <v>532</v>
      </c>
      <c r="C490" s="475" t="s">
        <v>477</v>
      </c>
      <c r="D490" s="475"/>
      <c r="E490" s="475"/>
      <c r="F490" s="475"/>
      <c r="G490" s="475"/>
      <c r="H490" s="475"/>
      <c r="I490" s="475"/>
      <c r="J490" s="475"/>
      <c r="K490" s="475"/>
      <c r="L490" s="475"/>
      <c r="M490" s="475"/>
      <c r="N490" s="475"/>
      <c r="O490" s="475"/>
      <c r="P490" s="475"/>
      <c r="Q490" s="475"/>
      <c r="R490" s="469" t="s">
        <v>877</v>
      </c>
      <c r="S490" s="470"/>
      <c r="T490" s="471"/>
    </row>
    <row r="491" spans="2:20" ht="15" customHeight="1" x14ac:dyDescent="0.25">
      <c r="B491" s="427"/>
      <c r="C491" s="463" t="s">
        <v>849</v>
      </c>
      <c r="D491" s="463"/>
      <c r="E491" s="463"/>
      <c r="F491" s="463" t="s">
        <v>850</v>
      </c>
      <c r="G491" s="463"/>
      <c r="H491" s="463"/>
      <c r="I491" s="463" t="s">
        <v>3</v>
      </c>
      <c r="J491" s="463"/>
      <c r="K491" s="463"/>
      <c r="L491" s="463" t="s">
        <v>5</v>
      </c>
      <c r="M491" s="463"/>
      <c r="N491" s="463"/>
      <c r="O491" s="463" t="s">
        <v>859</v>
      </c>
      <c r="P491" s="463"/>
      <c r="Q491" s="463"/>
      <c r="R491" s="472"/>
      <c r="S491" s="473"/>
      <c r="T491" s="474"/>
    </row>
    <row r="492" spans="2:20" x14ac:dyDescent="0.25">
      <c r="B492" s="428"/>
      <c r="C492" s="264" t="s">
        <v>73</v>
      </c>
      <c r="D492" s="264" t="s">
        <v>74</v>
      </c>
      <c r="E492" s="264" t="s">
        <v>25</v>
      </c>
      <c r="F492" s="264" t="s">
        <v>73</v>
      </c>
      <c r="G492" s="264" t="s">
        <v>74</v>
      </c>
      <c r="H492" s="264" t="s">
        <v>25</v>
      </c>
      <c r="I492" s="264" t="s">
        <v>73</v>
      </c>
      <c r="J492" s="264" t="s">
        <v>74</v>
      </c>
      <c r="K492" s="264" t="s">
        <v>25</v>
      </c>
      <c r="L492" s="264" t="s">
        <v>73</v>
      </c>
      <c r="M492" s="264" t="s">
        <v>74</v>
      </c>
      <c r="N492" s="264" t="s">
        <v>25</v>
      </c>
      <c r="O492" s="264" t="s">
        <v>73</v>
      </c>
      <c r="P492" s="264" t="s">
        <v>74</v>
      </c>
      <c r="Q492" s="264" t="s">
        <v>25</v>
      </c>
      <c r="R492" s="274" t="s">
        <v>73</v>
      </c>
      <c r="S492" s="274" t="s">
        <v>74</v>
      </c>
      <c r="T492" s="274" t="s">
        <v>25</v>
      </c>
    </row>
    <row r="493" spans="2:20" x14ac:dyDescent="0.25">
      <c r="B493" s="336" t="s">
        <v>373</v>
      </c>
      <c r="C493" s="307">
        <v>1</v>
      </c>
      <c r="D493" s="307">
        <v>0</v>
      </c>
      <c r="E493" s="307">
        <v>1</v>
      </c>
      <c r="F493" s="307">
        <v>0</v>
      </c>
      <c r="G493" s="307">
        <v>1</v>
      </c>
      <c r="H493" s="284">
        <v>1</v>
      </c>
      <c r="I493" s="307">
        <v>0</v>
      </c>
      <c r="J493" s="284">
        <v>0</v>
      </c>
      <c r="K493" s="307">
        <v>0</v>
      </c>
      <c r="L493" s="284">
        <v>0</v>
      </c>
      <c r="M493" s="307">
        <v>0</v>
      </c>
      <c r="N493" s="284">
        <v>0</v>
      </c>
      <c r="O493" s="284">
        <v>0</v>
      </c>
      <c r="P493" s="284">
        <v>0</v>
      </c>
      <c r="Q493" s="284">
        <v>0</v>
      </c>
      <c r="R493" s="285">
        <v>1</v>
      </c>
      <c r="S493" s="285">
        <v>1</v>
      </c>
      <c r="T493" s="285">
        <v>2</v>
      </c>
    </row>
    <row r="494" spans="2:20" x14ac:dyDescent="0.25">
      <c r="B494" s="336" t="s">
        <v>375</v>
      </c>
      <c r="C494" s="307">
        <v>0</v>
      </c>
      <c r="D494" s="307">
        <v>2</v>
      </c>
      <c r="E494" s="307">
        <v>2</v>
      </c>
      <c r="F494" s="307">
        <v>0</v>
      </c>
      <c r="G494" s="307">
        <v>0</v>
      </c>
      <c r="H494" s="284">
        <v>0</v>
      </c>
      <c r="I494" s="307">
        <v>0</v>
      </c>
      <c r="J494" s="284">
        <v>0</v>
      </c>
      <c r="K494" s="307">
        <v>0</v>
      </c>
      <c r="L494" s="284">
        <v>0</v>
      </c>
      <c r="M494" s="307">
        <v>0</v>
      </c>
      <c r="N494" s="284">
        <v>0</v>
      </c>
      <c r="O494" s="284">
        <v>0</v>
      </c>
      <c r="P494" s="284">
        <v>0</v>
      </c>
      <c r="Q494" s="284">
        <v>0</v>
      </c>
      <c r="R494" s="285">
        <v>0</v>
      </c>
      <c r="S494" s="285">
        <v>2</v>
      </c>
      <c r="T494" s="285">
        <v>2</v>
      </c>
    </row>
    <row r="495" spans="2:20" x14ac:dyDescent="0.25">
      <c r="B495" s="336" t="s">
        <v>376</v>
      </c>
      <c r="C495" s="307">
        <v>18</v>
      </c>
      <c r="D495" s="307">
        <v>22</v>
      </c>
      <c r="E495" s="307">
        <v>40</v>
      </c>
      <c r="F495" s="307">
        <v>15</v>
      </c>
      <c r="G495" s="307">
        <v>7</v>
      </c>
      <c r="H495" s="284">
        <v>22</v>
      </c>
      <c r="I495" s="307">
        <v>0</v>
      </c>
      <c r="J495" s="284">
        <v>1</v>
      </c>
      <c r="K495" s="307">
        <v>1</v>
      </c>
      <c r="L495" s="284">
        <v>1</v>
      </c>
      <c r="M495" s="307">
        <v>2</v>
      </c>
      <c r="N495" s="284">
        <v>3</v>
      </c>
      <c r="O495" s="284">
        <v>0</v>
      </c>
      <c r="P495" s="284">
        <v>0</v>
      </c>
      <c r="Q495" s="284">
        <v>0</v>
      </c>
      <c r="R495" s="285">
        <v>34</v>
      </c>
      <c r="S495" s="285">
        <v>32</v>
      </c>
      <c r="T495" s="285">
        <v>66</v>
      </c>
    </row>
    <row r="496" spans="2:20" x14ac:dyDescent="0.25">
      <c r="B496" s="336" t="s">
        <v>377</v>
      </c>
      <c r="C496" s="307">
        <v>1</v>
      </c>
      <c r="D496" s="307">
        <v>6</v>
      </c>
      <c r="E496" s="307">
        <v>7</v>
      </c>
      <c r="F496" s="307">
        <v>4</v>
      </c>
      <c r="G496" s="307">
        <v>3</v>
      </c>
      <c r="H496" s="284">
        <v>7</v>
      </c>
      <c r="I496" s="307">
        <v>0</v>
      </c>
      <c r="J496" s="284">
        <v>0</v>
      </c>
      <c r="K496" s="307">
        <v>0</v>
      </c>
      <c r="L496" s="284">
        <v>0</v>
      </c>
      <c r="M496" s="307">
        <v>0</v>
      </c>
      <c r="N496" s="284">
        <v>0</v>
      </c>
      <c r="O496" s="284">
        <v>0</v>
      </c>
      <c r="P496" s="284">
        <v>0</v>
      </c>
      <c r="Q496" s="284">
        <v>0</v>
      </c>
      <c r="R496" s="285">
        <v>5</v>
      </c>
      <c r="S496" s="285">
        <v>9</v>
      </c>
      <c r="T496" s="285">
        <v>14</v>
      </c>
    </row>
    <row r="497" spans="2:20" x14ac:dyDescent="0.25">
      <c r="B497" s="249" t="s">
        <v>378</v>
      </c>
      <c r="C497" s="307">
        <v>0</v>
      </c>
      <c r="D497" s="307">
        <v>0</v>
      </c>
      <c r="E497" s="307">
        <v>0</v>
      </c>
      <c r="F497" s="307">
        <v>1</v>
      </c>
      <c r="G497" s="307">
        <v>0</v>
      </c>
      <c r="H497" s="284">
        <v>1</v>
      </c>
      <c r="I497" s="307">
        <v>0</v>
      </c>
      <c r="J497" s="284">
        <v>0</v>
      </c>
      <c r="K497" s="307">
        <v>0</v>
      </c>
      <c r="L497" s="284">
        <v>0</v>
      </c>
      <c r="M497" s="307">
        <v>0</v>
      </c>
      <c r="N497" s="284">
        <v>0</v>
      </c>
      <c r="O497" s="284">
        <v>0</v>
      </c>
      <c r="P497" s="284">
        <v>0</v>
      </c>
      <c r="Q497" s="284">
        <v>0</v>
      </c>
      <c r="R497" s="285">
        <v>1</v>
      </c>
      <c r="S497" s="285">
        <v>0</v>
      </c>
      <c r="T497" s="285">
        <v>1</v>
      </c>
    </row>
    <row r="498" spans="2:20" x14ac:dyDescent="0.25">
      <c r="B498" s="249" t="s">
        <v>379</v>
      </c>
      <c r="C498" s="307">
        <v>64</v>
      </c>
      <c r="D498" s="307">
        <v>78</v>
      </c>
      <c r="E498" s="307">
        <v>142</v>
      </c>
      <c r="F498" s="307">
        <v>76</v>
      </c>
      <c r="G498" s="307">
        <v>47</v>
      </c>
      <c r="H498" s="284">
        <v>123</v>
      </c>
      <c r="I498" s="307">
        <v>1</v>
      </c>
      <c r="J498" s="284">
        <v>0</v>
      </c>
      <c r="K498" s="307">
        <v>1</v>
      </c>
      <c r="L498" s="284">
        <v>11</v>
      </c>
      <c r="M498" s="307">
        <v>6</v>
      </c>
      <c r="N498" s="284">
        <v>17</v>
      </c>
      <c r="O498" s="284">
        <v>0</v>
      </c>
      <c r="P498" s="284">
        <v>0</v>
      </c>
      <c r="Q498" s="284">
        <v>0</v>
      </c>
      <c r="R498" s="285">
        <v>152</v>
      </c>
      <c r="S498" s="285">
        <v>131</v>
      </c>
      <c r="T498" s="285">
        <v>283</v>
      </c>
    </row>
    <row r="499" spans="2:20" x14ac:dyDescent="0.25">
      <c r="B499" s="249" t="s">
        <v>381</v>
      </c>
      <c r="C499" s="307">
        <v>0</v>
      </c>
      <c r="D499" s="307">
        <v>1</v>
      </c>
      <c r="E499" s="307">
        <v>1</v>
      </c>
      <c r="F499" s="307">
        <v>0</v>
      </c>
      <c r="G499" s="307">
        <v>0</v>
      </c>
      <c r="H499" s="284">
        <v>0</v>
      </c>
      <c r="I499" s="307">
        <v>0</v>
      </c>
      <c r="J499" s="284">
        <v>0</v>
      </c>
      <c r="K499" s="307">
        <v>0</v>
      </c>
      <c r="L499" s="284">
        <v>0</v>
      </c>
      <c r="M499" s="307">
        <v>0</v>
      </c>
      <c r="N499" s="284">
        <v>0</v>
      </c>
      <c r="O499" s="284">
        <v>0</v>
      </c>
      <c r="P499" s="284">
        <v>0</v>
      </c>
      <c r="Q499" s="284">
        <v>0</v>
      </c>
      <c r="R499" s="285">
        <v>0</v>
      </c>
      <c r="S499" s="285">
        <v>1</v>
      </c>
      <c r="T499" s="285">
        <v>1</v>
      </c>
    </row>
    <row r="500" spans="2:20" x14ac:dyDescent="0.25">
      <c r="B500" s="297" t="s">
        <v>25</v>
      </c>
      <c r="C500" s="282">
        <v>84</v>
      </c>
      <c r="D500" s="282">
        <v>109</v>
      </c>
      <c r="E500" s="282">
        <v>193</v>
      </c>
      <c r="F500" s="282">
        <v>96</v>
      </c>
      <c r="G500" s="282">
        <v>58</v>
      </c>
      <c r="H500" s="285">
        <v>154</v>
      </c>
      <c r="I500" s="282">
        <v>1</v>
      </c>
      <c r="J500" s="285">
        <v>1</v>
      </c>
      <c r="K500" s="282">
        <v>2</v>
      </c>
      <c r="L500" s="285">
        <v>12</v>
      </c>
      <c r="M500" s="282">
        <v>8</v>
      </c>
      <c r="N500" s="285">
        <v>20</v>
      </c>
      <c r="O500" s="285">
        <v>0</v>
      </c>
      <c r="P500" s="285">
        <v>0</v>
      </c>
      <c r="Q500" s="285">
        <v>0</v>
      </c>
      <c r="R500" s="285">
        <v>193</v>
      </c>
      <c r="S500" s="285">
        <v>176</v>
      </c>
      <c r="T500" s="285">
        <v>369</v>
      </c>
    </row>
    <row r="501" spans="2:20" ht="82.5" customHeight="1" x14ac:dyDescent="0.25">
      <c r="B501" s="454" t="s">
        <v>866</v>
      </c>
      <c r="C501" s="454"/>
      <c r="D501" s="454"/>
      <c r="E501" s="454"/>
      <c r="F501" s="454"/>
      <c r="G501" s="454"/>
      <c r="H501" s="454"/>
      <c r="I501" s="454"/>
      <c r="J501" s="454"/>
      <c r="K501" s="454"/>
      <c r="L501" s="454"/>
      <c r="M501" s="454"/>
      <c r="N501" s="454"/>
      <c r="O501" s="454"/>
      <c r="P501" s="454"/>
      <c r="Q501" s="454"/>
    </row>
    <row r="502" spans="2:20" x14ac:dyDescent="0.25">
      <c r="B502" s="157"/>
      <c r="C502" s="157"/>
      <c r="D502" s="157"/>
      <c r="E502"/>
      <c r="F502"/>
      <c r="G502"/>
    </row>
    <row r="522" spans="2:7" x14ac:dyDescent="0.25">
      <c r="B522" s="157"/>
      <c r="C522" s="157"/>
      <c r="D522" s="157"/>
      <c r="E522"/>
      <c r="F522"/>
      <c r="G522"/>
    </row>
    <row r="523" spans="2:7" x14ac:dyDescent="0.25">
      <c r="B523" s="157"/>
      <c r="C523" s="157"/>
      <c r="D523" s="157"/>
      <c r="E523"/>
      <c r="F523"/>
      <c r="G523"/>
    </row>
  </sheetData>
  <mergeCells count="153">
    <mergeCell ref="C490:Q490"/>
    <mergeCell ref="O491:Q491"/>
    <mergeCell ref="O35:Q35"/>
    <mergeCell ref="C45:Q45"/>
    <mergeCell ref="O46:Q46"/>
    <mergeCell ref="C59:Q59"/>
    <mergeCell ref="O60:Q60"/>
    <mergeCell ref="C91:Q91"/>
    <mergeCell ref="O92:Q92"/>
    <mergeCell ref="C114:Q114"/>
    <mergeCell ref="O115:Q115"/>
    <mergeCell ref="F435:H435"/>
    <mergeCell ref="I435:K435"/>
    <mergeCell ref="F115:H115"/>
    <mergeCell ref="L75:N75"/>
    <mergeCell ref="B70:Q70"/>
    <mergeCell ref="B74:B76"/>
    <mergeCell ref="C74:Q74"/>
    <mergeCell ref="B27:Q27"/>
    <mergeCell ref="R59:T60"/>
    <mergeCell ref="C60:E60"/>
    <mergeCell ref="F60:H60"/>
    <mergeCell ref="I60:K60"/>
    <mergeCell ref="R7:T8"/>
    <mergeCell ref="C8:E8"/>
    <mergeCell ref="F8:H8"/>
    <mergeCell ref="I8:K8"/>
    <mergeCell ref="O8:Q8"/>
    <mergeCell ref="C7:Q7"/>
    <mergeCell ref="I46:K46"/>
    <mergeCell ref="L46:N46"/>
    <mergeCell ref="R34:T35"/>
    <mergeCell ref="F35:H35"/>
    <mergeCell ref="I35:K35"/>
    <mergeCell ref="L35:N35"/>
    <mergeCell ref="B40:Q40"/>
    <mergeCell ref="B34:B36"/>
    <mergeCell ref="C34:Q34"/>
    <mergeCell ref="R490:T491"/>
    <mergeCell ref="C491:E491"/>
    <mergeCell ref="B7:B9"/>
    <mergeCell ref="B45:B47"/>
    <mergeCell ref="B59:B61"/>
    <mergeCell ref="B262:B264"/>
    <mergeCell ref="B221:B223"/>
    <mergeCell ref="B114:B116"/>
    <mergeCell ref="B91:B93"/>
    <mergeCell ref="B55:Q55"/>
    <mergeCell ref="L8:N8"/>
    <mergeCell ref="R45:T46"/>
    <mergeCell ref="C46:E46"/>
    <mergeCell ref="F46:H46"/>
    <mergeCell ref="L373:N373"/>
    <mergeCell ref="B368:Q368"/>
    <mergeCell ref="R434:T435"/>
    <mergeCell ref="B486:Q486"/>
    <mergeCell ref="R91:T92"/>
    <mergeCell ref="C435:E435"/>
    <mergeCell ref="R74:T75"/>
    <mergeCell ref="C75:E75"/>
    <mergeCell ref="F75:H75"/>
    <mergeCell ref="I75:K75"/>
    <mergeCell ref="B216:Q216"/>
    <mergeCell ref="O75:Q75"/>
    <mergeCell ref="C92:E92"/>
    <mergeCell ref="F92:H92"/>
    <mergeCell ref="I92:K92"/>
    <mergeCell ref="L92:N92"/>
    <mergeCell ref="L60:N60"/>
    <mergeCell ref="C35:E35"/>
    <mergeCell ref="B87:Q87"/>
    <mergeCell ref="L115:N115"/>
    <mergeCell ref="B110:Q110"/>
    <mergeCell ref="B156:Q156"/>
    <mergeCell ref="O161:Q161"/>
    <mergeCell ref="C160:Q160"/>
    <mergeCell ref="R114:T115"/>
    <mergeCell ref="C115:E115"/>
    <mergeCell ref="I115:K115"/>
    <mergeCell ref="R160:T161"/>
    <mergeCell ref="C161:E161"/>
    <mergeCell ref="F161:H161"/>
    <mergeCell ref="I161:K161"/>
    <mergeCell ref="L161:N161"/>
    <mergeCell ref="R262:T263"/>
    <mergeCell ref="C221:Q221"/>
    <mergeCell ref="O222:Q222"/>
    <mergeCell ref="C262:Q262"/>
    <mergeCell ref="O263:Q263"/>
    <mergeCell ref="C301:Q301"/>
    <mergeCell ref="O302:Q302"/>
    <mergeCell ref="C331:Q331"/>
    <mergeCell ref="O332:Q332"/>
    <mergeCell ref="F332:H332"/>
    <mergeCell ref="I332:K332"/>
    <mergeCell ref="L332:N332"/>
    <mergeCell ref="B296:Q296"/>
    <mergeCell ref="R221:T222"/>
    <mergeCell ref="C222:E222"/>
    <mergeCell ref="F222:H222"/>
    <mergeCell ref="I222:K222"/>
    <mergeCell ref="L222:N222"/>
    <mergeCell ref="C263:E263"/>
    <mergeCell ref="F263:H263"/>
    <mergeCell ref="I263:K263"/>
    <mergeCell ref="B501:Q501"/>
    <mergeCell ref="B160:B162"/>
    <mergeCell ref="B490:B492"/>
    <mergeCell ref="R301:T302"/>
    <mergeCell ref="C302:E302"/>
    <mergeCell ref="F302:H302"/>
    <mergeCell ref="I302:K302"/>
    <mergeCell ref="L302:N302"/>
    <mergeCell ref="R413:T414"/>
    <mergeCell ref="C414:E414"/>
    <mergeCell ref="F414:H414"/>
    <mergeCell ref="I414:K414"/>
    <mergeCell ref="L414:N414"/>
    <mergeCell ref="B429:Q429"/>
    <mergeCell ref="B301:B303"/>
    <mergeCell ref="B413:B415"/>
    <mergeCell ref="L263:N263"/>
    <mergeCell ref="B258:Q258"/>
    <mergeCell ref="B326:Q326"/>
    <mergeCell ref="F491:H491"/>
    <mergeCell ref="I491:K491"/>
    <mergeCell ref="L491:N491"/>
    <mergeCell ref="R331:T332"/>
    <mergeCell ref="C332:E332"/>
    <mergeCell ref="B472:B474"/>
    <mergeCell ref="B434:B436"/>
    <mergeCell ref="B372:B374"/>
    <mergeCell ref="B331:B333"/>
    <mergeCell ref="R372:T373"/>
    <mergeCell ref="F473:H473"/>
    <mergeCell ref="I473:K473"/>
    <mergeCell ref="L473:N473"/>
    <mergeCell ref="B468:Q468"/>
    <mergeCell ref="B408:Q408"/>
    <mergeCell ref="L435:N435"/>
    <mergeCell ref="R472:T473"/>
    <mergeCell ref="C473:E473"/>
    <mergeCell ref="C373:E373"/>
    <mergeCell ref="F373:H373"/>
    <mergeCell ref="I373:K373"/>
    <mergeCell ref="C372:Q372"/>
    <mergeCell ref="O373:Q373"/>
    <mergeCell ref="C413:Q413"/>
    <mergeCell ref="O414:Q414"/>
    <mergeCell ref="C434:Q434"/>
    <mergeCell ref="O435:Q435"/>
    <mergeCell ref="C472:Q472"/>
    <mergeCell ref="O473:Q473"/>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Z232"/>
  <sheetViews>
    <sheetView showGridLines="0" topLeftCell="A6" workbookViewId="0">
      <selection activeCell="B29" sqref="B29:H29"/>
    </sheetView>
    <sheetView showGridLines="0" workbookViewId="1"/>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3" ht="23.25" x14ac:dyDescent="0.25">
      <c r="B2" s="1" t="s">
        <v>698</v>
      </c>
    </row>
    <row r="3" spans="2:23" ht="23.25" x14ac:dyDescent="0.25">
      <c r="B3" s="1"/>
    </row>
    <row r="4" spans="2:23" ht="18.75" x14ac:dyDescent="0.3">
      <c r="B4" s="499" t="s">
        <v>769</v>
      </c>
      <c r="C4" s="499"/>
      <c r="D4" s="499"/>
      <c r="E4" s="499"/>
      <c r="F4" s="499"/>
      <c r="G4" s="499"/>
      <c r="H4" s="499"/>
    </row>
    <row r="5" spans="2:23" x14ac:dyDescent="0.25">
      <c r="B5" s="484" t="s">
        <v>912</v>
      </c>
      <c r="C5" s="484"/>
      <c r="D5" s="484"/>
      <c r="E5" s="484"/>
      <c r="F5" s="484"/>
      <c r="G5" s="484"/>
      <c r="H5" s="484"/>
    </row>
    <row r="6" spans="2:23" x14ac:dyDescent="0.25">
      <c r="B6" s="3"/>
      <c r="C6" s="3"/>
      <c r="D6" s="3"/>
      <c r="E6" s="3"/>
      <c r="F6" s="3"/>
      <c r="G6" s="3"/>
      <c r="H6" s="3"/>
      <c r="I6" s="3"/>
    </row>
    <row r="7" spans="2:23" ht="15" customHeight="1" x14ac:dyDescent="0.25">
      <c r="B7" s="431" t="s">
        <v>750</v>
      </c>
      <c r="C7" s="431"/>
      <c r="D7" s="431"/>
      <c r="E7" s="431"/>
      <c r="F7" s="476" t="s">
        <v>477</v>
      </c>
      <c r="G7" s="477"/>
      <c r="H7" s="477"/>
      <c r="I7" s="477"/>
      <c r="J7" s="477"/>
      <c r="K7" s="477"/>
      <c r="L7" s="477"/>
      <c r="M7" s="477"/>
      <c r="N7" s="477"/>
      <c r="O7" s="477"/>
      <c r="P7" s="477"/>
      <c r="Q7" s="477"/>
      <c r="R7" s="477"/>
      <c r="S7" s="477"/>
      <c r="T7" s="478"/>
      <c r="U7" s="491" t="s">
        <v>878</v>
      </c>
      <c r="V7" s="491"/>
      <c r="W7" s="491"/>
    </row>
    <row r="8" spans="2:23" x14ac:dyDescent="0.25">
      <c r="B8" s="431"/>
      <c r="C8" s="431"/>
      <c r="D8" s="431"/>
      <c r="E8" s="431"/>
      <c r="F8" s="463" t="s">
        <v>849</v>
      </c>
      <c r="G8" s="463"/>
      <c r="H8" s="463"/>
      <c r="I8" s="463" t="s">
        <v>849</v>
      </c>
      <c r="J8" s="463"/>
      <c r="K8" s="463"/>
      <c r="L8" s="495" t="s">
        <v>3</v>
      </c>
      <c r="M8" s="495"/>
      <c r="N8" s="495"/>
      <c r="O8" s="495" t="s">
        <v>5</v>
      </c>
      <c r="P8" s="495"/>
      <c r="Q8" s="495"/>
      <c r="R8" s="496" t="s">
        <v>859</v>
      </c>
      <c r="S8" s="497"/>
      <c r="T8" s="498"/>
      <c r="U8" s="491"/>
      <c r="V8" s="491"/>
      <c r="W8" s="491"/>
    </row>
    <row r="9" spans="2:23" x14ac:dyDescent="0.25">
      <c r="B9" s="431"/>
      <c r="C9" s="431"/>
      <c r="D9" s="431"/>
      <c r="E9" s="431"/>
      <c r="F9" s="339" t="s">
        <v>73</v>
      </c>
      <c r="G9" s="339" t="s">
        <v>74</v>
      </c>
      <c r="H9" s="339" t="s">
        <v>25</v>
      </c>
      <c r="I9" s="339" t="s">
        <v>73</v>
      </c>
      <c r="J9" s="339" t="s">
        <v>74</v>
      </c>
      <c r="K9" s="339" t="s">
        <v>25</v>
      </c>
      <c r="L9" s="339" t="s">
        <v>73</v>
      </c>
      <c r="M9" s="339" t="s">
        <v>74</v>
      </c>
      <c r="N9" s="339" t="s">
        <v>25</v>
      </c>
      <c r="O9" s="339" t="s">
        <v>73</v>
      </c>
      <c r="P9" s="339" t="s">
        <v>74</v>
      </c>
      <c r="Q9" s="339" t="s">
        <v>25</v>
      </c>
      <c r="R9" s="339" t="s">
        <v>73</v>
      </c>
      <c r="S9" s="339" t="s">
        <v>74</v>
      </c>
      <c r="T9" s="339" t="s">
        <v>25</v>
      </c>
      <c r="U9" s="338" t="s">
        <v>73</v>
      </c>
      <c r="V9" s="338" t="s">
        <v>74</v>
      </c>
      <c r="W9" s="338" t="s">
        <v>25</v>
      </c>
    </row>
    <row r="10" spans="2:23" ht="15" customHeight="1" x14ac:dyDescent="0.25">
      <c r="B10" s="492" t="s">
        <v>754</v>
      </c>
      <c r="C10" s="493"/>
      <c r="D10" s="493"/>
      <c r="E10" s="494"/>
      <c r="F10" s="340">
        <v>0</v>
      </c>
      <c r="G10" s="341">
        <v>0</v>
      </c>
      <c r="H10" s="341">
        <v>0</v>
      </c>
      <c r="I10" s="341">
        <v>0</v>
      </c>
      <c r="J10" s="341">
        <v>0</v>
      </c>
      <c r="K10" s="341">
        <v>0</v>
      </c>
      <c r="L10" s="341">
        <v>0</v>
      </c>
      <c r="M10" s="341">
        <v>0</v>
      </c>
      <c r="N10" s="341">
        <v>0</v>
      </c>
      <c r="O10" s="341">
        <v>5</v>
      </c>
      <c r="P10" s="341">
        <v>5</v>
      </c>
      <c r="Q10" s="341">
        <v>10</v>
      </c>
      <c r="R10" s="341">
        <v>0</v>
      </c>
      <c r="S10" s="341">
        <v>0</v>
      </c>
      <c r="T10" s="341">
        <v>0</v>
      </c>
      <c r="U10" s="342">
        <v>5</v>
      </c>
      <c r="V10" s="342">
        <v>5</v>
      </c>
      <c r="W10" s="342">
        <v>10</v>
      </c>
    </row>
    <row r="11" spans="2:23" ht="15" customHeight="1" x14ac:dyDescent="0.25">
      <c r="B11" s="492" t="s">
        <v>755</v>
      </c>
      <c r="C11" s="493"/>
      <c r="D11" s="493"/>
      <c r="E11" s="494"/>
      <c r="F11" s="340">
        <v>683</v>
      </c>
      <c r="G11" s="341">
        <v>354</v>
      </c>
      <c r="H11" s="341">
        <v>1037</v>
      </c>
      <c r="I11" s="341">
        <v>173</v>
      </c>
      <c r="J11" s="341">
        <v>236</v>
      </c>
      <c r="K11" s="341">
        <v>409</v>
      </c>
      <c r="L11" s="341">
        <v>0</v>
      </c>
      <c r="M11" s="341">
        <v>0</v>
      </c>
      <c r="N11" s="341">
        <v>0</v>
      </c>
      <c r="O11" s="341">
        <v>0</v>
      </c>
      <c r="P11" s="341">
        <v>0</v>
      </c>
      <c r="Q11" s="341">
        <v>0</v>
      </c>
      <c r="R11" s="341">
        <v>0</v>
      </c>
      <c r="S11" s="341">
        <v>0</v>
      </c>
      <c r="T11" s="341">
        <v>0</v>
      </c>
      <c r="U11" s="342">
        <v>856</v>
      </c>
      <c r="V11" s="342">
        <v>590</v>
      </c>
      <c r="W11" s="342">
        <v>1446</v>
      </c>
    </row>
    <row r="12" spans="2:23" ht="32.25" customHeight="1" x14ac:dyDescent="0.25">
      <c r="B12" s="492" t="s">
        <v>756</v>
      </c>
      <c r="C12" s="493"/>
      <c r="D12" s="493"/>
      <c r="E12" s="494"/>
      <c r="F12" s="340">
        <v>61</v>
      </c>
      <c r="G12" s="341">
        <v>31</v>
      </c>
      <c r="H12" s="341">
        <v>92</v>
      </c>
      <c r="I12" s="341">
        <v>78</v>
      </c>
      <c r="J12" s="341">
        <v>99</v>
      </c>
      <c r="K12" s="341">
        <v>177</v>
      </c>
      <c r="L12" s="341">
        <v>0</v>
      </c>
      <c r="M12" s="341">
        <v>0</v>
      </c>
      <c r="N12" s="341">
        <v>0</v>
      </c>
      <c r="O12" s="341">
        <v>0</v>
      </c>
      <c r="P12" s="341">
        <v>0</v>
      </c>
      <c r="Q12" s="341">
        <v>0</v>
      </c>
      <c r="R12" s="341">
        <v>0</v>
      </c>
      <c r="S12" s="341">
        <v>0</v>
      </c>
      <c r="T12" s="341">
        <v>0</v>
      </c>
      <c r="U12" s="342">
        <v>139</v>
      </c>
      <c r="V12" s="342">
        <v>130</v>
      </c>
      <c r="W12" s="342">
        <v>269</v>
      </c>
    </row>
    <row r="13" spans="2:23" ht="30" customHeight="1" x14ac:dyDescent="0.25">
      <c r="B13" s="492" t="s">
        <v>861</v>
      </c>
      <c r="C13" s="493"/>
      <c r="D13" s="493"/>
      <c r="E13" s="494"/>
      <c r="F13" s="340">
        <v>0</v>
      </c>
      <c r="G13" s="341">
        <v>0</v>
      </c>
      <c r="H13" s="341">
        <v>0</v>
      </c>
      <c r="I13" s="341">
        <v>0</v>
      </c>
      <c r="J13" s="341">
        <v>0</v>
      </c>
      <c r="K13" s="341">
        <v>0</v>
      </c>
      <c r="L13" s="341">
        <v>172</v>
      </c>
      <c r="M13" s="341">
        <v>47</v>
      </c>
      <c r="N13" s="341">
        <v>219</v>
      </c>
      <c r="O13" s="341">
        <v>44</v>
      </c>
      <c r="P13" s="341">
        <v>42</v>
      </c>
      <c r="Q13" s="341">
        <v>86</v>
      </c>
      <c r="R13" s="341">
        <v>0</v>
      </c>
      <c r="S13" s="341">
        <v>0</v>
      </c>
      <c r="T13" s="341">
        <v>0</v>
      </c>
      <c r="U13" s="342">
        <v>216</v>
      </c>
      <c r="V13" s="342">
        <v>89</v>
      </c>
      <c r="W13" s="342">
        <v>305</v>
      </c>
    </row>
    <row r="14" spans="2:23" ht="15" customHeight="1" x14ac:dyDescent="0.25">
      <c r="B14" s="492" t="s">
        <v>757</v>
      </c>
      <c r="C14" s="493"/>
      <c r="D14" s="493"/>
      <c r="E14" s="494"/>
      <c r="F14" s="340">
        <v>269</v>
      </c>
      <c r="G14" s="341">
        <v>446</v>
      </c>
      <c r="H14" s="341">
        <v>715</v>
      </c>
      <c r="I14" s="341">
        <v>573</v>
      </c>
      <c r="J14" s="341">
        <v>799</v>
      </c>
      <c r="K14" s="341">
        <v>1372</v>
      </c>
      <c r="L14" s="341">
        <v>0</v>
      </c>
      <c r="M14" s="341">
        <v>0</v>
      </c>
      <c r="N14" s="341">
        <v>0</v>
      </c>
      <c r="O14" s="341">
        <v>0</v>
      </c>
      <c r="P14" s="341">
        <v>0</v>
      </c>
      <c r="Q14" s="341">
        <v>0</v>
      </c>
      <c r="R14" s="341">
        <v>0</v>
      </c>
      <c r="S14" s="341">
        <v>9</v>
      </c>
      <c r="T14" s="341">
        <v>9</v>
      </c>
      <c r="U14" s="342">
        <v>842</v>
      </c>
      <c r="V14" s="342">
        <v>1254</v>
      </c>
      <c r="W14" s="342">
        <v>2096</v>
      </c>
    </row>
    <row r="15" spans="2:23" ht="15" customHeight="1" x14ac:dyDescent="0.25">
      <c r="B15" s="492" t="s">
        <v>758</v>
      </c>
      <c r="C15" s="493"/>
      <c r="D15" s="493"/>
      <c r="E15" s="494"/>
      <c r="F15" s="340">
        <v>24</v>
      </c>
      <c r="G15" s="341">
        <v>36</v>
      </c>
      <c r="H15" s="341">
        <v>60</v>
      </c>
      <c r="I15" s="341">
        <v>46</v>
      </c>
      <c r="J15" s="341">
        <v>17</v>
      </c>
      <c r="K15" s="341">
        <v>63</v>
      </c>
      <c r="L15" s="341">
        <v>3</v>
      </c>
      <c r="M15" s="341">
        <v>1</v>
      </c>
      <c r="N15" s="341">
        <v>4</v>
      </c>
      <c r="O15" s="341">
        <v>2</v>
      </c>
      <c r="P15" s="341">
        <v>2</v>
      </c>
      <c r="Q15" s="341">
        <v>4</v>
      </c>
      <c r="R15" s="341">
        <v>0</v>
      </c>
      <c r="S15" s="341">
        <v>0</v>
      </c>
      <c r="T15" s="341">
        <v>0</v>
      </c>
      <c r="U15" s="342">
        <v>75</v>
      </c>
      <c r="V15" s="342">
        <v>56</v>
      </c>
      <c r="W15" s="342">
        <v>131</v>
      </c>
    </row>
    <row r="16" spans="2:23" ht="15" customHeight="1" x14ac:dyDescent="0.25">
      <c r="B16" s="492" t="s">
        <v>759</v>
      </c>
      <c r="C16" s="493"/>
      <c r="D16" s="493"/>
      <c r="E16" s="494"/>
      <c r="F16" s="340">
        <v>0</v>
      </c>
      <c r="G16" s="341">
        <v>0</v>
      </c>
      <c r="H16" s="341">
        <v>0</v>
      </c>
      <c r="I16" s="341">
        <v>0</v>
      </c>
      <c r="J16" s="341">
        <v>0</v>
      </c>
      <c r="K16" s="341">
        <v>0</v>
      </c>
      <c r="L16" s="341">
        <v>0</v>
      </c>
      <c r="M16" s="341">
        <v>0</v>
      </c>
      <c r="N16" s="341">
        <v>0</v>
      </c>
      <c r="O16" s="341">
        <v>1</v>
      </c>
      <c r="P16" s="341">
        <v>5</v>
      </c>
      <c r="Q16" s="341">
        <v>6</v>
      </c>
      <c r="R16" s="341">
        <v>0</v>
      </c>
      <c r="S16" s="341">
        <v>0</v>
      </c>
      <c r="T16" s="341">
        <v>0</v>
      </c>
      <c r="U16" s="342">
        <v>1</v>
      </c>
      <c r="V16" s="342">
        <v>5</v>
      </c>
      <c r="W16" s="342">
        <v>6</v>
      </c>
    </row>
    <row r="17" spans="2:26" ht="15" customHeight="1" x14ac:dyDescent="0.25">
      <c r="B17" s="492" t="s">
        <v>760</v>
      </c>
      <c r="C17" s="493"/>
      <c r="D17" s="493"/>
      <c r="E17" s="494"/>
      <c r="F17" s="340">
        <v>0</v>
      </c>
      <c r="G17" s="341">
        <v>0</v>
      </c>
      <c r="H17" s="341">
        <v>0</v>
      </c>
      <c r="I17" s="341">
        <v>0</v>
      </c>
      <c r="J17" s="341">
        <v>0</v>
      </c>
      <c r="K17" s="341">
        <v>0</v>
      </c>
      <c r="L17" s="341">
        <v>16</v>
      </c>
      <c r="M17" s="341">
        <v>4</v>
      </c>
      <c r="N17" s="341">
        <v>20</v>
      </c>
      <c r="O17" s="341">
        <v>0</v>
      </c>
      <c r="P17" s="341">
        <v>0</v>
      </c>
      <c r="Q17" s="341">
        <v>0</v>
      </c>
      <c r="R17" s="341">
        <v>0</v>
      </c>
      <c r="S17" s="341">
        <v>0</v>
      </c>
      <c r="T17" s="341">
        <v>0</v>
      </c>
      <c r="U17" s="342">
        <v>16</v>
      </c>
      <c r="V17" s="342">
        <v>4</v>
      </c>
      <c r="W17" s="342">
        <v>20</v>
      </c>
    </row>
    <row r="18" spans="2:26" ht="30" customHeight="1" x14ac:dyDescent="0.25">
      <c r="B18" s="492" t="s">
        <v>761</v>
      </c>
      <c r="C18" s="493"/>
      <c r="D18" s="493"/>
      <c r="E18" s="494"/>
      <c r="F18" s="340">
        <v>1</v>
      </c>
      <c r="G18" s="341">
        <v>15</v>
      </c>
      <c r="H18" s="341">
        <v>16</v>
      </c>
      <c r="I18" s="341">
        <v>26</v>
      </c>
      <c r="J18" s="341">
        <v>44</v>
      </c>
      <c r="K18" s="341">
        <v>70</v>
      </c>
      <c r="L18" s="341">
        <v>0</v>
      </c>
      <c r="M18" s="341">
        <v>0</v>
      </c>
      <c r="N18" s="341">
        <v>0</v>
      </c>
      <c r="O18" s="341">
        <v>0</v>
      </c>
      <c r="P18" s="341">
        <v>0</v>
      </c>
      <c r="Q18" s="341">
        <v>0</v>
      </c>
      <c r="R18" s="341">
        <v>0</v>
      </c>
      <c r="S18" s="341">
        <v>0</v>
      </c>
      <c r="T18" s="341">
        <v>0</v>
      </c>
      <c r="U18" s="342">
        <v>27</v>
      </c>
      <c r="V18" s="342">
        <v>59</v>
      </c>
      <c r="W18" s="342">
        <v>86</v>
      </c>
    </row>
    <row r="19" spans="2:26" ht="30" customHeight="1" x14ac:dyDescent="0.25">
      <c r="B19" s="492" t="s">
        <v>762</v>
      </c>
      <c r="C19" s="493"/>
      <c r="D19" s="493"/>
      <c r="E19" s="494"/>
      <c r="F19" s="340">
        <v>0</v>
      </c>
      <c r="G19" s="341">
        <v>0</v>
      </c>
      <c r="H19" s="341">
        <v>0</v>
      </c>
      <c r="I19" s="341">
        <v>22</v>
      </c>
      <c r="J19" s="341">
        <v>72</v>
      </c>
      <c r="K19" s="341">
        <v>94</v>
      </c>
      <c r="L19" s="341">
        <v>0</v>
      </c>
      <c r="M19" s="341">
        <v>0</v>
      </c>
      <c r="N19" s="341">
        <v>0</v>
      </c>
      <c r="O19" s="341">
        <v>0</v>
      </c>
      <c r="P19" s="341">
        <v>0</v>
      </c>
      <c r="Q19" s="341">
        <v>0</v>
      </c>
      <c r="R19" s="341">
        <v>0</v>
      </c>
      <c r="S19" s="341">
        <v>0</v>
      </c>
      <c r="T19" s="341">
        <v>0</v>
      </c>
      <c r="U19" s="342">
        <v>22</v>
      </c>
      <c r="V19" s="342">
        <v>72</v>
      </c>
      <c r="W19" s="342">
        <v>94</v>
      </c>
    </row>
    <row r="20" spans="2:26" ht="30" customHeight="1" x14ac:dyDescent="0.25">
      <c r="B20" s="492" t="s">
        <v>905</v>
      </c>
      <c r="C20" s="493"/>
      <c r="D20" s="493"/>
      <c r="E20" s="494"/>
      <c r="F20" s="340">
        <v>3</v>
      </c>
      <c r="G20" s="341">
        <v>1</v>
      </c>
      <c r="H20" s="341">
        <v>4</v>
      </c>
      <c r="I20" s="341">
        <v>8</v>
      </c>
      <c r="J20" s="341">
        <v>1</v>
      </c>
      <c r="K20" s="341">
        <v>9</v>
      </c>
      <c r="L20" s="341">
        <v>0</v>
      </c>
      <c r="M20" s="341">
        <v>0</v>
      </c>
      <c r="N20" s="341">
        <v>0</v>
      </c>
      <c r="O20" s="341">
        <v>1</v>
      </c>
      <c r="P20" s="341">
        <v>0</v>
      </c>
      <c r="Q20" s="341">
        <v>1</v>
      </c>
      <c r="R20" s="341">
        <v>0</v>
      </c>
      <c r="S20" s="341">
        <v>0</v>
      </c>
      <c r="T20" s="341">
        <v>0</v>
      </c>
      <c r="U20" s="342">
        <v>12</v>
      </c>
      <c r="V20" s="342">
        <v>2</v>
      </c>
      <c r="W20" s="342">
        <v>14</v>
      </c>
    </row>
    <row r="21" spans="2:26" ht="15" customHeight="1" x14ac:dyDescent="0.25">
      <c r="B21" s="492" t="s">
        <v>862</v>
      </c>
      <c r="C21" s="493"/>
      <c r="D21" s="493"/>
      <c r="E21" s="494"/>
      <c r="F21" s="340">
        <v>0</v>
      </c>
      <c r="G21" s="341">
        <v>0</v>
      </c>
      <c r="H21" s="341">
        <v>0</v>
      </c>
      <c r="I21" s="341">
        <v>1</v>
      </c>
      <c r="J21" s="341">
        <v>5</v>
      </c>
      <c r="K21" s="341">
        <v>6</v>
      </c>
      <c r="L21" s="341">
        <v>0</v>
      </c>
      <c r="M21" s="341">
        <v>0</v>
      </c>
      <c r="N21" s="341">
        <v>0</v>
      </c>
      <c r="O21" s="341">
        <v>0</v>
      </c>
      <c r="P21" s="341">
        <v>0</v>
      </c>
      <c r="Q21" s="341">
        <v>0</v>
      </c>
      <c r="R21" s="341">
        <v>0</v>
      </c>
      <c r="S21" s="341">
        <v>0</v>
      </c>
      <c r="T21" s="341">
        <v>0</v>
      </c>
      <c r="U21" s="342">
        <v>1</v>
      </c>
      <c r="V21" s="342">
        <v>5</v>
      </c>
      <c r="W21" s="342">
        <v>6</v>
      </c>
    </row>
    <row r="22" spans="2:26" ht="15" customHeight="1" x14ac:dyDescent="0.25">
      <c r="B22" s="492" t="s">
        <v>763</v>
      </c>
      <c r="C22" s="493"/>
      <c r="D22" s="493"/>
      <c r="E22" s="494"/>
      <c r="F22" s="340">
        <v>0</v>
      </c>
      <c r="G22" s="341">
        <v>1</v>
      </c>
      <c r="H22" s="341">
        <v>1</v>
      </c>
      <c r="I22" s="341">
        <v>0</v>
      </c>
      <c r="J22" s="341">
        <v>0</v>
      </c>
      <c r="K22" s="341">
        <v>0</v>
      </c>
      <c r="L22" s="341">
        <v>0</v>
      </c>
      <c r="M22" s="341">
        <v>0</v>
      </c>
      <c r="N22" s="341">
        <v>0</v>
      </c>
      <c r="O22" s="341">
        <v>0</v>
      </c>
      <c r="P22" s="341">
        <v>0</v>
      </c>
      <c r="Q22" s="341">
        <v>0</v>
      </c>
      <c r="R22" s="341">
        <v>0</v>
      </c>
      <c r="S22" s="341">
        <v>0</v>
      </c>
      <c r="T22" s="341">
        <v>0</v>
      </c>
      <c r="U22" s="342">
        <v>0</v>
      </c>
      <c r="V22" s="342">
        <v>1</v>
      </c>
      <c r="W22" s="342">
        <v>1</v>
      </c>
    </row>
    <row r="23" spans="2:26" ht="30" customHeight="1" x14ac:dyDescent="0.25">
      <c r="B23" s="492" t="s">
        <v>906</v>
      </c>
      <c r="C23" s="493"/>
      <c r="D23" s="493"/>
      <c r="E23" s="494"/>
      <c r="F23" s="340">
        <v>0</v>
      </c>
      <c r="G23" s="341">
        <v>0</v>
      </c>
      <c r="H23" s="341">
        <v>0</v>
      </c>
      <c r="I23" s="341">
        <v>0</v>
      </c>
      <c r="J23" s="341">
        <v>0</v>
      </c>
      <c r="K23" s="341">
        <v>0</v>
      </c>
      <c r="L23" s="341">
        <v>0</v>
      </c>
      <c r="M23" s="341">
        <v>0</v>
      </c>
      <c r="N23" s="341">
        <v>0</v>
      </c>
      <c r="O23" s="341">
        <v>0</v>
      </c>
      <c r="P23" s="341">
        <v>1</v>
      </c>
      <c r="Q23" s="341">
        <v>1</v>
      </c>
      <c r="R23" s="341">
        <v>0</v>
      </c>
      <c r="S23" s="341">
        <v>0</v>
      </c>
      <c r="T23" s="341">
        <v>0</v>
      </c>
      <c r="U23" s="342">
        <v>0</v>
      </c>
      <c r="V23" s="342">
        <v>1</v>
      </c>
      <c r="W23" s="342">
        <v>1</v>
      </c>
    </row>
    <row r="24" spans="2:26" x14ac:dyDescent="0.25">
      <c r="B24" s="492" t="s">
        <v>927</v>
      </c>
      <c r="C24" s="493"/>
      <c r="D24" s="493"/>
      <c r="E24" s="494"/>
      <c r="F24" s="340">
        <v>1</v>
      </c>
      <c r="G24" s="341">
        <v>0</v>
      </c>
      <c r="H24" s="341">
        <v>1</v>
      </c>
      <c r="I24" s="341">
        <v>1</v>
      </c>
      <c r="J24" s="341">
        <v>0</v>
      </c>
      <c r="K24" s="341">
        <v>1</v>
      </c>
      <c r="L24" s="341">
        <v>0</v>
      </c>
      <c r="M24" s="341">
        <v>1</v>
      </c>
      <c r="N24" s="341">
        <v>1</v>
      </c>
      <c r="O24" s="341">
        <v>0</v>
      </c>
      <c r="P24" s="341">
        <v>0</v>
      </c>
      <c r="Q24" s="341">
        <v>0</v>
      </c>
      <c r="R24" s="341">
        <v>0</v>
      </c>
      <c r="S24" s="341">
        <v>0</v>
      </c>
      <c r="T24" s="341">
        <v>0</v>
      </c>
      <c r="U24" s="342">
        <v>2</v>
      </c>
      <c r="V24" s="342">
        <v>1</v>
      </c>
      <c r="W24" s="342">
        <v>3</v>
      </c>
    </row>
    <row r="25" spans="2:26" ht="15" customHeight="1" x14ac:dyDescent="0.25">
      <c r="B25" s="492" t="s">
        <v>764</v>
      </c>
      <c r="C25" s="493"/>
      <c r="D25" s="493"/>
      <c r="E25" s="494"/>
      <c r="F25" s="340">
        <v>0</v>
      </c>
      <c r="G25" s="341">
        <v>0</v>
      </c>
      <c r="H25" s="341">
        <v>0</v>
      </c>
      <c r="I25" s="341">
        <v>212</v>
      </c>
      <c r="J25" s="341">
        <v>16</v>
      </c>
      <c r="K25" s="341">
        <v>228</v>
      </c>
      <c r="L25" s="341">
        <v>0</v>
      </c>
      <c r="M25" s="341">
        <v>0</v>
      </c>
      <c r="N25" s="341">
        <v>0</v>
      </c>
      <c r="O25" s="341">
        <v>6</v>
      </c>
      <c r="P25" s="341">
        <v>3</v>
      </c>
      <c r="Q25" s="341">
        <v>9</v>
      </c>
      <c r="R25" s="341">
        <v>0</v>
      </c>
      <c r="S25" s="341">
        <v>0</v>
      </c>
      <c r="T25" s="341">
        <v>0</v>
      </c>
      <c r="U25" s="342">
        <v>218</v>
      </c>
      <c r="V25" s="342">
        <v>19</v>
      </c>
      <c r="W25" s="342">
        <v>237</v>
      </c>
    </row>
    <row r="26" spans="2:26" x14ac:dyDescent="0.25">
      <c r="B26" s="458" t="s">
        <v>25</v>
      </c>
      <c r="C26" s="458"/>
      <c r="D26" s="458"/>
      <c r="E26" s="458"/>
      <c r="F26" s="343">
        <v>1042</v>
      </c>
      <c r="G26" s="285">
        <v>884</v>
      </c>
      <c r="H26" s="285">
        <v>1926</v>
      </c>
      <c r="I26" s="285">
        <v>1140</v>
      </c>
      <c r="J26" s="285">
        <v>1289</v>
      </c>
      <c r="K26" s="285">
        <v>2429</v>
      </c>
      <c r="L26" s="285">
        <v>191</v>
      </c>
      <c r="M26" s="285">
        <v>53</v>
      </c>
      <c r="N26" s="285">
        <v>244</v>
      </c>
      <c r="O26" s="285">
        <v>59</v>
      </c>
      <c r="P26" s="285">
        <v>58</v>
      </c>
      <c r="Q26" s="285">
        <v>117</v>
      </c>
      <c r="R26" s="285">
        <v>0</v>
      </c>
      <c r="S26" s="285">
        <v>9</v>
      </c>
      <c r="T26" s="285">
        <v>9</v>
      </c>
      <c r="U26" s="285">
        <v>2432</v>
      </c>
      <c r="V26" s="285">
        <v>2293</v>
      </c>
      <c r="W26" s="285">
        <v>4725</v>
      </c>
    </row>
    <row r="27" spans="2:26" ht="90" customHeight="1" x14ac:dyDescent="0.25">
      <c r="B27" s="454" t="s">
        <v>866</v>
      </c>
      <c r="C27" s="454"/>
      <c r="D27" s="454"/>
      <c r="E27" s="454"/>
      <c r="F27" s="454"/>
      <c r="G27" s="454"/>
      <c r="H27" s="454"/>
      <c r="I27" s="454"/>
      <c r="J27" s="454"/>
      <c r="K27" s="454"/>
      <c r="L27" s="454"/>
      <c r="M27" s="454"/>
      <c r="N27" s="454"/>
      <c r="O27" s="454"/>
      <c r="P27" s="454"/>
      <c r="Q27" s="454"/>
      <c r="R27" s="454"/>
      <c r="S27" s="454"/>
      <c r="T27" s="454"/>
    </row>
    <row r="29" spans="2:26" ht="18.75" x14ac:dyDescent="0.3">
      <c r="B29" s="499" t="s">
        <v>770</v>
      </c>
      <c r="C29" s="499"/>
      <c r="D29" s="499"/>
      <c r="E29" s="499"/>
      <c r="F29" s="499"/>
      <c r="G29" s="499"/>
      <c r="H29" s="499"/>
    </row>
    <row r="30" spans="2:26" x14ac:dyDescent="0.25">
      <c r="B30" s="487" t="s">
        <v>913</v>
      </c>
      <c r="C30" s="487"/>
      <c r="D30" s="487"/>
      <c r="E30" s="487"/>
      <c r="F30" s="487"/>
      <c r="G30" s="487"/>
      <c r="H30" s="487"/>
    </row>
    <row r="31" spans="2:26" x14ac:dyDescent="0.25">
      <c r="B31" s="3"/>
      <c r="C31" s="3"/>
      <c r="D31" s="3"/>
      <c r="E31" s="3"/>
      <c r="F31" s="3"/>
      <c r="G31" s="3"/>
      <c r="H31" s="3"/>
    </row>
    <row r="32" spans="2:26" ht="15" customHeight="1" x14ac:dyDescent="0.25">
      <c r="B32" s="457" t="s">
        <v>472</v>
      </c>
      <c r="C32" s="451" t="s">
        <v>477</v>
      </c>
      <c r="D32" s="452"/>
      <c r="E32" s="452"/>
      <c r="F32" s="452"/>
      <c r="G32" s="452"/>
      <c r="H32" s="452"/>
      <c r="I32" s="452"/>
      <c r="J32" s="452"/>
      <c r="K32" s="452"/>
      <c r="L32" s="452"/>
      <c r="M32" s="452"/>
      <c r="N32" s="452"/>
      <c r="O32" s="452"/>
      <c r="P32" s="452"/>
      <c r="Q32" s="452"/>
      <c r="R32" s="452"/>
      <c r="S32" s="452"/>
      <c r="T32" s="452"/>
      <c r="U32" s="452"/>
      <c r="V32" s="452"/>
      <c r="W32" s="453"/>
      <c r="X32" s="455" t="s">
        <v>476</v>
      </c>
      <c r="Y32" s="455"/>
      <c r="Z32" s="455"/>
    </row>
    <row r="33" spans="2:26" x14ac:dyDescent="0.25">
      <c r="B33" s="457"/>
      <c r="C33" s="456" t="s">
        <v>651</v>
      </c>
      <c r="D33" s="456"/>
      <c r="E33" s="456"/>
      <c r="F33" s="456" t="s">
        <v>485</v>
      </c>
      <c r="G33" s="456"/>
      <c r="H33" s="456"/>
      <c r="I33" s="456" t="s">
        <v>2</v>
      </c>
      <c r="J33" s="456"/>
      <c r="K33" s="456"/>
      <c r="L33" s="456" t="s">
        <v>3</v>
      </c>
      <c r="M33" s="456"/>
      <c r="N33" s="456"/>
      <c r="O33" s="456" t="s">
        <v>4</v>
      </c>
      <c r="P33" s="456"/>
      <c r="Q33" s="456"/>
      <c r="R33" s="456" t="s">
        <v>5</v>
      </c>
      <c r="S33" s="456"/>
      <c r="T33" s="456"/>
      <c r="U33" s="448" t="s">
        <v>859</v>
      </c>
      <c r="V33" s="449"/>
      <c r="W33" s="450"/>
      <c r="X33" s="455"/>
      <c r="Y33" s="455"/>
      <c r="Z33" s="455"/>
    </row>
    <row r="34" spans="2:26" x14ac:dyDescent="0.25">
      <c r="B34" s="457"/>
      <c r="C34" s="298" t="s">
        <v>73</v>
      </c>
      <c r="D34" s="298" t="s">
        <v>74</v>
      </c>
      <c r="E34" s="298" t="s">
        <v>25</v>
      </c>
      <c r="F34" s="298" t="s">
        <v>73</v>
      </c>
      <c r="G34" s="298" t="s">
        <v>74</v>
      </c>
      <c r="H34" s="298" t="s">
        <v>25</v>
      </c>
      <c r="I34" s="298" t="s">
        <v>73</v>
      </c>
      <c r="J34" s="298" t="s">
        <v>74</v>
      </c>
      <c r="K34" s="298" t="s">
        <v>25</v>
      </c>
      <c r="L34" s="298" t="s">
        <v>73</v>
      </c>
      <c r="M34" s="298" t="s">
        <v>74</v>
      </c>
      <c r="N34" s="298" t="s">
        <v>25</v>
      </c>
      <c r="O34" s="298" t="s">
        <v>73</v>
      </c>
      <c r="P34" s="298" t="s">
        <v>74</v>
      </c>
      <c r="Q34" s="298" t="s">
        <v>25</v>
      </c>
      <c r="R34" s="298" t="s">
        <v>73</v>
      </c>
      <c r="S34" s="298" t="s">
        <v>74</v>
      </c>
      <c r="T34" s="298" t="s">
        <v>25</v>
      </c>
      <c r="U34" s="298" t="s">
        <v>73</v>
      </c>
      <c r="V34" s="298" t="s">
        <v>74</v>
      </c>
      <c r="W34" s="298" t="s">
        <v>25</v>
      </c>
      <c r="X34" s="306" t="s">
        <v>73</v>
      </c>
      <c r="Y34" s="306" t="s">
        <v>74</v>
      </c>
      <c r="Z34" s="306" t="s">
        <v>25</v>
      </c>
    </row>
    <row r="35" spans="2:26" hidden="1" outlineLevel="1" x14ac:dyDescent="0.25">
      <c r="B35" s="304">
        <v>39630</v>
      </c>
      <c r="C35" s="329">
        <v>0</v>
      </c>
      <c r="D35" s="329">
        <v>0</v>
      </c>
      <c r="E35" s="329">
        <v>0</v>
      </c>
      <c r="F35" s="329">
        <v>0</v>
      </c>
      <c r="G35" s="329">
        <v>0</v>
      </c>
      <c r="H35" s="329">
        <v>0</v>
      </c>
      <c r="I35" s="329">
        <v>208</v>
      </c>
      <c r="J35" s="329">
        <v>88</v>
      </c>
      <c r="K35" s="329">
        <v>296</v>
      </c>
      <c r="L35" s="329">
        <v>653</v>
      </c>
      <c r="M35" s="329">
        <v>391</v>
      </c>
      <c r="N35" s="329">
        <v>1044</v>
      </c>
      <c r="O35" s="329">
        <v>3789</v>
      </c>
      <c r="P35" s="329">
        <v>504</v>
      </c>
      <c r="Q35" s="329">
        <v>4293</v>
      </c>
      <c r="R35" s="329">
        <v>1055</v>
      </c>
      <c r="S35" s="329">
        <v>474</v>
      </c>
      <c r="T35" s="329">
        <v>1529</v>
      </c>
      <c r="U35" s="329">
        <v>0</v>
      </c>
      <c r="V35" s="329">
        <v>0</v>
      </c>
      <c r="W35" s="329">
        <v>0</v>
      </c>
      <c r="X35" s="330">
        <v>5705</v>
      </c>
      <c r="Y35" s="330">
        <v>1457</v>
      </c>
      <c r="Z35" s="330">
        <v>7162</v>
      </c>
    </row>
    <row r="36" spans="2:26" hidden="1" outlineLevel="1" x14ac:dyDescent="0.25">
      <c r="B36" s="304">
        <v>39661</v>
      </c>
      <c r="C36" s="329">
        <v>0</v>
      </c>
      <c r="D36" s="329">
        <v>0</v>
      </c>
      <c r="E36" s="329">
        <v>0</v>
      </c>
      <c r="F36" s="329">
        <v>0</v>
      </c>
      <c r="G36" s="329">
        <v>0</v>
      </c>
      <c r="H36" s="329">
        <v>0</v>
      </c>
      <c r="I36" s="329">
        <v>152</v>
      </c>
      <c r="J36" s="329">
        <v>33</v>
      </c>
      <c r="K36" s="329">
        <v>185</v>
      </c>
      <c r="L36" s="329">
        <v>305</v>
      </c>
      <c r="M36" s="329">
        <v>252</v>
      </c>
      <c r="N36" s="329">
        <v>557</v>
      </c>
      <c r="O36" s="329">
        <v>3042</v>
      </c>
      <c r="P36" s="329">
        <v>485</v>
      </c>
      <c r="Q36" s="329">
        <v>3527</v>
      </c>
      <c r="R36" s="329">
        <v>864</v>
      </c>
      <c r="S36" s="329">
        <v>468</v>
      </c>
      <c r="T36" s="329">
        <v>1332</v>
      </c>
      <c r="U36" s="329">
        <v>0</v>
      </c>
      <c r="V36" s="329">
        <v>0</v>
      </c>
      <c r="W36" s="329">
        <v>0</v>
      </c>
      <c r="X36" s="330">
        <v>4363</v>
      </c>
      <c r="Y36" s="330">
        <v>1238</v>
      </c>
      <c r="Z36" s="330">
        <v>5601</v>
      </c>
    </row>
    <row r="37" spans="2:26" hidden="1" outlineLevel="1" x14ac:dyDescent="0.25">
      <c r="B37" s="304">
        <v>39692</v>
      </c>
      <c r="C37" s="329">
        <v>0</v>
      </c>
      <c r="D37" s="329">
        <v>0</v>
      </c>
      <c r="E37" s="329">
        <v>0</v>
      </c>
      <c r="F37" s="329">
        <v>0</v>
      </c>
      <c r="G37" s="329">
        <v>0</v>
      </c>
      <c r="H37" s="329">
        <v>0</v>
      </c>
      <c r="I37" s="329">
        <v>70</v>
      </c>
      <c r="J37" s="329">
        <v>35</v>
      </c>
      <c r="K37" s="329">
        <v>105</v>
      </c>
      <c r="L37" s="329">
        <v>286</v>
      </c>
      <c r="M37" s="329">
        <v>250</v>
      </c>
      <c r="N37" s="329">
        <v>536</v>
      </c>
      <c r="O37" s="329">
        <v>2100</v>
      </c>
      <c r="P37" s="329">
        <v>349</v>
      </c>
      <c r="Q37" s="329">
        <v>2449</v>
      </c>
      <c r="R37" s="329">
        <v>447</v>
      </c>
      <c r="S37" s="329">
        <v>209</v>
      </c>
      <c r="T37" s="329">
        <v>656</v>
      </c>
      <c r="U37" s="329">
        <v>0</v>
      </c>
      <c r="V37" s="329">
        <v>0</v>
      </c>
      <c r="W37" s="329">
        <v>0</v>
      </c>
      <c r="X37" s="330">
        <v>2903</v>
      </c>
      <c r="Y37" s="330">
        <v>843</v>
      </c>
      <c r="Z37" s="330">
        <v>3746</v>
      </c>
    </row>
    <row r="38" spans="2:26" hidden="1" outlineLevel="1" x14ac:dyDescent="0.25">
      <c r="B38" s="304">
        <v>39722</v>
      </c>
      <c r="C38" s="329">
        <v>0</v>
      </c>
      <c r="D38" s="329">
        <v>0</v>
      </c>
      <c r="E38" s="329">
        <v>0</v>
      </c>
      <c r="F38" s="329">
        <v>0</v>
      </c>
      <c r="G38" s="329">
        <v>0</v>
      </c>
      <c r="H38" s="329">
        <v>0</v>
      </c>
      <c r="I38" s="329">
        <v>84</v>
      </c>
      <c r="J38" s="329">
        <v>20</v>
      </c>
      <c r="K38" s="329">
        <v>104</v>
      </c>
      <c r="L38" s="329">
        <v>237</v>
      </c>
      <c r="M38" s="329">
        <v>243</v>
      </c>
      <c r="N38" s="329">
        <v>480</v>
      </c>
      <c r="O38" s="329">
        <v>2211</v>
      </c>
      <c r="P38" s="329">
        <v>383</v>
      </c>
      <c r="Q38" s="329">
        <v>2594</v>
      </c>
      <c r="R38" s="329">
        <v>244</v>
      </c>
      <c r="S38" s="329">
        <v>106</v>
      </c>
      <c r="T38" s="329">
        <v>350</v>
      </c>
      <c r="U38" s="329">
        <v>0</v>
      </c>
      <c r="V38" s="329">
        <v>0</v>
      </c>
      <c r="W38" s="329">
        <v>0</v>
      </c>
      <c r="X38" s="330">
        <v>2776</v>
      </c>
      <c r="Y38" s="330">
        <v>752</v>
      </c>
      <c r="Z38" s="330">
        <v>3528</v>
      </c>
    </row>
    <row r="39" spans="2:26" hidden="1" outlineLevel="1" x14ac:dyDescent="0.25">
      <c r="B39" s="304">
        <v>39753</v>
      </c>
      <c r="C39" s="329">
        <v>0</v>
      </c>
      <c r="D39" s="329">
        <v>0</v>
      </c>
      <c r="E39" s="329">
        <v>0</v>
      </c>
      <c r="F39" s="329">
        <v>0</v>
      </c>
      <c r="G39" s="329">
        <v>0</v>
      </c>
      <c r="H39" s="329">
        <v>0</v>
      </c>
      <c r="I39" s="329">
        <v>38</v>
      </c>
      <c r="J39" s="329">
        <v>21</v>
      </c>
      <c r="K39" s="329">
        <v>59</v>
      </c>
      <c r="L39" s="329">
        <v>157</v>
      </c>
      <c r="M39" s="329">
        <v>129</v>
      </c>
      <c r="N39" s="329">
        <v>286</v>
      </c>
      <c r="O39" s="329">
        <v>1227</v>
      </c>
      <c r="P39" s="329">
        <v>216</v>
      </c>
      <c r="Q39" s="329">
        <v>1443</v>
      </c>
      <c r="R39" s="329">
        <v>227</v>
      </c>
      <c r="S39" s="329">
        <v>79</v>
      </c>
      <c r="T39" s="329">
        <v>306</v>
      </c>
      <c r="U39" s="329">
        <v>0</v>
      </c>
      <c r="V39" s="329">
        <v>0</v>
      </c>
      <c r="W39" s="329">
        <v>0</v>
      </c>
      <c r="X39" s="330">
        <v>1649</v>
      </c>
      <c r="Y39" s="330">
        <v>445</v>
      </c>
      <c r="Z39" s="330">
        <v>2094</v>
      </c>
    </row>
    <row r="40" spans="2:26" collapsed="1" x14ac:dyDescent="0.25">
      <c r="B40" s="304">
        <v>39783</v>
      </c>
      <c r="C40" s="329">
        <v>0</v>
      </c>
      <c r="D40" s="329">
        <v>0</v>
      </c>
      <c r="E40" s="329">
        <v>0</v>
      </c>
      <c r="F40" s="329">
        <v>0</v>
      </c>
      <c r="G40" s="329">
        <v>0</v>
      </c>
      <c r="H40" s="329">
        <v>0</v>
      </c>
      <c r="I40" s="329">
        <v>11</v>
      </c>
      <c r="J40" s="329">
        <v>4</v>
      </c>
      <c r="K40" s="329">
        <v>15</v>
      </c>
      <c r="L40" s="329">
        <v>178</v>
      </c>
      <c r="M40" s="329">
        <v>165</v>
      </c>
      <c r="N40" s="329">
        <v>343</v>
      </c>
      <c r="O40" s="329">
        <v>1157</v>
      </c>
      <c r="P40" s="329">
        <v>236</v>
      </c>
      <c r="Q40" s="329">
        <v>1393</v>
      </c>
      <c r="R40" s="329">
        <v>205</v>
      </c>
      <c r="S40" s="329">
        <v>106</v>
      </c>
      <c r="T40" s="329">
        <v>311</v>
      </c>
      <c r="U40" s="329">
        <v>0</v>
      </c>
      <c r="V40" s="329">
        <v>0</v>
      </c>
      <c r="W40" s="329">
        <v>0</v>
      </c>
      <c r="X40" s="330">
        <v>1551</v>
      </c>
      <c r="Y40" s="330">
        <v>511</v>
      </c>
      <c r="Z40" s="330">
        <v>2062</v>
      </c>
    </row>
    <row r="41" spans="2:26" hidden="1" outlineLevel="1" x14ac:dyDescent="0.25">
      <c r="B41" s="304">
        <v>39814</v>
      </c>
      <c r="C41" s="329">
        <v>0</v>
      </c>
      <c r="D41" s="329">
        <v>0</v>
      </c>
      <c r="E41" s="329">
        <v>0</v>
      </c>
      <c r="F41" s="329">
        <v>0</v>
      </c>
      <c r="G41" s="329">
        <v>0</v>
      </c>
      <c r="H41" s="329">
        <v>0</v>
      </c>
      <c r="I41" s="329">
        <v>9</v>
      </c>
      <c r="J41" s="329">
        <v>13</v>
      </c>
      <c r="K41" s="329">
        <v>22</v>
      </c>
      <c r="L41" s="329">
        <v>105</v>
      </c>
      <c r="M41" s="329">
        <v>122</v>
      </c>
      <c r="N41" s="329">
        <v>227</v>
      </c>
      <c r="O41" s="329">
        <v>1014</v>
      </c>
      <c r="P41" s="329">
        <v>187</v>
      </c>
      <c r="Q41" s="329">
        <v>1201</v>
      </c>
      <c r="R41" s="329">
        <v>160</v>
      </c>
      <c r="S41" s="329">
        <v>68</v>
      </c>
      <c r="T41" s="329">
        <v>228</v>
      </c>
      <c r="U41" s="329">
        <v>0</v>
      </c>
      <c r="V41" s="329">
        <v>0</v>
      </c>
      <c r="W41" s="329">
        <v>0</v>
      </c>
      <c r="X41" s="330">
        <v>1288</v>
      </c>
      <c r="Y41" s="330">
        <v>390</v>
      </c>
      <c r="Z41" s="330">
        <v>1678</v>
      </c>
    </row>
    <row r="42" spans="2:26" hidden="1" outlineLevel="1" x14ac:dyDescent="0.25">
      <c r="B42" s="304">
        <v>39845</v>
      </c>
      <c r="C42" s="329">
        <v>0</v>
      </c>
      <c r="D42" s="329">
        <v>0</v>
      </c>
      <c r="E42" s="329">
        <v>0</v>
      </c>
      <c r="F42" s="329">
        <v>0</v>
      </c>
      <c r="G42" s="329">
        <v>0</v>
      </c>
      <c r="H42" s="329">
        <v>0</v>
      </c>
      <c r="I42" s="329">
        <v>2</v>
      </c>
      <c r="J42" s="329">
        <v>2</v>
      </c>
      <c r="K42" s="329">
        <v>4</v>
      </c>
      <c r="L42" s="329">
        <v>36</v>
      </c>
      <c r="M42" s="329">
        <v>27</v>
      </c>
      <c r="N42" s="329">
        <v>63</v>
      </c>
      <c r="O42" s="329">
        <v>777</v>
      </c>
      <c r="P42" s="329">
        <v>140</v>
      </c>
      <c r="Q42" s="329">
        <v>917</v>
      </c>
      <c r="R42" s="329">
        <v>101</v>
      </c>
      <c r="S42" s="329">
        <v>36</v>
      </c>
      <c r="T42" s="329">
        <v>137</v>
      </c>
      <c r="U42" s="329">
        <v>0</v>
      </c>
      <c r="V42" s="329">
        <v>0</v>
      </c>
      <c r="W42" s="329">
        <v>0</v>
      </c>
      <c r="X42" s="330">
        <v>916</v>
      </c>
      <c r="Y42" s="330">
        <v>205</v>
      </c>
      <c r="Z42" s="330">
        <v>1121</v>
      </c>
    </row>
    <row r="43" spans="2:26" hidden="1" outlineLevel="1" x14ac:dyDescent="0.25">
      <c r="B43" s="304">
        <v>39873</v>
      </c>
      <c r="C43" s="329">
        <v>0</v>
      </c>
      <c r="D43" s="329">
        <v>0</v>
      </c>
      <c r="E43" s="329">
        <v>0</v>
      </c>
      <c r="F43" s="329">
        <v>0</v>
      </c>
      <c r="G43" s="329">
        <v>0</v>
      </c>
      <c r="H43" s="329">
        <v>0</v>
      </c>
      <c r="I43" s="329">
        <v>2</v>
      </c>
      <c r="J43" s="329">
        <v>3</v>
      </c>
      <c r="K43" s="329">
        <v>5</v>
      </c>
      <c r="L43" s="329">
        <v>54</v>
      </c>
      <c r="M43" s="329">
        <v>31</v>
      </c>
      <c r="N43" s="329">
        <v>85</v>
      </c>
      <c r="O43" s="329">
        <v>1115</v>
      </c>
      <c r="P43" s="329">
        <v>196</v>
      </c>
      <c r="Q43" s="329">
        <v>1311</v>
      </c>
      <c r="R43" s="329">
        <v>140</v>
      </c>
      <c r="S43" s="329">
        <v>52</v>
      </c>
      <c r="T43" s="329">
        <v>192</v>
      </c>
      <c r="U43" s="329">
        <v>0</v>
      </c>
      <c r="V43" s="329">
        <v>0</v>
      </c>
      <c r="W43" s="329">
        <v>0</v>
      </c>
      <c r="X43" s="330">
        <v>1311</v>
      </c>
      <c r="Y43" s="330">
        <v>282</v>
      </c>
      <c r="Z43" s="330">
        <v>1593</v>
      </c>
    </row>
    <row r="44" spans="2:26" hidden="1" outlineLevel="1" x14ac:dyDescent="0.25">
      <c r="B44" s="304">
        <v>39904</v>
      </c>
      <c r="C44" s="329">
        <v>0</v>
      </c>
      <c r="D44" s="329">
        <v>0</v>
      </c>
      <c r="E44" s="329">
        <v>0</v>
      </c>
      <c r="F44" s="329">
        <v>0</v>
      </c>
      <c r="G44" s="329">
        <v>0</v>
      </c>
      <c r="H44" s="329">
        <v>0</v>
      </c>
      <c r="I44" s="329">
        <v>12</v>
      </c>
      <c r="J44" s="329">
        <v>6</v>
      </c>
      <c r="K44" s="329">
        <v>18</v>
      </c>
      <c r="L44" s="329">
        <v>33</v>
      </c>
      <c r="M44" s="329">
        <v>24</v>
      </c>
      <c r="N44" s="329">
        <v>57</v>
      </c>
      <c r="O44" s="329">
        <v>899</v>
      </c>
      <c r="P44" s="329">
        <v>150</v>
      </c>
      <c r="Q44" s="329">
        <v>1049</v>
      </c>
      <c r="R44" s="329">
        <v>78</v>
      </c>
      <c r="S44" s="329">
        <v>41</v>
      </c>
      <c r="T44" s="329">
        <v>119</v>
      </c>
      <c r="U44" s="329">
        <v>0</v>
      </c>
      <c r="V44" s="329">
        <v>0</v>
      </c>
      <c r="W44" s="329">
        <v>0</v>
      </c>
      <c r="X44" s="330">
        <v>1022</v>
      </c>
      <c r="Y44" s="330">
        <v>221</v>
      </c>
      <c r="Z44" s="330">
        <v>1243</v>
      </c>
    </row>
    <row r="45" spans="2:26" hidden="1" outlineLevel="1" x14ac:dyDescent="0.25">
      <c r="B45" s="304">
        <v>39934</v>
      </c>
      <c r="C45" s="329">
        <v>0</v>
      </c>
      <c r="D45" s="329">
        <v>0</v>
      </c>
      <c r="E45" s="329">
        <v>0</v>
      </c>
      <c r="F45" s="329">
        <v>0</v>
      </c>
      <c r="G45" s="329">
        <v>0</v>
      </c>
      <c r="H45" s="329">
        <v>0</v>
      </c>
      <c r="I45" s="329">
        <v>60</v>
      </c>
      <c r="J45" s="329">
        <v>8</v>
      </c>
      <c r="K45" s="329">
        <v>68</v>
      </c>
      <c r="L45" s="329">
        <v>26</v>
      </c>
      <c r="M45" s="329">
        <v>28</v>
      </c>
      <c r="N45" s="329">
        <v>54</v>
      </c>
      <c r="O45" s="329">
        <v>821</v>
      </c>
      <c r="P45" s="329">
        <v>158</v>
      </c>
      <c r="Q45" s="329">
        <v>979</v>
      </c>
      <c r="R45" s="329">
        <v>54</v>
      </c>
      <c r="S45" s="329">
        <v>42</v>
      </c>
      <c r="T45" s="329">
        <v>96</v>
      </c>
      <c r="U45" s="329">
        <v>0</v>
      </c>
      <c r="V45" s="329">
        <v>0</v>
      </c>
      <c r="W45" s="329">
        <v>0</v>
      </c>
      <c r="X45" s="330">
        <v>961</v>
      </c>
      <c r="Y45" s="330">
        <v>236</v>
      </c>
      <c r="Z45" s="330">
        <v>1197</v>
      </c>
    </row>
    <row r="46" spans="2:26" hidden="1" outlineLevel="1" x14ac:dyDescent="0.25">
      <c r="B46" s="304">
        <v>39965</v>
      </c>
      <c r="C46" s="329">
        <v>0</v>
      </c>
      <c r="D46" s="329">
        <v>0</v>
      </c>
      <c r="E46" s="329">
        <v>0</v>
      </c>
      <c r="F46" s="329">
        <v>0</v>
      </c>
      <c r="G46" s="329">
        <v>0</v>
      </c>
      <c r="H46" s="329">
        <v>0</v>
      </c>
      <c r="I46" s="329">
        <v>65</v>
      </c>
      <c r="J46" s="329">
        <v>58</v>
      </c>
      <c r="K46" s="329">
        <v>123</v>
      </c>
      <c r="L46" s="329">
        <v>10641</v>
      </c>
      <c r="M46" s="329">
        <v>980</v>
      </c>
      <c r="N46" s="329">
        <v>11621</v>
      </c>
      <c r="O46" s="329">
        <v>831</v>
      </c>
      <c r="P46" s="329">
        <v>170</v>
      </c>
      <c r="Q46" s="329">
        <v>1001</v>
      </c>
      <c r="R46" s="329">
        <v>53</v>
      </c>
      <c r="S46" s="329">
        <v>31</v>
      </c>
      <c r="T46" s="329">
        <v>84</v>
      </c>
      <c r="U46" s="329">
        <v>0</v>
      </c>
      <c r="V46" s="329">
        <v>0</v>
      </c>
      <c r="W46" s="329">
        <v>0</v>
      </c>
      <c r="X46" s="330">
        <v>11590</v>
      </c>
      <c r="Y46" s="330">
        <v>1239</v>
      </c>
      <c r="Z46" s="330">
        <v>12829</v>
      </c>
    </row>
    <row r="47" spans="2:26" hidden="1" outlineLevel="1" x14ac:dyDescent="0.25">
      <c r="B47" s="304">
        <v>39995</v>
      </c>
      <c r="C47" s="329">
        <v>0</v>
      </c>
      <c r="D47" s="329">
        <v>0</v>
      </c>
      <c r="E47" s="329">
        <v>0</v>
      </c>
      <c r="F47" s="329">
        <v>0</v>
      </c>
      <c r="G47" s="329">
        <v>0</v>
      </c>
      <c r="H47" s="329">
        <v>0</v>
      </c>
      <c r="I47" s="329">
        <v>197</v>
      </c>
      <c r="J47" s="329">
        <v>36</v>
      </c>
      <c r="K47" s="329">
        <v>233</v>
      </c>
      <c r="L47" s="329">
        <v>2145</v>
      </c>
      <c r="M47" s="329">
        <v>740</v>
      </c>
      <c r="N47" s="329">
        <v>2885</v>
      </c>
      <c r="O47" s="329">
        <v>1131</v>
      </c>
      <c r="P47" s="329">
        <v>167</v>
      </c>
      <c r="Q47" s="329">
        <v>1298</v>
      </c>
      <c r="R47" s="329">
        <v>30</v>
      </c>
      <c r="S47" s="329">
        <v>30</v>
      </c>
      <c r="T47" s="329">
        <v>60</v>
      </c>
      <c r="U47" s="329">
        <v>0</v>
      </c>
      <c r="V47" s="329">
        <v>0</v>
      </c>
      <c r="W47" s="329">
        <v>0</v>
      </c>
      <c r="X47" s="330">
        <v>3503</v>
      </c>
      <c r="Y47" s="330">
        <v>973</v>
      </c>
      <c r="Z47" s="330">
        <v>4476</v>
      </c>
    </row>
    <row r="48" spans="2:26" hidden="1" outlineLevel="1" x14ac:dyDescent="0.25">
      <c r="B48" s="304">
        <v>40026</v>
      </c>
      <c r="C48" s="329">
        <v>0</v>
      </c>
      <c r="D48" s="329">
        <v>0</v>
      </c>
      <c r="E48" s="329">
        <v>0</v>
      </c>
      <c r="F48" s="329">
        <v>0</v>
      </c>
      <c r="G48" s="329">
        <v>0</v>
      </c>
      <c r="H48" s="329">
        <v>0</v>
      </c>
      <c r="I48" s="329">
        <v>108</v>
      </c>
      <c r="J48" s="329">
        <v>28</v>
      </c>
      <c r="K48" s="329">
        <v>136</v>
      </c>
      <c r="L48" s="329">
        <v>693</v>
      </c>
      <c r="M48" s="329">
        <v>478</v>
      </c>
      <c r="N48" s="329">
        <v>1171</v>
      </c>
      <c r="O48" s="329">
        <v>1218</v>
      </c>
      <c r="P48" s="329">
        <v>225</v>
      </c>
      <c r="Q48" s="329">
        <v>1443</v>
      </c>
      <c r="R48" s="329">
        <v>207</v>
      </c>
      <c r="S48" s="329">
        <v>65</v>
      </c>
      <c r="T48" s="329">
        <v>272</v>
      </c>
      <c r="U48" s="329">
        <v>0</v>
      </c>
      <c r="V48" s="329">
        <v>0</v>
      </c>
      <c r="W48" s="329">
        <v>0</v>
      </c>
      <c r="X48" s="330">
        <v>2226</v>
      </c>
      <c r="Y48" s="330">
        <v>796</v>
      </c>
      <c r="Z48" s="330">
        <v>3022</v>
      </c>
    </row>
    <row r="49" spans="2:26" hidden="1" outlineLevel="1" x14ac:dyDescent="0.25">
      <c r="B49" s="304">
        <v>40057</v>
      </c>
      <c r="C49" s="329">
        <v>0</v>
      </c>
      <c r="D49" s="329">
        <v>0</v>
      </c>
      <c r="E49" s="329">
        <v>0</v>
      </c>
      <c r="F49" s="329">
        <v>0</v>
      </c>
      <c r="G49" s="329">
        <v>0</v>
      </c>
      <c r="H49" s="329">
        <v>0</v>
      </c>
      <c r="I49" s="329">
        <v>136</v>
      </c>
      <c r="J49" s="329">
        <v>96</v>
      </c>
      <c r="K49" s="329">
        <v>232</v>
      </c>
      <c r="L49" s="329">
        <v>1012</v>
      </c>
      <c r="M49" s="329">
        <v>562</v>
      </c>
      <c r="N49" s="329">
        <v>1574</v>
      </c>
      <c r="O49" s="329">
        <v>1146</v>
      </c>
      <c r="P49" s="329">
        <v>223</v>
      </c>
      <c r="Q49" s="329">
        <v>1369</v>
      </c>
      <c r="R49" s="329">
        <v>136</v>
      </c>
      <c r="S49" s="329">
        <v>91</v>
      </c>
      <c r="T49" s="329">
        <v>227</v>
      </c>
      <c r="U49" s="329">
        <v>0</v>
      </c>
      <c r="V49" s="329">
        <v>0</v>
      </c>
      <c r="W49" s="329">
        <v>0</v>
      </c>
      <c r="X49" s="330">
        <v>2430</v>
      </c>
      <c r="Y49" s="330">
        <v>972</v>
      </c>
      <c r="Z49" s="330">
        <v>3402</v>
      </c>
    </row>
    <row r="50" spans="2:26" hidden="1" outlineLevel="1" x14ac:dyDescent="0.25">
      <c r="B50" s="304">
        <v>40087</v>
      </c>
      <c r="C50" s="329">
        <v>0</v>
      </c>
      <c r="D50" s="329">
        <v>0</v>
      </c>
      <c r="E50" s="329">
        <v>0</v>
      </c>
      <c r="F50" s="329">
        <v>0</v>
      </c>
      <c r="G50" s="329">
        <v>0</v>
      </c>
      <c r="H50" s="329">
        <v>0</v>
      </c>
      <c r="I50" s="329">
        <v>152</v>
      </c>
      <c r="J50" s="329">
        <v>94</v>
      </c>
      <c r="K50" s="329">
        <v>246</v>
      </c>
      <c r="L50" s="329">
        <v>783</v>
      </c>
      <c r="M50" s="329">
        <v>454</v>
      </c>
      <c r="N50" s="329">
        <v>1237</v>
      </c>
      <c r="O50" s="329">
        <v>1125</v>
      </c>
      <c r="P50" s="329">
        <v>207</v>
      </c>
      <c r="Q50" s="329">
        <v>1332</v>
      </c>
      <c r="R50" s="329">
        <v>85</v>
      </c>
      <c r="S50" s="329">
        <v>65</v>
      </c>
      <c r="T50" s="329">
        <v>150</v>
      </c>
      <c r="U50" s="329">
        <v>0</v>
      </c>
      <c r="V50" s="329">
        <v>0</v>
      </c>
      <c r="W50" s="329">
        <v>0</v>
      </c>
      <c r="X50" s="330">
        <v>2145</v>
      </c>
      <c r="Y50" s="330">
        <v>820</v>
      </c>
      <c r="Z50" s="330">
        <v>2965</v>
      </c>
    </row>
    <row r="51" spans="2:26" hidden="1" outlineLevel="1" x14ac:dyDescent="0.25">
      <c r="B51" s="304">
        <v>40118</v>
      </c>
      <c r="C51" s="329">
        <v>0</v>
      </c>
      <c r="D51" s="329">
        <v>0</v>
      </c>
      <c r="E51" s="329">
        <v>0</v>
      </c>
      <c r="F51" s="329">
        <v>0</v>
      </c>
      <c r="G51" s="329">
        <v>0</v>
      </c>
      <c r="H51" s="329">
        <v>0</v>
      </c>
      <c r="I51" s="329">
        <v>73</v>
      </c>
      <c r="J51" s="329">
        <v>30</v>
      </c>
      <c r="K51" s="329">
        <v>103</v>
      </c>
      <c r="L51" s="329">
        <v>526</v>
      </c>
      <c r="M51" s="329">
        <v>272</v>
      </c>
      <c r="N51" s="329">
        <v>798</v>
      </c>
      <c r="O51" s="329">
        <v>972</v>
      </c>
      <c r="P51" s="329">
        <v>143</v>
      </c>
      <c r="Q51" s="329">
        <v>1115</v>
      </c>
      <c r="R51" s="329">
        <v>79</v>
      </c>
      <c r="S51" s="329">
        <v>29</v>
      </c>
      <c r="T51" s="329">
        <v>108</v>
      </c>
      <c r="U51" s="329">
        <v>0</v>
      </c>
      <c r="V51" s="329">
        <v>0</v>
      </c>
      <c r="W51" s="329">
        <v>0</v>
      </c>
      <c r="X51" s="330">
        <v>1650</v>
      </c>
      <c r="Y51" s="330">
        <v>474</v>
      </c>
      <c r="Z51" s="330">
        <v>2124</v>
      </c>
    </row>
    <row r="52" spans="2:26" collapsed="1" x14ac:dyDescent="0.25">
      <c r="B52" s="304">
        <v>40148</v>
      </c>
      <c r="C52" s="329">
        <v>0</v>
      </c>
      <c r="D52" s="329">
        <v>0</v>
      </c>
      <c r="E52" s="329">
        <v>0</v>
      </c>
      <c r="F52" s="329">
        <v>0</v>
      </c>
      <c r="G52" s="329">
        <v>0</v>
      </c>
      <c r="H52" s="329">
        <v>0</v>
      </c>
      <c r="I52" s="329">
        <v>41</v>
      </c>
      <c r="J52" s="329">
        <v>16</v>
      </c>
      <c r="K52" s="329">
        <v>57</v>
      </c>
      <c r="L52" s="329">
        <v>465</v>
      </c>
      <c r="M52" s="329">
        <v>578</v>
      </c>
      <c r="N52" s="329">
        <v>1043</v>
      </c>
      <c r="O52" s="329">
        <v>926</v>
      </c>
      <c r="P52" s="329">
        <v>178</v>
      </c>
      <c r="Q52" s="329">
        <v>1104</v>
      </c>
      <c r="R52" s="329">
        <v>74</v>
      </c>
      <c r="S52" s="329">
        <v>44</v>
      </c>
      <c r="T52" s="329">
        <v>118</v>
      </c>
      <c r="U52" s="329">
        <v>0</v>
      </c>
      <c r="V52" s="329">
        <v>0</v>
      </c>
      <c r="W52" s="329">
        <v>0</v>
      </c>
      <c r="X52" s="330">
        <v>1506</v>
      </c>
      <c r="Y52" s="330">
        <v>816</v>
      </c>
      <c r="Z52" s="330">
        <v>2322</v>
      </c>
    </row>
    <row r="53" spans="2:26" hidden="1" outlineLevel="1" x14ac:dyDescent="0.25">
      <c r="B53" s="304">
        <v>40179</v>
      </c>
      <c r="C53" s="329">
        <v>0</v>
      </c>
      <c r="D53" s="329">
        <v>0</v>
      </c>
      <c r="E53" s="329">
        <v>0</v>
      </c>
      <c r="F53" s="329">
        <v>0</v>
      </c>
      <c r="G53" s="329">
        <v>0</v>
      </c>
      <c r="H53" s="329">
        <v>0</v>
      </c>
      <c r="I53" s="329">
        <v>12</v>
      </c>
      <c r="J53" s="329">
        <v>7</v>
      </c>
      <c r="K53" s="329">
        <v>19</v>
      </c>
      <c r="L53" s="329">
        <v>254</v>
      </c>
      <c r="M53" s="329">
        <v>389</v>
      </c>
      <c r="N53" s="329">
        <v>643</v>
      </c>
      <c r="O53" s="329">
        <v>797</v>
      </c>
      <c r="P53" s="329">
        <v>158</v>
      </c>
      <c r="Q53" s="329">
        <v>955</v>
      </c>
      <c r="R53" s="329">
        <v>56</v>
      </c>
      <c r="S53" s="329">
        <v>8</v>
      </c>
      <c r="T53" s="329">
        <v>64</v>
      </c>
      <c r="U53" s="329">
        <v>0</v>
      </c>
      <c r="V53" s="329">
        <v>0</v>
      </c>
      <c r="W53" s="329">
        <v>0</v>
      </c>
      <c r="X53" s="330">
        <v>1119</v>
      </c>
      <c r="Y53" s="330">
        <v>562</v>
      </c>
      <c r="Z53" s="330">
        <v>1681</v>
      </c>
    </row>
    <row r="54" spans="2:26" hidden="1" outlineLevel="1" x14ac:dyDescent="0.25">
      <c r="B54" s="304">
        <v>40210</v>
      </c>
      <c r="C54" s="329">
        <v>0</v>
      </c>
      <c r="D54" s="329">
        <v>0</v>
      </c>
      <c r="E54" s="329">
        <v>0</v>
      </c>
      <c r="F54" s="329">
        <v>0</v>
      </c>
      <c r="G54" s="329">
        <v>0</v>
      </c>
      <c r="H54" s="329">
        <v>0</v>
      </c>
      <c r="I54" s="329">
        <v>15</v>
      </c>
      <c r="J54" s="329">
        <v>20</v>
      </c>
      <c r="K54" s="329">
        <v>35</v>
      </c>
      <c r="L54" s="329">
        <v>119</v>
      </c>
      <c r="M54" s="329">
        <v>152</v>
      </c>
      <c r="N54" s="329">
        <v>271</v>
      </c>
      <c r="O54" s="329">
        <v>712</v>
      </c>
      <c r="P54" s="329">
        <v>125</v>
      </c>
      <c r="Q54" s="329">
        <v>837</v>
      </c>
      <c r="R54" s="329">
        <v>38</v>
      </c>
      <c r="S54" s="329">
        <v>18</v>
      </c>
      <c r="T54" s="329">
        <v>56</v>
      </c>
      <c r="U54" s="329">
        <v>0</v>
      </c>
      <c r="V54" s="329">
        <v>0</v>
      </c>
      <c r="W54" s="329">
        <v>0</v>
      </c>
      <c r="X54" s="330">
        <v>884</v>
      </c>
      <c r="Y54" s="330">
        <v>315</v>
      </c>
      <c r="Z54" s="330">
        <v>1199</v>
      </c>
    </row>
    <row r="55" spans="2:26" hidden="1" outlineLevel="1" x14ac:dyDescent="0.25">
      <c r="B55" s="304">
        <v>40238</v>
      </c>
      <c r="C55" s="329">
        <v>0</v>
      </c>
      <c r="D55" s="329">
        <v>0</v>
      </c>
      <c r="E55" s="329">
        <v>0</v>
      </c>
      <c r="F55" s="329">
        <v>0</v>
      </c>
      <c r="G55" s="329">
        <v>0</v>
      </c>
      <c r="H55" s="329">
        <v>0</v>
      </c>
      <c r="I55" s="329">
        <v>18</v>
      </c>
      <c r="J55" s="329">
        <v>21</v>
      </c>
      <c r="K55" s="329">
        <v>39</v>
      </c>
      <c r="L55" s="329">
        <v>141</v>
      </c>
      <c r="M55" s="329">
        <v>164</v>
      </c>
      <c r="N55" s="329">
        <v>305</v>
      </c>
      <c r="O55" s="329">
        <v>603</v>
      </c>
      <c r="P55" s="329">
        <v>133</v>
      </c>
      <c r="Q55" s="329">
        <v>736</v>
      </c>
      <c r="R55" s="329">
        <v>37</v>
      </c>
      <c r="S55" s="329">
        <v>9</v>
      </c>
      <c r="T55" s="329">
        <v>46</v>
      </c>
      <c r="U55" s="329">
        <v>0</v>
      </c>
      <c r="V55" s="329">
        <v>0</v>
      </c>
      <c r="W55" s="329">
        <v>0</v>
      </c>
      <c r="X55" s="330">
        <v>799</v>
      </c>
      <c r="Y55" s="330">
        <v>327</v>
      </c>
      <c r="Z55" s="330">
        <v>1126</v>
      </c>
    </row>
    <row r="56" spans="2:26" hidden="1" outlineLevel="1" x14ac:dyDescent="0.25">
      <c r="B56" s="304">
        <v>40269</v>
      </c>
      <c r="C56" s="329">
        <v>0</v>
      </c>
      <c r="D56" s="329">
        <v>0</v>
      </c>
      <c r="E56" s="329">
        <v>0</v>
      </c>
      <c r="F56" s="329">
        <v>0</v>
      </c>
      <c r="G56" s="329">
        <v>0</v>
      </c>
      <c r="H56" s="329">
        <v>0</v>
      </c>
      <c r="I56" s="329">
        <v>16</v>
      </c>
      <c r="J56" s="329">
        <v>15</v>
      </c>
      <c r="K56" s="329">
        <v>31</v>
      </c>
      <c r="L56" s="329">
        <v>172</v>
      </c>
      <c r="M56" s="329">
        <v>219</v>
      </c>
      <c r="N56" s="329">
        <v>391</v>
      </c>
      <c r="O56" s="329">
        <v>815</v>
      </c>
      <c r="P56" s="329">
        <v>156</v>
      </c>
      <c r="Q56" s="329">
        <v>971</v>
      </c>
      <c r="R56" s="329">
        <v>52</v>
      </c>
      <c r="S56" s="329">
        <v>8</v>
      </c>
      <c r="T56" s="329">
        <v>60</v>
      </c>
      <c r="U56" s="329">
        <v>0</v>
      </c>
      <c r="V56" s="329">
        <v>0</v>
      </c>
      <c r="W56" s="329">
        <v>0</v>
      </c>
      <c r="X56" s="330">
        <v>1055</v>
      </c>
      <c r="Y56" s="330">
        <v>398</v>
      </c>
      <c r="Z56" s="330">
        <v>1453</v>
      </c>
    </row>
    <row r="57" spans="2:26" hidden="1" outlineLevel="1" x14ac:dyDescent="0.25">
      <c r="B57" s="304">
        <v>40299</v>
      </c>
      <c r="C57" s="329">
        <v>0</v>
      </c>
      <c r="D57" s="329">
        <v>0</v>
      </c>
      <c r="E57" s="329">
        <v>0</v>
      </c>
      <c r="F57" s="329">
        <v>0</v>
      </c>
      <c r="G57" s="329">
        <v>0</v>
      </c>
      <c r="H57" s="329">
        <v>0</v>
      </c>
      <c r="I57" s="329">
        <v>16</v>
      </c>
      <c r="J57" s="329">
        <v>8</v>
      </c>
      <c r="K57" s="329">
        <v>24</v>
      </c>
      <c r="L57" s="329">
        <v>113</v>
      </c>
      <c r="M57" s="329">
        <v>133</v>
      </c>
      <c r="N57" s="329">
        <v>246</v>
      </c>
      <c r="O57" s="329">
        <v>790</v>
      </c>
      <c r="P57" s="329">
        <v>137</v>
      </c>
      <c r="Q57" s="329">
        <v>927</v>
      </c>
      <c r="R57" s="329">
        <v>44</v>
      </c>
      <c r="S57" s="329">
        <v>9</v>
      </c>
      <c r="T57" s="329">
        <v>53</v>
      </c>
      <c r="U57" s="329">
        <v>0</v>
      </c>
      <c r="V57" s="329">
        <v>0</v>
      </c>
      <c r="W57" s="329">
        <v>0</v>
      </c>
      <c r="X57" s="330">
        <v>963</v>
      </c>
      <c r="Y57" s="330">
        <v>287</v>
      </c>
      <c r="Z57" s="330">
        <v>1250</v>
      </c>
    </row>
    <row r="58" spans="2:26" hidden="1" outlineLevel="1" x14ac:dyDescent="0.25">
      <c r="B58" s="304">
        <v>40330</v>
      </c>
      <c r="C58" s="329">
        <v>0</v>
      </c>
      <c r="D58" s="329">
        <v>0</v>
      </c>
      <c r="E58" s="329">
        <v>0</v>
      </c>
      <c r="F58" s="329">
        <v>0</v>
      </c>
      <c r="G58" s="329">
        <v>0</v>
      </c>
      <c r="H58" s="329">
        <v>0</v>
      </c>
      <c r="I58" s="329">
        <v>4</v>
      </c>
      <c r="J58" s="329">
        <v>9</v>
      </c>
      <c r="K58" s="329">
        <v>13</v>
      </c>
      <c r="L58" s="329">
        <v>242</v>
      </c>
      <c r="M58" s="329">
        <v>205</v>
      </c>
      <c r="N58" s="329">
        <v>447</v>
      </c>
      <c r="O58" s="329">
        <v>826</v>
      </c>
      <c r="P58" s="329">
        <v>153</v>
      </c>
      <c r="Q58" s="329">
        <v>979</v>
      </c>
      <c r="R58" s="329">
        <v>77</v>
      </c>
      <c r="S58" s="329">
        <v>28</v>
      </c>
      <c r="T58" s="329">
        <v>105</v>
      </c>
      <c r="U58" s="329">
        <v>0</v>
      </c>
      <c r="V58" s="329">
        <v>0</v>
      </c>
      <c r="W58" s="329">
        <v>0</v>
      </c>
      <c r="X58" s="330">
        <v>1149</v>
      </c>
      <c r="Y58" s="330">
        <v>395</v>
      </c>
      <c r="Z58" s="330">
        <v>1544</v>
      </c>
    </row>
    <row r="59" spans="2:26" hidden="1" outlineLevel="1" x14ac:dyDescent="0.25">
      <c r="B59" s="304">
        <v>40360</v>
      </c>
      <c r="C59" s="329">
        <v>0</v>
      </c>
      <c r="D59" s="329">
        <v>0</v>
      </c>
      <c r="E59" s="329">
        <v>0</v>
      </c>
      <c r="F59" s="329">
        <v>0</v>
      </c>
      <c r="G59" s="329">
        <v>0</v>
      </c>
      <c r="H59" s="329">
        <v>0</v>
      </c>
      <c r="I59" s="329">
        <v>659</v>
      </c>
      <c r="J59" s="329">
        <v>96</v>
      </c>
      <c r="K59" s="329">
        <v>755</v>
      </c>
      <c r="L59" s="329">
        <v>4092</v>
      </c>
      <c r="M59" s="329">
        <v>2474</v>
      </c>
      <c r="N59" s="329">
        <v>6566</v>
      </c>
      <c r="O59" s="329">
        <v>874</v>
      </c>
      <c r="P59" s="329">
        <v>221</v>
      </c>
      <c r="Q59" s="329">
        <v>1095</v>
      </c>
      <c r="R59" s="329">
        <v>203</v>
      </c>
      <c r="S59" s="329">
        <v>150</v>
      </c>
      <c r="T59" s="329">
        <v>353</v>
      </c>
      <c r="U59" s="329">
        <v>0</v>
      </c>
      <c r="V59" s="329">
        <v>0</v>
      </c>
      <c r="W59" s="329">
        <v>0</v>
      </c>
      <c r="X59" s="330">
        <v>5828</v>
      </c>
      <c r="Y59" s="330">
        <v>2941</v>
      </c>
      <c r="Z59" s="330">
        <v>8769</v>
      </c>
    </row>
    <row r="60" spans="2:26" hidden="1" outlineLevel="1" x14ac:dyDescent="0.25">
      <c r="B60" s="304">
        <v>40391</v>
      </c>
      <c r="C60" s="329">
        <v>0</v>
      </c>
      <c r="D60" s="329">
        <v>0</v>
      </c>
      <c r="E60" s="329">
        <v>0</v>
      </c>
      <c r="F60" s="329">
        <v>0</v>
      </c>
      <c r="G60" s="329">
        <v>0</v>
      </c>
      <c r="H60" s="329">
        <v>0</v>
      </c>
      <c r="I60" s="329">
        <v>819</v>
      </c>
      <c r="J60" s="329">
        <v>137</v>
      </c>
      <c r="K60" s="329">
        <v>956</v>
      </c>
      <c r="L60" s="329">
        <v>4273</v>
      </c>
      <c r="M60" s="329">
        <v>2581</v>
      </c>
      <c r="N60" s="329">
        <v>6854</v>
      </c>
      <c r="O60" s="329">
        <v>1030</v>
      </c>
      <c r="P60" s="329">
        <v>228</v>
      </c>
      <c r="Q60" s="329">
        <v>1258</v>
      </c>
      <c r="R60" s="329">
        <v>144</v>
      </c>
      <c r="S60" s="329">
        <v>125</v>
      </c>
      <c r="T60" s="329">
        <v>269</v>
      </c>
      <c r="U60" s="329">
        <v>0</v>
      </c>
      <c r="V60" s="329">
        <v>0</v>
      </c>
      <c r="W60" s="329">
        <v>0</v>
      </c>
      <c r="X60" s="330">
        <v>6266</v>
      </c>
      <c r="Y60" s="330">
        <v>3071</v>
      </c>
      <c r="Z60" s="330">
        <v>9337</v>
      </c>
    </row>
    <row r="61" spans="2:26" hidden="1" outlineLevel="1" x14ac:dyDescent="0.25">
      <c r="B61" s="304">
        <v>40422</v>
      </c>
      <c r="C61" s="329">
        <v>0</v>
      </c>
      <c r="D61" s="329">
        <v>0</v>
      </c>
      <c r="E61" s="329">
        <v>0</v>
      </c>
      <c r="F61" s="329">
        <v>0</v>
      </c>
      <c r="G61" s="329">
        <v>0</v>
      </c>
      <c r="H61" s="329">
        <v>0</v>
      </c>
      <c r="I61" s="329">
        <v>594</v>
      </c>
      <c r="J61" s="329">
        <v>96</v>
      </c>
      <c r="K61" s="329">
        <v>690</v>
      </c>
      <c r="L61" s="329">
        <v>2654</v>
      </c>
      <c r="M61" s="329">
        <v>1734</v>
      </c>
      <c r="N61" s="329">
        <v>4388</v>
      </c>
      <c r="O61" s="329">
        <v>758</v>
      </c>
      <c r="P61" s="329">
        <v>145</v>
      </c>
      <c r="Q61" s="329">
        <v>903</v>
      </c>
      <c r="R61" s="329">
        <v>132</v>
      </c>
      <c r="S61" s="329">
        <v>107</v>
      </c>
      <c r="T61" s="329">
        <v>239</v>
      </c>
      <c r="U61" s="329">
        <v>0</v>
      </c>
      <c r="V61" s="329">
        <v>0</v>
      </c>
      <c r="W61" s="329">
        <v>0</v>
      </c>
      <c r="X61" s="330">
        <v>4138</v>
      </c>
      <c r="Y61" s="330">
        <v>2082</v>
      </c>
      <c r="Z61" s="330">
        <v>6220</v>
      </c>
    </row>
    <row r="62" spans="2:26" hidden="1" outlineLevel="1" x14ac:dyDescent="0.25">
      <c r="B62" s="304">
        <v>40452</v>
      </c>
      <c r="C62" s="329">
        <v>0</v>
      </c>
      <c r="D62" s="329">
        <v>0</v>
      </c>
      <c r="E62" s="329">
        <v>0</v>
      </c>
      <c r="F62" s="329">
        <v>0</v>
      </c>
      <c r="G62" s="329">
        <v>0</v>
      </c>
      <c r="H62" s="329">
        <v>0</v>
      </c>
      <c r="I62" s="329">
        <v>634</v>
      </c>
      <c r="J62" s="329">
        <v>84</v>
      </c>
      <c r="K62" s="329">
        <v>718</v>
      </c>
      <c r="L62" s="329">
        <v>2351</v>
      </c>
      <c r="M62" s="329">
        <v>1455</v>
      </c>
      <c r="N62" s="329">
        <v>3806</v>
      </c>
      <c r="O62" s="329">
        <v>855</v>
      </c>
      <c r="P62" s="329">
        <v>239</v>
      </c>
      <c r="Q62" s="329">
        <v>1094</v>
      </c>
      <c r="R62" s="329">
        <v>153</v>
      </c>
      <c r="S62" s="329">
        <v>121</v>
      </c>
      <c r="T62" s="329">
        <v>274</v>
      </c>
      <c r="U62" s="329">
        <v>0</v>
      </c>
      <c r="V62" s="329">
        <v>0</v>
      </c>
      <c r="W62" s="329">
        <v>0</v>
      </c>
      <c r="X62" s="330">
        <v>3993</v>
      </c>
      <c r="Y62" s="330">
        <v>1899</v>
      </c>
      <c r="Z62" s="330">
        <v>5892</v>
      </c>
    </row>
    <row r="63" spans="2:26" hidden="1" outlineLevel="1" x14ac:dyDescent="0.25">
      <c r="B63" s="304">
        <v>40483</v>
      </c>
      <c r="C63" s="329">
        <v>0</v>
      </c>
      <c r="D63" s="329">
        <v>0</v>
      </c>
      <c r="E63" s="329">
        <v>0</v>
      </c>
      <c r="F63" s="329">
        <v>0</v>
      </c>
      <c r="G63" s="329">
        <v>0</v>
      </c>
      <c r="H63" s="329">
        <v>0</v>
      </c>
      <c r="I63" s="329">
        <v>580</v>
      </c>
      <c r="J63" s="329">
        <v>88</v>
      </c>
      <c r="K63" s="329">
        <v>668</v>
      </c>
      <c r="L63" s="329">
        <v>1953</v>
      </c>
      <c r="M63" s="329">
        <v>1147</v>
      </c>
      <c r="N63" s="329">
        <v>3100</v>
      </c>
      <c r="O63" s="329">
        <v>926</v>
      </c>
      <c r="P63" s="329">
        <v>197</v>
      </c>
      <c r="Q63" s="329">
        <v>1123</v>
      </c>
      <c r="R63" s="329">
        <v>120</v>
      </c>
      <c r="S63" s="329">
        <v>84</v>
      </c>
      <c r="T63" s="329">
        <v>204</v>
      </c>
      <c r="U63" s="329">
        <v>0</v>
      </c>
      <c r="V63" s="329">
        <v>0</v>
      </c>
      <c r="W63" s="329">
        <v>0</v>
      </c>
      <c r="X63" s="330">
        <v>3579</v>
      </c>
      <c r="Y63" s="330">
        <v>1516</v>
      </c>
      <c r="Z63" s="330">
        <v>5095</v>
      </c>
    </row>
    <row r="64" spans="2:26" collapsed="1" x14ac:dyDescent="0.25">
      <c r="B64" s="304">
        <v>40513</v>
      </c>
      <c r="C64" s="329">
        <v>0</v>
      </c>
      <c r="D64" s="329">
        <v>0</v>
      </c>
      <c r="E64" s="329">
        <v>0</v>
      </c>
      <c r="F64" s="329">
        <v>0</v>
      </c>
      <c r="G64" s="329">
        <v>0</v>
      </c>
      <c r="H64" s="329">
        <v>0</v>
      </c>
      <c r="I64" s="329">
        <v>471</v>
      </c>
      <c r="J64" s="329">
        <v>76</v>
      </c>
      <c r="K64" s="329">
        <v>547</v>
      </c>
      <c r="L64" s="329">
        <v>1477</v>
      </c>
      <c r="M64" s="329">
        <v>883</v>
      </c>
      <c r="N64" s="329">
        <v>2360</v>
      </c>
      <c r="O64" s="329">
        <v>562</v>
      </c>
      <c r="P64" s="329">
        <v>120</v>
      </c>
      <c r="Q64" s="329">
        <v>682</v>
      </c>
      <c r="R64" s="329">
        <v>80</v>
      </c>
      <c r="S64" s="329">
        <v>56</v>
      </c>
      <c r="T64" s="329">
        <v>136</v>
      </c>
      <c r="U64" s="329">
        <v>0</v>
      </c>
      <c r="V64" s="329">
        <v>0</v>
      </c>
      <c r="W64" s="329">
        <v>0</v>
      </c>
      <c r="X64" s="330">
        <v>2590</v>
      </c>
      <c r="Y64" s="330">
        <v>1135</v>
      </c>
      <c r="Z64" s="330">
        <v>3725</v>
      </c>
    </row>
    <row r="65" spans="2:26" hidden="1" outlineLevel="1" x14ac:dyDescent="0.25">
      <c r="B65" s="304">
        <v>40544</v>
      </c>
      <c r="C65" s="329">
        <v>0</v>
      </c>
      <c r="D65" s="329">
        <v>0</v>
      </c>
      <c r="E65" s="329">
        <v>0</v>
      </c>
      <c r="F65" s="329">
        <v>0</v>
      </c>
      <c r="G65" s="329">
        <v>0</v>
      </c>
      <c r="H65" s="329">
        <v>0</v>
      </c>
      <c r="I65" s="329">
        <v>709</v>
      </c>
      <c r="J65" s="329">
        <v>108</v>
      </c>
      <c r="K65" s="329">
        <v>817</v>
      </c>
      <c r="L65" s="329">
        <v>1860</v>
      </c>
      <c r="M65" s="329">
        <v>1179</v>
      </c>
      <c r="N65" s="329">
        <v>3039</v>
      </c>
      <c r="O65" s="329">
        <v>775</v>
      </c>
      <c r="P65" s="329">
        <v>141</v>
      </c>
      <c r="Q65" s="329">
        <v>916</v>
      </c>
      <c r="R65" s="329">
        <v>91</v>
      </c>
      <c r="S65" s="329">
        <v>42</v>
      </c>
      <c r="T65" s="329">
        <v>133</v>
      </c>
      <c r="U65" s="329">
        <v>0</v>
      </c>
      <c r="V65" s="329">
        <v>0</v>
      </c>
      <c r="W65" s="329">
        <v>0</v>
      </c>
      <c r="X65" s="330">
        <v>3435</v>
      </c>
      <c r="Y65" s="330">
        <v>1470</v>
      </c>
      <c r="Z65" s="330">
        <v>4905</v>
      </c>
    </row>
    <row r="66" spans="2:26" hidden="1" outlineLevel="1" x14ac:dyDescent="0.25">
      <c r="B66" s="304">
        <v>40575</v>
      </c>
      <c r="C66" s="329">
        <v>0</v>
      </c>
      <c r="D66" s="329">
        <v>0</v>
      </c>
      <c r="E66" s="329">
        <v>0</v>
      </c>
      <c r="F66" s="329">
        <v>0</v>
      </c>
      <c r="G66" s="329">
        <v>0</v>
      </c>
      <c r="H66" s="329">
        <v>0</v>
      </c>
      <c r="I66" s="329">
        <v>543</v>
      </c>
      <c r="J66" s="329">
        <v>96</v>
      </c>
      <c r="K66" s="329">
        <v>639</v>
      </c>
      <c r="L66" s="329">
        <v>1508</v>
      </c>
      <c r="M66" s="329">
        <v>1036</v>
      </c>
      <c r="N66" s="329">
        <v>2544</v>
      </c>
      <c r="O66" s="329">
        <v>697</v>
      </c>
      <c r="P66" s="329">
        <v>136</v>
      </c>
      <c r="Q66" s="329">
        <v>833</v>
      </c>
      <c r="R66" s="329">
        <v>87</v>
      </c>
      <c r="S66" s="329">
        <v>30</v>
      </c>
      <c r="T66" s="329">
        <v>117</v>
      </c>
      <c r="U66" s="329">
        <v>0</v>
      </c>
      <c r="V66" s="329">
        <v>0</v>
      </c>
      <c r="W66" s="329">
        <v>0</v>
      </c>
      <c r="X66" s="330">
        <v>2835</v>
      </c>
      <c r="Y66" s="330">
        <v>1298</v>
      </c>
      <c r="Z66" s="330">
        <v>4133</v>
      </c>
    </row>
    <row r="67" spans="2:26" hidden="1" outlineLevel="1" x14ac:dyDescent="0.25">
      <c r="B67" s="304">
        <v>40603</v>
      </c>
      <c r="C67" s="329">
        <v>0</v>
      </c>
      <c r="D67" s="329">
        <v>0</v>
      </c>
      <c r="E67" s="329">
        <v>0</v>
      </c>
      <c r="F67" s="329">
        <v>0</v>
      </c>
      <c r="G67" s="329">
        <v>0</v>
      </c>
      <c r="H67" s="329">
        <v>0</v>
      </c>
      <c r="I67" s="329">
        <v>617</v>
      </c>
      <c r="J67" s="329">
        <v>72</v>
      </c>
      <c r="K67" s="329">
        <v>689</v>
      </c>
      <c r="L67" s="329">
        <v>1633</v>
      </c>
      <c r="M67" s="329">
        <v>1056</v>
      </c>
      <c r="N67" s="329">
        <v>2689</v>
      </c>
      <c r="O67" s="329">
        <v>941</v>
      </c>
      <c r="P67" s="329">
        <v>159</v>
      </c>
      <c r="Q67" s="329">
        <v>1100</v>
      </c>
      <c r="R67" s="329">
        <v>111</v>
      </c>
      <c r="S67" s="329">
        <v>53</v>
      </c>
      <c r="T67" s="329">
        <v>164</v>
      </c>
      <c r="U67" s="329">
        <v>0</v>
      </c>
      <c r="V67" s="329">
        <v>0</v>
      </c>
      <c r="W67" s="329">
        <v>0</v>
      </c>
      <c r="X67" s="330">
        <v>3302</v>
      </c>
      <c r="Y67" s="330">
        <v>1340</v>
      </c>
      <c r="Z67" s="330">
        <v>4642</v>
      </c>
    </row>
    <row r="68" spans="2:26" hidden="1" outlineLevel="1" x14ac:dyDescent="0.25">
      <c r="B68" s="304">
        <v>40634</v>
      </c>
      <c r="C68" s="329">
        <v>0</v>
      </c>
      <c r="D68" s="329">
        <v>0</v>
      </c>
      <c r="E68" s="329">
        <v>0</v>
      </c>
      <c r="F68" s="329">
        <v>0</v>
      </c>
      <c r="G68" s="329">
        <v>0</v>
      </c>
      <c r="H68" s="329">
        <v>0</v>
      </c>
      <c r="I68" s="329">
        <v>454</v>
      </c>
      <c r="J68" s="329">
        <v>75</v>
      </c>
      <c r="K68" s="329">
        <v>529</v>
      </c>
      <c r="L68" s="329">
        <v>1213</v>
      </c>
      <c r="M68" s="329">
        <v>729</v>
      </c>
      <c r="N68" s="329">
        <v>1942</v>
      </c>
      <c r="O68" s="329">
        <v>746</v>
      </c>
      <c r="P68" s="329">
        <v>122</v>
      </c>
      <c r="Q68" s="329">
        <v>868</v>
      </c>
      <c r="R68" s="329">
        <v>66</v>
      </c>
      <c r="S68" s="329">
        <v>32</v>
      </c>
      <c r="T68" s="329">
        <v>98</v>
      </c>
      <c r="U68" s="329">
        <v>0</v>
      </c>
      <c r="V68" s="329">
        <v>0</v>
      </c>
      <c r="W68" s="329">
        <v>0</v>
      </c>
      <c r="X68" s="330">
        <v>2479</v>
      </c>
      <c r="Y68" s="330">
        <v>958</v>
      </c>
      <c r="Z68" s="330">
        <v>3437</v>
      </c>
    </row>
    <row r="69" spans="2:26" hidden="1" outlineLevel="1" x14ac:dyDescent="0.25">
      <c r="B69" s="304">
        <v>40664</v>
      </c>
      <c r="C69" s="329">
        <v>0</v>
      </c>
      <c r="D69" s="329">
        <v>0</v>
      </c>
      <c r="E69" s="329">
        <v>0</v>
      </c>
      <c r="F69" s="329">
        <v>0</v>
      </c>
      <c r="G69" s="329">
        <v>0</v>
      </c>
      <c r="H69" s="329">
        <v>0</v>
      </c>
      <c r="I69" s="329">
        <v>639</v>
      </c>
      <c r="J69" s="329">
        <v>81</v>
      </c>
      <c r="K69" s="329">
        <v>720</v>
      </c>
      <c r="L69" s="329">
        <v>1662</v>
      </c>
      <c r="M69" s="329">
        <v>953</v>
      </c>
      <c r="N69" s="329">
        <v>2615</v>
      </c>
      <c r="O69" s="329">
        <v>815</v>
      </c>
      <c r="P69" s="329">
        <v>168</v>
      </c>
      <c r="Q69" s="329">
        <v>983</v>
      </c>
      <c r="R69" s="329">
        <v>114</v>
      </c>
      <c r="S69" s="329">
        <v>43</v>
      </c>
      <c r="T69" s="329">
        <v>157</v>
      </c>
      <c r="U69" s="329">
        <v>0</v>
      </c>
      <c r="V69" s="329">
        <v>0</v>
      </c>
      <c r="W69" s="329">
        <v>0</v>
      </c>
      <c r="X69" s="330">
        <v>3230</v>
      </c>
      <c r="Y69" s="330">
        <v>1245</v>
      </c>
      <c r="Z69" s="330">
        <v>4475</v>
      </c>
    </row>
    <row r="70" spans="2:26" hidden="1" outlineLevel="1" x14ac:dyDescent="0.25">
      <c r="B70" s="304">
        <v>40695</v>
      </c>
      <c r="C70" s="329">
        <v>0</v>
      </c>
      <c r="D70" s="329">
        <v>0</v>
      </c>
      <c r="E70" s="329">
        <v>0</v>
      </c>
      <c r="F70" s="329">
        <v>0</v>
      </c>
      <c r="G70" s="329">
        <v>0</v>
      </c>
      <c r="H70" s="329">
        <v>0</v>
      </c>
      <c r="I70" s="329">
        <v>582</v>
      </c>
      <c r="J70" s="329">
        <v>95</v>
      </c>
      <c r="K70" s="329">
        <v>677</v>
      </c>
      <c r="L70" s="329">
        <v>1591</v>
      </c>
      <c r="M70" s="329">
        <v>908</v>
      </c>
      <c r="N70" s="329">
        <v>2499</v>
      </c>
      <c r="O70" s="329">
        <v>687</v>
      </c>
      <c r="P70" s="329">
        <v>156</v>
      </c>
      <c r="Q70" s="329">
        <v>843</v>
      </c>
      <c r="R70" s="329">
        <v>116</v>
      </c>
      <c r="S70" s="329">
        <v>44</v>
      </c>
      <c r="T70" s="329">
        <v>160</v>
      </c>
      <c r="U70" s="329">
        <v>0</v>
      </c>
      <c r="V70" s="329">
        <v>0</v>
      </c>
      <c r="W70" s="329">
        <v>0</v>
      </c>
      <c r="X70" s="330">
        <v>2976</v>
      </c>
      <c r="Y70" s="330">
        <v>1203</v>
      </c>
      <c r="Z70" s="330">
        <v>4179</v>
      </c>
    </row>
    <row r="71" spans="2:26" hidden="1" outlineLevel="1" x14ac:dyDescent="0.25">
      <c r="B71" s="304">
        <v>40725</v>
      </c>
      <c r="C71" s="329">
        <v>0</v>
      </c>
      <c r="D71" s="329">
        <v>0</v>
      </c>
      <c r="E71" s="329">
        <v>0</v>
      </c>
      <c r="F71" s="329">
        <v>0</v>
      </c>
      <c r="G71" s="329">
        <v>0</v>
      </c>
      <c r="H71" s="329">
        <v>0</v>
      </c>
      <c r="I71" s="329">
        <v>712</v>
      </c>
      <c r="J71" s="329">
        <v>82</v>
      </c>
      <c r="K71" s="329">
        <v>794</v>
      </c>
      <c r="L71" s="329">
        <v>3028</v>
      </c>
      <c r="M71" s="329">
        <v>1924</v>
      </c>
      <c r="N71" s="329">
        <v>4952</v>
      </c>
      <c r="O71" s="329">
        <v>760</v>
      </c>
      <c r="P71" s="329">
        <v>145</v>
      </c>
      <c r="Q71" s="329">
        <v>905</v>
      </c>
      <c r="R71" s="329">
        <v>138</v>
      </c>
      <c r="S71" s="329">
        <v>64</v>
      </c>
      <c r="T71" s="329">
        <v>202</v>
      </c>
      <c r="U71" s="329">
        <v>0</v>
      </c>
      <c r="V71" s="329">
        <v>0</v>
      </c>
      <c r="W71" s="329">
        <v>0</v>
      </c>
      <c r="X71" s="330">
        <v>4638</v>
      </c>
      <c r="Y71" s="330">
        <v>2215</v>
      </c>
      <c r="Z71" s="330">
        <v>6853</v>
      </c>
    </row>
    <row r="72" spans="2:26" hidden="1" outlineLevel="1" x14ac:dyDescent="0.25">
      <c r="B72" s="304">
        <v>40756</v>
      </c>
      <c r="C72" s="329">
        <v>0</v>
      </c>
      <c r="D72" s="329">
        <v>0</v>
      </c>
      <c r="E72" s="329">
        <v>0</v>
      </c>
      <c r="F72" s="329">
        <v>0</v>
      </c>
      <c r="G72" s="329">
        <v>0</v>
      </c>
      <c r="H72" s="329">
        <v>0</v>
      </c>
      <c r="I72" s="329">
        <v>567</v>
      </c>
      <c r="J72" s="329">
        <v>84</v>
      </c>
      <c r="K72" s="329">
        <v>651</v>
      </c>
      <c r="L72" s="329">
        <v>2404</v>
      </c>
      <c r="M72" s="329">
        <v>1632</v>
      </c>
      <c r="N72" s="329">
        <v>4036</v>
      </c>
      <c r="O72" s="329">
        <v>733</v>
      </c>
      <c r="P72" s="329">
        <v>153</v>
      </c>
      <c r="Q72" s="329">
        <v>886</v>
      </c>
      <c r="R72" s="329">
        <v>127</v>
      </c>
      <c r="S72" s="329">
        <v>55</v>
      </c>
      <c r="T72" s="329">
        <v>182</v>
      </c>
      <c r="U72" s="329">
        <v>0</v>
      </c>
      <c r="V72" s="329">
        <v>0</v>
      </c>
      <c r="W72" s="329">
        <v>0</v>
      </c>
      <c r="X72" s="330">
        <v>3831</v>
      </c>
      <c r="Y72" s="330">
        <v>1924</v>
      </c>
      <c r="Z72" s="330">
        <v>5755</v>
      </c>
    </row>
    <row r="73" spans="2:26" hidden="1" outlineLevel="1" x14ac:dyDescent="0.25">
      <c r="B73" s="304">
        <v>40787</v>
      </c>
      <c r="C73" s="329">
        <v>0</v>
      </c>
      <c r="D73" s="329">
        <v>0</v>
      </c>
      <c r="E73" s="329">
        <v>0</v>
      </c>
      <c r="F73" s="329">
        <v>0</v>
      </c>
      <c r="G73" s="329">
        <v>0</v>
      </c>
      <c r="H73" s="329">
        <v>0</v>
      </c>
      <c r="I73" s="329">
        <v>497</v>
      </c>
      <c r="J73" s="329">
        <v>79</v>
      </c>
      <c r="K73" s="329">
        <v>576</v>
      </c>
      <c r="L73" s="329">
        <v>1599</v>
      </c>
      <c r="M73" s="329">
        <v>1052</v>
      </c>
      <c r="N73" s="329">
        <v>2651</v>
      </c>
      <c r="O73" s="329">
        <v>637</v>
      </c>
      <c r="P73" s="329">
        <v>146</v>
      </c>
      <c r="Q73" s="329">
        <v>783</v>
      </c>
      <c r="R73" s="329">
        <v>85</v>
      </c>
      <c r="S73" s="329">
        <v>37</v>
      </c>
      <c r="T73" s="329">
        <v>122</v>
      </c>
      <c r="U73" s="329">
        <v>0</v>
      </c>
      <c r="V73" s="329">
        <v>0</v>
      </c>
      <c r="W73" s="329">
        <v>0</v>
      </c>
      <c r="X73" s="330">
        <v>2818</v>
      </c>
      <c r="Y73" s="330">
        <v>1314</v>
      </c>
      <c r="Z73" s="330">
        <v>4132</v>
      </c>
    </row>
    <row r="74" spans="2:26" hidden="1" outlineLevel="1" x14ac:dyDescent="0.25">
      <c r="B74" s="304">
        <v>40817</v>
      </c>
      <c r="C74" s="329">
        <v>0</v>
      </c>
      <c r="D74" s="329">
        <v>0</v>
      </c>
      <c r="E74" s="329">
        <v>0</v>
      </c>
      <c r="F74" s="329">
        <v>0</v>
      </c>
      <c r="G74" s="329">
        <v>0</v>
      </c>
      <c r="H74" s="329">
        <v>0</v>
      </c>
      <c r="I74" s="329">
        <v>346</v>
      </c>
      <c r="J74" s="329">
        <v>40</v>
      </c>
      <c r="K74" s="329">
        <v>386</v>
      </c>
      <c r="L74" s="329">
        <v>1328</v>
      </c>
      <c r="M74" s="329">
        <v>698</v>
      </c>
      <c r="N74" s="329">
        <v>2026</v>
      </c>
      <c r="O74" s="329">
        <v>612</v>
      </c>
      <c r="P74" s="329">
        <v>123</v>
      </c>
      <c r="Q74" s="329">
        <v>735</v>
      </c>
      <c r="R74" s="329">
        <v>76</v>
      </c>
      <c r="S74" s="329">
        <v>24</v>
      </c>
      <c r="T74" s="329">
        <v>100</v>
      </c>
      <c r="U74" s="329">
        <v>0</v>
      </c>
      <c r="V74" s="329">
        <v>0</v>
      </c>
      <c r="W74" s="329">
        <v>0</v>
      </c>
      <c r="X74" s="330">
        <v>2362</v>
      </c>
      <c r="Y74" s="330">
        <v>885</v>
      </c>
      <c r="Z74" s="330">
        <v>3247</v>
      </c>
    </row>
    <row r="75" spans="2:26" hidden="1" outlineLevel="1" x14ac:dyDescent="0.25">
      <c r="B75" s="304">
        <v>40848</v>
      </c>
      <c r="C75" s="329">
        <v>0</v>
      </c>
      <c r="D75" s="329">
        <v>0</v>
      </c>
      <c r="E75" s="329">
        <v>0</v>
      </c>
      <c r="F75" s="329">
        <v>0</v>
      </c>
      <c r="G75" s="329">
        <v>0</v>
      </c>
      <c r="H75" s="329">
        <v>0</v>
      </c>
      <c r="I75" s="329">
        <v>400</v>
      </c>
      <c r="J75" s="329">
        <v>51</v>
      </c>
      <c r="K75" s="329">
        <v>451</v>
      </c>
      <c r="L75" s="329">
        <v>2064</v>
      </c>
      <c r="M75" s="329">
        <v>1262</v>
      </c>
      <c r="N75" s="329">
        <v>3326</v>
      </c>
      <c r="O75" s="329">
        <v>726</v>
      </c>
      <c r="P75" s="329">
        <v>132</v>
      </c>
      <c r="Q75" s="329">
        <v>858</v>
      </c>
      <c r="R75" s="329">
        <v>79</v>
      </c>
      <c r="S75" s="329">
        <v>25</v>
      </c>
      <c r="T75" s="329">
        <v>104</v>
      </c>
      <c r="U75" s="329">
        <v>0</v>
      </c>
      <c r="V75" s="329">
        <v>0</v>
      </c>
      <c r="W75" s="329">
        <v>0</v>
      </c>
      <c r="X75" s="330">
        <v>3269</v>
      </c>
      <c r="Y75" s="330">
        <v>1470</v>
      </c>
      <c r="Z75" s="330">
        <v>4739</v>
      </c>
    </row>
    <row r="76" spans="2:26" collapsed="1" x14ac:dyDescent="0.25">
      <c r="B76" s="304">
        <v>40878</v>
      </c>
      <c r="C76" s="329">
        <v>0</v>
      </c>
      <c r="D76" s="329">
        <v>0</v>
      </c>
      <c r="E76" s="329">
        <v>0</v>
      </c>
      <c r="F76" s="329">
        <v>0</v>
      </c>
      <c r="G76" s="329">
        <v>0</v>
      </c>
      <c r="H76" s="329">
        <v>0</v>
      </c>
      <c r="I76" s="329">
        <v>324</v>
      </c>
      <c r="J76" s="329">
        <v>29</v>
      </c>
      <c r="K76" s="329">
        <v>353</v>
      </c>
      <c r="L76" s="329">
        <v>1595</v>
      </c>
      <c r="M76" s="329">
        <v>1019</v>
      </c>
      <c r="N76" s="329">
        <v>2614</v>
      </c>
      <c r="O76" s="329">
        <v>560</v>
      </c>
      <c r="P76" s="329">
        <v>102</v>
      </c>
      <c r="Q76" s="329">
        <v>662</v>
      </c>
      <c r="R76" s="329">
        <v>45</v>
      </c>
      <c r="S76" s="329">
        <v>26</v>
      </c>
      <c r="T76" s="329">
        <v>71</v>
      </c>
      <c r="U76" s="329">
        <v>0</v>
      </c>
      <c r="V76" s="329">
        <v>0</v>
      </c>
      <c r="W76" s="329">
        <v>0</v>
      </c>
      <c r="X76" s="330">
        <v>2524</v>
      </c>
      <c r="Y76" s="330">
        <v>1176</v>
      </c>
      <c r="Z76" s="330">
        <v>3700</v>
      </c>
    </row>
    <row r="77" spans="2:26" hidden="1" outlineLevel="1" x14ac:dyDescent="0.25">
      <c r="B77" s="304">
        <v>40909</v>
      </c>
      <c r="C77" s="329">
        <v>0</v>
      </c>
      <c r="D77" s="329">
        <v>0</v>
      </c>
      <c r="E77" s="329">
        <v>0</v>
      </c>
      <c r="F77" s="329">
        <v>0</v>
      </c>
      <c r="G77" s="329">
        <v>0</v>
      </c>
      <c r="H77" s="329">
        <v>0</v>
      </c>
      <c r="I77" s="329">
        <v>355</v>
      </c>
      <c r="J77" s="329">
        <v>43</v>
      </c>
      <c r="K77" s="329">
        <v>398</v>
      </c>
      <c r="L77" s="329">
        <v>1640</v>
      </c>
      <c r="M77" s="329">
        <v>954</v>
      </c>
      <c r="N77" s="329">
        <v>2594</v>
      </c>
      <c r="O77" s="329">
        <v>564</v>
      </c>
      <c r="P77" s="329">
        <v>124</v>
      </c>
      <c r="Q77" s="329">
        <v>688</v>
      </c>
      <c r="R77" s="329">
        <v>66</v>
      </c>
      <c r="S77" s="329">
        <v>28</v>
      </c>
      <c r="T77" s="329">
        <v>94</v>
      </c>
      <c r="U77" s="329">
        <v>0</v>
      </c>
      <c r="V77" s="329">
        <v>0</v>
      </c>
      <c r="W77" s="329">
        <v>0</v>
      </c>
      <c r="X77" s="330">
        <v>2625</v>
      </c>
      <c r="Y77" s="330">
        <v>1149</v>
      </c>
      <c r="Z77" s="330">
        <v>3774</v>
      </c>
    </row>
    <row r="78" spans="2:26" hidden="1" outlineLevel="1" x14ac:dyDescent="0.25">
      <c r="B78" s="304">
        <v>40940</v>
      </c>
      <c r="C78" s="329">
        <v>0</v>
      </c>
      <c r="D78" s="329">
        <v>0</v>
      </c>
      <c r="E78" s="329">
        <v>0</v>
      </c>
      <c r="F78" s="329">
        <v>0</v>
      </c>
      <c r="G78" s="329">
        <v>0</v>
      </c>
      <c r="H78" s="329">
        <v>0</v>
      </c>
      <c r="I78" s="329">
        <v>295</v>
      </c>
      <c r="J78" s="329">
        <v>35</v>
      </c>
      <c r="K78" s="329">
        <v>330</v>
      </c>
      <c r="L78" s="329">
        <v>1029</v>
      </c>
      <c r="M78" s="329">
        <v>640</v>
      </c>
      <c r="N78" s="329">
        <v>1669</v>
      </c>
      <c r="O78" s="329">
        <v>525</v>
      </c>
      <c r="P78" s="329">
        <v>117</v>
      </c>
      <c r="Q78" s="329">
        <v>642</v>
      </c>
      <c r="R78" s="329">
        <v>66</v>
      </c>
      <c r="S78" s="329">
        <v>23</v>
      </c>
      <c r="T78" s="329">
        <v>89</v>
      </c>
      <c r="U78" s="329">
        <v>0</v>
      </c>
      <c r="V78" s="329">
        <v>0</v>
      </c>
      <c r="W78" s="329">
        <v>0</v>
      </c>
      <c r="X78" s="330">
        <v>1915</v>
      </c>
      <c r="Y78" s="330">
        <v>815</v>
      </c>
      <c r="Z78" s="330">
        <v>2730</v>
      </c>
    </row>
    <row r="79" spans="2:26" hidden="1" outlineLevel="1" x14ac:dyDescent="0.25">
      <c r="B79" s="304">
        <v>40969</v>
      </c>
      <c r="C79" s="329">
        <v>0</v>
      </c>
      <c r="D79" s="329">
        <v>0</v>
      </c>
      <c r="E79" s="329">
        <v>0</v>
      </c>
      <c r="F79" s="329">
        <v>0</v>
      </c>
      <c r="G79" s="329">
        <v>0</v>
      </c>
      <c r="H79" s="329">
        <v>0</v>
      </c>
      <c r="I79" s="329">
        <v>346</v>
      </c>
      <c r="J79" s="329">
        <v>41</v>
      </c>
      <c r="K79" s="329">
        <v>387</v>
      </c>
      <c r="L79" s="329">
        <v>1089</v>
      </c>
      <c r="M79" s="329">
        <v>600</v>
      </c>
      <c r="N79" s="329">
        <v>1689</v>
      </c>
      <c r="O79" s="329">
        <v>646</v>
      </c>
      <c r="P79" s="329">
        <v>121</v>
      </c>
      <c r="Q79" s="329">
        <v>767</v>
      </c>
      <c r="R79" s="329">
        <v>74</v>
      </c>
      <c r="S79" s="329">
        <v>24</v>
      </c>
      <c r="T79" s="329">
        <v>98</v>
      </c>
      <c r="U79" s="329">
        <v>0</v>
      </c>
      <c r="V79" s="329">
        <v>0</v>
      </c>
      <c r="W79" s="329">
        <v>0</v>
      </c>
      <c r="X79" s="330">
        <v>2155</v>
      </c>
      <c r="Y79" s="330">
        <v>786</v>
      </c>
      <c r="Z79" s="330">
        <v>2941</v>
      </c>
    </row>
    <row r="80" spans="2:26" hidden="1" outlineLevel="1" x14ac:dyDescent="0.25">
      <c r="B80" s="304">
        <v>41000</v>
      </c>
      <c r="C80" s="329">
        <v>0</v>
      </c>
      <c r="D80" s="329">
        <v>0</v>
      </c>
      <c r="E80" s="329">
        <v>0</v>
      </c>
      <c r="F80" s="329">
        <v>0</v>
      </c>
      <c r="G80" s="329">
        <v>0</v>
      </c>
      <c r="H80" s="329">
        <v>0</v>
      </c>
      <c r="I80" s="329">
        <v>280</v>
      </c>
      <c r="J80" s="329">
        <v>33</v>
      </c>
      <c r="K80" s="329">
        <v>313</v>
      </c>
      <c r="L80" s="329">
        <v>909</v>
      </c>
      <c r="M80" s="329">
        <v>580</v>
      </c>
      <c r="N80" s="329">
        <v>1489</v>
      </c>
      <c r="O80" s="329">
        <v>579</v>
      </c>
      <c r="P80" s="329">
        <v>128</v>
      </c>
      <c r="Q80" s="329">
        <v>707</v>
      </c>
      <c r="R80" s="329">
        <v>53</v>
      </c>
      <c r="S80" s="329">
        <v>19</v>
      </c>
      <c r="T80" s="329">
        <v>72</v>
      </c>
      <c r="U80" s="329">
        <v>0</v>
      </c>
      <c r="V80" s="329">
        <v>0</v>
      </c>
      <c r="W80" s="329">
        <v>0</v>
      </c>
      <c r="X80" s="330">
        <v>1821</v>
      </c>
      <c r="Y80" s="330">
        <v>760</v>
      </c>
      <c r="Z80" s="330">
        <v>2581</v>
      </c>
    </row>
    <row r="81" spans="2:26" hidden="1" outlineLevel="1" x14ac:dyDescent="0.25">
      <c r="B81" s="304">
        <v>41030</v>
      </c>
      <c r="C81" s="329">
        <v>0</v>
      </c>
      <c r="D81" s="329">
        <v>0</v>
      </c>
      <c r="E81" s="329">
        <v>0</v>
      </c>
      <c r="F81" s="329">
        <v>0</v>
      </c>
      <c r="G81" s="329">
        <v>0</v>
      </c>
      <c r="H81" s="329">
        <v>0</v>
      </c>
      <c r="I81" s="329">
        <v>339</v>
      </c>
      <c r="J81" s="329">
        <v>46</v>
      </c>
      <c r="K81" s="329">
        <v>385</v>
      </c>
      <c r="L81" s="329">
        <v>1364</v>
      </c>
      <c r="M81" s="329">
        <v>737</v>
      </c>
      <c r="N81" s="329">
        <v>2101</v>
      </c>
      <c r="O81" s="329">
        <v>710</v>
      </c>
      <c r="P81" s="329">
        <v>156</v>
      </c>
      <c r="Q81" s="329">
        <v>866</v>
      </c>
      <c r="R81" s="329">
        <v>56</v>
      </c>
      <c r="S81" s="329">
        <v>33</v>
      </c>
      <c r="T81" s="329">
        <v>89</v>
      </c>
      <c r="U81" s="329">
        <v>0</v>
      </c>
      <c r="V81" s="329">
        <v>0</v>
      </c>
      <c r="W81" s="329">
        <v>0</v>
      </c>
      <c r="X81" s="330">
        <v>2469</v>
      </c>
      <c r="Y81" s="330">
        <v>972</v>
      </c>
      <c r="Z81" s="330">
        <v>3441</v>
      </c>
    </row>
    <row r="82" spans="2:26" hidden="1" outlineLevel="1" x14ac:dyDescent="0.25">
      <c r="B82" s="304">
        <v>41061</v>
      </c>
      <c r="C82" s="329">
        <v>0</v>
      </c>
      <c r="D82" s="329">
        <v>0</v>
      </c>
      <c r="E82" s="329">
        <v>0</v>
      </c>
      <c r="F82" s="329">
        <v>0</v>
      </c>
      <c r="G82" s="329">
        <v>0</v>
      </c>
      <c r="H82" s="329">
        <v>0</v>
      </c>
      <c r="I82" s="329">
        <v>312</v>
      </c>
      <c r="J82" s="329">
        <v>45</v>
      </c>
      <c r="K82" s="329">
        <v>357</v>
      </c>
      <c r="L82" s="329">
        <v>1176</v>
      </c>
      <c r="M82" s="329">
        <v>712</v>
      </c>
      <c r="N82" s="329">
        <v>1888</v>
      </c>
      <c r="O82" s="329">
        <v>615</v>
      </c>
      <c r="P82" s="329">
        <v>145</v>
      </c>
      <c r="Q82" s="329">
        <v>760</v>
      </c>
      <c r="R82" s="329">
        <v>84</v>
      </c>
      <c r="S82" s="329">
        <v>26</v>
      </c>
      <c r="T82" s="329">
        <v>110</v>
      </c>
      <c r="U82" s="329">
        <v>0</v>
      </c>
      <c r="V82" s="329">
        <v>0</v>
      </c>
      <c r="W82" s="329">
        <v>0</v>
      </c>
      <c r="X82" s="330">
        <v>2187</v>
      </c>
      <c r="Y82" s="330">
        <v>928</v>
      </c>
      <c r="Z82" s="330">
        <v>3115</v>
      </c>
    </row>
    <row r="83" spans="2:26" hidden="1" outlineLevel="1" x14ac:dyDescent="0.25">
      <c r="B83" s="304">
        <v>41091</v>
      </c>
      <c r="C83" s="329">
        <v>0</v>
      </c>
      <c r="D83" s="329">
        <v>0</v>
      </c>
      <c r="E83" s="329">
        <v>0</v>
      </c>
      <c r="F83" s="329">
        <v>0</v>
      </c>
      <c r="G83" s="329">
        <v>0</v>
      </c>
      <c r="H83" s="329">
        <v>0</v>
      </c>
      <c r="I83" s="329">
        <v>296</v>
      </c>
      <c r="J83" s="329">
        <v>48</v>
      </c>
      <c r="K83" s="329">
        <v>344</v>
      </c>
      <c r="L83" s="329">
        <v>471</v>
      </c>
      <c r="M83" s="329">
        <v>305</v>
      </c>
      <c r="N83" s="329">
        <v>776</v>
      </c>
      <c r="O83" s="329">
        <v>598</v>
      </c>
      <c r="P83" s="329">
        <v>136</v>
      </c>
      <c r="Q83" s="329">
        <v>734</v>
      </c>
      <c r="R83" s="329">
        <v>89</v>
      </c>
      <c r="S83" s="329">
        <v>22</v>
      </c>
      <c r="T83" s="329">
        <v>111</v>
      </c>
      <c r="U83" s="329">
        <v>0</v>
      </c>
      <c r="V83" s="329">
        <v>0</v>
      </c>
      <c r="W83" s="329">
        <v>0</v>
      </c>
      <c r="X83" s="330">
        <v>1454</v>
      </c>
      <c r="Y83" s="330">
        <v>511</v>
      </c>
      <c r="Z83" s="330">
        <v>1965</v>
      </c>
    </row>
    <row r="84" spans="2:26" hidden="1" outlineLevel="1" x14ac:dyDescent="0.25">
      <c r="B84" s="304">
        <v>41122</v>
      </c>
      <c r="C84" s="329">
        <v>0</v>
      </c>
      <c r="D84" s="329">
        <v>0</v>
      </c>
      <c r="E84" s="329">
        <v>0</v>
      </c>
      <c r="F84" s="329">
        <v>0</v>
      </c>
      <c r="G84" s="329">
        <v>0</v>
      </c>
      <c r="H84" s="329">
        <v>0</v>
      </c>
      <c r="I84" s="329">
        <v>484</v>
      </c>
      <c r="J84" s="329">
        <v>63</v>
      </c>
      <c r="K84" s="329">
        <v>547</v>
      </c>
      <c r="L84" s="329">
        <v>466</v>
      </c>
      <c r="M84" s="329">
        <v>329</v>
      </c>
      <c r="N84" s="329">
        <v>795</v>
      </c>
      <c r="O84" s="329">
        <v>738</v>
      </c>
      <c r="P84" s="329">
        <v>142</v>
      </c>
      <c r="Q84" s="329">
        <v>880</v>
      </c>
      <c r="R84" s="329">
        <v>78</v>
      </c>
      <c r="S84" s="329">
        <v>45</v>
      </c>
      <c r="T84" s="329">
        <v>123</v>
      </c>
      <c r="U84" s="329">
        <v>0</v>
      </c>
      <c r="V84" s="329">
        <v>0</v>
      </c>
      <c r="W84" s="329">
        <v>0</v>
      </c>
      <c r="X84" s="330">
        <v>1766</v>
      </c>
      <c r="Y84" s="330">
        <v>579</v>
      </c>
      <c r="Z84" s="330">
        <v>2345</v>
      </c>
    </row>
    <row r="85" spans="2:26" hidden="1" outlineLevel="1" x14ac:dyDescent="0.25">
      <c r="B85" s="304">
        <v>41153</v>
      </c>
      <c r="C85" s="329">
        <v>0</v>
      </c>
      <c r="D85" s="329">
        <v>0</v>
      </c>
      <c r="E85" s="329">
        <v>0</v>
      </c>
      <c r="F85" s="329">
        <v>0</v>
      </c>
      <c r="G85" s="329">
        <v>0</v>
      </c>
      <c r="H85" s="329">
        <v>0</v>
      </c>
      <c r="I85" s="329">
        <v>385</v>
      </c>
      <c r="J85" s="329">
        <v>43</v>
      </c>
      <c r="K85" s="329">
        <v>428</v>
      </c>
      <c r="L85" s="329">
        <v>568</v>
      </c>
      <c r="M85" s="329">
        <v>474</v>
      </c>
      <c r="N85" s="329">
        <v>1042</v>
      </c>
      <c r="O85" s="329">
        <v>532</v>
      </c>
      <c r="P85" s="329">
        <v>84</v>
      </c>
      <c r="Q85" s="329">
        <v>616</v>
      </c>
      <c r="R85" s="329">
        <v>52</v>
      </c>
      <c r="S85" s="329">
        <v>30</v>
      </c>
      <c r="T85" s="329">
        <v>82</v>
      </c>
      <c r="U85" s="329">
        <v>0</v>
      </c>
      <c r="V85" s="329">
        <v>0</v>
      </c>
      <c r="W85" s="329">
        <v>0</v>
      </c>
      <c r="X85" s="330">
        <v>1537</v>
      </c>
      <c r="Y85" s="330">
        <v>631</v>
      </c>
      <c r="Z85" s="330">
        <v>2168</v>
      </c>
    </row>
    <row r="86" spans="2:26" hidden="1" outlineLevel="1" x14ac:dyDescent="0.25">
      <c r="B86" s="304">
        <v>41183</v>
      </c>
      <c r="C86" s="329">
        <v>0</v>
      </c>
      <c r="D86" s="329">
        <v>0</v>
      </c>
      <c r="E86" s="329">
        <v>0</v>
      </c>
      <c r="F86" s="329">
        <v>0</v>
      </c>
      <c r="G86" s="329">
        <v>0</v>
      </c>
      <c r="H86" s="329">
        <v>0</v>
      </c>
      <c r="I86" s="329">
        <v>539</v>
      </c>
      <c r="J86" s="329">
        <v>78</v>
      </c>
      <c r="K86" s="329">
        <v>617</v>
      </c>
      <c r="L86" s="329">
        <v>486</v>
      </c>
      <c r="M86" s="329">
        <v>371</v>
      </c>
      <c r="N86" s="329">
        <v>857</v>
      </c>
      <c r="O86" s="329">
        <v>782</v>
      </c>
      <c r="P86" s="329">
        <v>126</v>
      </c>
      <c r="Q86" s="329">
        <v>908</v>
      </c>
      <c r="R86" s="329">
        <v>81</v>
      </c>
      <c r="S86" s="329">
        <v>37</v>
      </c>
      <c r="T86" s="329">
        <v>118</v>
      </c>
      <c r="U86" s="329">
        <v>0</v>
      </c>
      <c r="V86" s="329">
        <v>0</v>
      </c>
      <c r="W86" s="329">
        <v>0</v>
      </c>
      <c r="X86" s="330">
        <v>1888</v>
      </c>
      <c r="Y86" s="330">
        <v>612</v>
      </c>
      <c r="Z86" s="330">
        <v>2500</v>
      </c>
    </row>
    <row r="87" spans="2:26" hidden="1" outlineLevel="1" x14ac:dyDescent="0.25">
      <c r="B87" s="304">
        <v>41214</v>
      </c>
      <c r="C87" s="329">
        <v>0</v>
      </c>
      <c r="D87" s="329">
        <v>0</v>
      </c>
      <c r="E87" s="329">
        <v>0</v>
      </c>
      <c r="F87" s="329">
        <v>0</v>
      </c>
      <c r="G87" s="329">
        <v>0</v>
      </c>
      <c r="H87" s="329">
        <v>0</v>
      </c>
      <c r="I87" s="329">
        <v>187</v>
      </c>
      <c r="J87" s="329">
        <v>25</v>
      </c>
      <c r="K87" s="329">
        <v>212</v>
      </c>
      <c r="L87" s="329">
        <v>312</v>
      </c>
      <c r="M87" s="329">
        <v>244</v>
      </c>
      <c r="N87" s="329">
        <v>556</v>
      </c>
      <c r="O87" s="329">
        <v>610</v>
      </c>
      <c r="P87" s="329">
        <v>120</v>
      </c>
      <c r="Q87" s="329">
        <v>730</v>
      </c>
      <c r="R87" s="329">
        <v>65</v>
      </c>
      <c r="S87" s="329">
        <v>31</v>
      </c>
      <c r="T87" s="329">
        <v>96</v>
      </c>
      <c r="U87" s="329">
        <v>0</v>
      </c>
      <c r="V87" s="329">
        <v>0</v>
      </c>
      <c r="W87" s="329">
        <v>0</v>
      </c>
      <c r="X87" s="330">
        <v>1174</v>
      </c>
      <c r="Y87" s="330">
        <v>420</v>
      </c>
      <c r="Z87" s="330">
        <v>1594</v>
      </c>
    </row>
    <row r="88" spans="2:26" collapsed="1" x14ac:dyDescent="0.25">
      <c r="B88" s="304">
        <v>41244</v>
      </c>
      <c r="C88" s="329">
        <v>0</v>
      </c>
      <c r="D88" s="329">
        <v>0</v>
      </c>
      <c r="E88" s="329">
        <v>0</v>
      </c>
      <c r="F88" s="329">
        <v>0</v>
      </c>
      <c r="G88" s="329">
        <v>0</v>
      </c>
      <c r="H88" s="329">
        <v>0</v>
      </c>
      <c r="I88" s="329">
        <v>193</v>
      </c>
      <c r="J88" s="329">
        <v>38</v>
      </c>
      <c r="K88" s="329">
        <v>231</v>
      </c>
      <c r="L88" s="329">
        <v>550</v>
      </c>
      <c r="M88" s="329">
        <v>465</v>
      </c>
      <c r="N88" s="329">
        <v>1015</v>
      </c>
      <c r="O88" s="329">
        <v>517</v>
      </c>
      <c r="P88" s="329">
        <v>129</v>
      </c>
      <c r="Q88" s="329">
        <v>646</v>
      </c>
      <c r="R88" s="329">
        <v>37</v>
      </c>
      <c r="S88" s="329">
        <v>17</v>
      </c>
      <c r="T88" s="329">
        <v>54</v>
      </c>
      <c r="U88" s="329">
        <v>0</v>
      </c>
      <c r="V88" s="329">
        <v>0</v>
      </c>
      <c r="W88" s="329">
        <v>0</v>
      </c>
      <c r="X88" s="330">
        <v>1297</v>
      </c>
      <c r="Y88" s="330">
        <v>649</v>
      </c>
      <c r="Z88" s="330">
        <v>1946</v>
      </c>
    </row>
    <row r="89" spans="2:26" hidden="1" outlineLevel="1" x14ac:dyDescent="0.25">
      <c r="B89" s="304">
        <v>41275</v>
      </c>
      <c r="C89" s="329">
        <v>0</v>
      </c>
      <c r="D89" s="329">
        <v>0</v>
      </c>
      <c r="E89" s="329">
        <v>0</v>
      </c>
      <c r="F89" s="329">
        <v>0</v>
      </c>
      <c r="G89" s="329">
        <v>0</v>
      </c>
      <c r="H89" s="329">
        <v>0</v>
      </c>
      <c r="I89" s="329">
        <v>193</v>
      </c>
      <c r="J89" s="329">
        <v>41</v>
      </c>
      <c r="K89" s="329">
        <v>234</v>
      </c>
      <c r="L89" s="329">
        <v>666</v>
      </c>
      <c r="M89" s="329">
        <v>514</v>
      </c>
      <c r="N89" s="329">
        <v>1180</v>
      </c>
      <c r="O89" s="329">
        <v>499</v>
      </c>
      <c r="P89" s="329">
        <v>115</v>
      </c>
      <c r="Q89" s="329">
        <v>614</v>
      </c>
      <c r="R89" s="329">
        <v>47</v>
      </c>
      <c r="S89" s="329">
        <v>36</v>
      </c>
      <c r="T89" s="329">
        <v>83</v>
      </c>
      <c r="U89" s="329">
        <v>0</v>
      </c>
      <c r="V89" s="329">
        <v>0</v>
      </c>
      <c r="W89" s="329">
        <v>0</v>
      </c>
      <c r="X89" s="330">
        <v>1405</v>
      </c>
      <c r="Y89" s="330">
        <v>706</v>
      </c>
      <c r="Z89" s="330">
        <v>2111</v>
      </c>
    </row>
    <row r="90" spans="2:26" hidden="1" outlineLevel="1" x14ac:dyDescent="0.25">
      <c r="B90" s="304">
        <v>41306</v>
      </c>
      <c r="C90" s="329">
        <v>0</v>
      </c>
      <c r="D90" s="329">
        <v>0</v>
      </c>
      <c r="E90" s="329">
        <v>0</v>
      </c>
      <c r="F90" s="329">
        <v>0</v>
      </c>
      <c r="G90" s="329">
        <v>0</v>
      </c>
      <c r="H90" s="329">
        <v>0</v>
      </c>
      <c r="I90" s="329">
        <v>155</v>
      </c>
      <c r="J90" s="329">
        <v>41</v>
      </c>
      <c r="K90" s="329">
        <v>196</v>
      </c>
      <c r="L90" s="329">
        <v>425</v>
      </c>
      <c r="M90" s="329">
        <v>304</v>
      </c>
      <c r="N90" s="329">
        <v>729</v>
      </c>
      <c r="O90" s="329">
        <v>456</v>
      </c>
      <c r="P90" s="329">
        <v>104</v>
      </c>
      <c r="Q90" s="329">
        <v>560</v>
      </c>
      <c r="R90" s="329">
        <v>37</v>
      </c>
      <c r="S90" s="329">
        <v>16</v>
      </c>
      <c r="T90" s="329">
        <v>53</v>
      </c>
      <c r="U90" s="329">
        <v>0</v>
      </c>
      <c r="V90" s="329">
        <v>0</v>
      </c>
      <c r="W90" s="329">
        <v>0</v>
      </c>
      <c r="X90" s="330">
        <v>1073</v>
      </c>
      <c r="Y90" s="330">
        <v>465</v>
      </c>
      <c r="Z90" s="330">
        <v>1538</v>
      </c>
    </row>
    <row r="91" spans="2:26" hidden="1" outlineLevel="1" x14ac:dyDescent="0.25">
      <c r="B91" s="304">
        <v>41334</v>
      </c>
      <c r="C91" s="329">
        <v>0</v>
      </c>
      <c r="D91" s="329">
        <v>0</v>
      </c>
      <c r="E91" s="329">
        <v>0</v>
      </c>
      <c r="F91" s="329">
        <v>0</v>
      </c>
      <c r="G91" s="329">
        <v>0</v>
      </c>
      <c r="H91" s="329">
        <v>0</v>
      </c>
      <c r="I91" s="329">
        <v>107</v>
      </c>
      <c r="J91" s="329">
        <v>25</v>
      </c>
      <c r="K91" s="329">
        <v>132</v>
      </c>
      <c r="L91" s="329">
        <v>328</v>
      </c>
      <c r="M91" s="329">
        <v>285</v>
      </c>
      <c r="N91" s="329">
        <v>613</v>
      </c>
      <c r="O91" s="329">
        <v>594</v>
      </c>
      <c r="P91" s="329">
        <v>121</v>
      </c>
      <c r="Q91" s="329">
        <v>715</v>
      </c>
      <c r="R91" s="329">
        <v>61</v>
      </c>
      <c r="S91" s="329">
        <v>31</v>
      </c>
      <c r="T91" s="329">
        <v>92</v>
      </c>
      <c r="U91" s="329">
        <v>0</v>
      </c>
      <c r="V91" s="329">
        <v>0</v>
      </c>
      <c r="W91" s="329">
        <v>0</v>
      </c>
      <c r="X91" s="330">
        <v>1090</v>
      </c>
      <c r="Y91" s="330">
        <v>462</v>
      </c>
      <c r="Z91" s="330">
        <v>1552</v>
      </c>
    </row>
    <row r="92" spans="2:26" hidden="1" outlineLevel="1" x14ac:dyDescent="0.25">
      <c r="B92" s="304">
        <v>41365</v>
      </c>
      <c r="C92" s="329">
        <v>0</v>
      </c>
      <c r="D92" s="329">
        <v>0</v>
      </c>
      <c r="E92" s="329">
        <v>0</v>
      </c>
      <c r="F92" s="329">
        <v>0</v>
      </c>
      <c r="G92" s="329">
        <v>0</v>
      </c>
      <c r="H92" s="329">
        <v>0</v>
      </c>
      <c r="I92" s="329">
        <v>128</v>
      </c>
      <c r="J92" s="329">
        <v>30</v>
      </c>
      <c r="K92" s="329">
        <v>158</v>
      </c>
      <c r="L92" s="329">
        <v>271</v>
      </c>
      <c r="M92" s="329">
        <v>256</v>
      </c>
      <c r="N92" s="329">
        <v>527</v>
      </c>
      <c r="O92" s="329">
        <v>663</v>
      </c>
      <c r="P92" s="329">
        <v>127</v>
      </c>
      <c r="Q92" s="329">
        <v>790</v>
      </c>
      <c r="R92" s="329">
        <v>63</v>
      </c>
      <c r="S92" s="329">
        <v>37</v>
      </c>
      <c r="T92" s="329">
        <v>100</v>
      </c>
      <c r="U92" s="329">
        <v>0</v>
      </c>
      <c r="V92" s="329">
        <v>0</v>
      </c>
      <c r="W92" s="329">
        <v>0</v>
      </c>
      <c r="X92" s="330">
        <v>1125</v>
      </c>
      <c r="Y92" s="330">
        <v>450</v>
      </c>
      <c r="Z92" s="330">
        <v>1575</v>
      </c>
    </row>
    <row r="93" spans="2:26" hidden="1" outlineLevel="1" x14ac:dyDescent="0.25">
      <c r="B93" s="304">
        <v>41395</v>
      </c>
      <c r="C93" s="329">
        <v>0</v>
      </c>
      <c r="D93" s="329">
        <v>0</v>
      </c>
      <c r="E93" s="329">
        <v>0</v>
      </c>
      <c r="F93" s="329">
        <v>0</v>
      </c>
      <c r="G93" s="329">
        <v>0</v>
      </c>
      <c r="H93" s="329">
        <v>0</v>
      </c>
      <c r="I93" s="329">
        <v>92</v>
      </c>
      <c r="J93" s="329">
        <v>37</v>
      </c>
      <c r="K93" s="329">
        <v>129</v>
      </c>
      <c r="L93" s="329">
        <v>245</v>
      </c>
      <c r="M93" s="329">
        <v>361</v>
      </c>
      <c r="N93" s="329">
        <v>606</v>
      </c>
      <c r="O93" s="329">
        <v>544</v>
      </c>
      <c r="P93" s="329">
        <v>89</v>
      </c>
      <c r="Q93" s="329">
        <v>633</v>
      </c>
      <c r="R93" s="329">
        <v>68</v>
      </c>
      <c r="S93" s="329">
        <v>35</v>
      </c>
      <c r="T93" s="329">
        <v>103</v>
      </c>
      <c r="U93" s="329">
        <v>0</v>
      </c>
      <c r="V93" s="329">
        <v>0</v>
      </c>
      <c r="W93" s="329">
        <v>0</v>
      </c>
      <c r="X93" s="330">
        <v>949</v>
      </c>
      <c r="Y93" s="330">
        <v>522</v>
      </c>
      <c r="Z93" s="330">
        <v>1471</v>
      </c>
    </row>
    <row r="94" spans="2:26" hidden="1" outlineLevel="1" x14ac:dyDescent="0.25">
      <c r="B94" s="304">
        <v>41426</v>
      </c>
      <c r="C94" s="329">
        <v>0</v>
      </c>
      <c r="D94" s="329">
        <v>0</v>
      </c>
      <c r="E94" s="329">
        <v>0</v>
      </c>
      <c r="F94" s="329">
        <v>0</v>
      </c>
      <c r="G94" s="329">
        <v>0</v>
      </c>
      <c r="H94" s="329">
        <v>0</v>
      </c>
      <c r="I94" s="329">
        <v>274</v>
      </c>
      <c r="J94" s="329">
        <v>68</v>
      </c>
      <c r="K94" s="329">
        <v>342</v>
      </c>
      <c r="L94" s="329">
        <v>632</v>
      </c>
      <c r="M94" s="329">
        <v>542</v>
      </c>
      <c r="N94" s="329">
        <v>1174</v>
      </c>
      <c r="O94" s="329">
        <v>567</v>
      </c>
      <c r="P94" s="329">
        <v>119</v>
      </c>
      <c r="Q94" s="329">
        <v>686</v>
      </c>
      <c r="R94" s="329">
        <v>88</v>
      </c>
      <c r="S94" s="329">
        <v>42</v>
      </c>
      <c r="T94" s="329">
        <v>130</v>
      </c>
      <c r="U94" s="329">
        <v>0</v>
      </c>
      <c r="V94" s="329">
        <v>0</v>
      </c>
      <c r="W94" s="329">
        <v>0</v>
      </c>
      <c r="X94" s="330">
        <v>1561</v>
      </c>
      <c r="Y94" s="330">
        <v>771</v>
      </c>
      <c r="Z94" s="330">
        <v>2332</v>
      </c>
    </row>
    <row r="95" spans="2:26" hidden="1" outlineLevel="1" x14ac:dyDescent="0.25">
      <c r="B95" s="304">
        <v>41456</v>
      </c>
      <c r="C95" s="329">
        <v>0</v>
      </c>
      <c r="D95" s="329">
        <v>0</v>
      </c>
      <c r="E95" s="329">
        <v>0</v>
      </c>
      <c r="F95" s="329">
        <v>0</v>
      </c>
      <c r="G95" s="329">
        <v>0</v>
      </c>
      <c r="H95" s="329">
        <v>0</v>
      </c>
      <c r="I95" s="329">
        <v>83</v>
      </c>
      <c r="J95" s="329">
        <v>36</v>
      </c>
      <c r="K95" s="329">
        <v>119</v>
      </c>
      <c r="L95" s="329">
        <v>207</v>
      </c>
      <c r="M95" s="329">
        <v>222</v>
      </c>
      <c r="N95" s="329">
        <v>429</v>
      </c>
      <c r="O95" s="329">
        <v>552</v>
      </c>
      <c r="P95" s="329">
        <v>105</v>
      </c>
      <c r="Q95" s="329">
        <v>657</v>
      </c>
      <c r="R95" s="329">
        <v>54</v>
      </c>
      <c r="S95" s="329">
        <v>39</v>
      </c>
      <c r="T95" s="329">
        <v>93</v>
      </c>
      <c r="U95" s="329">
        <v>0</v>
      </c>
      <c r="V95" s="329">
        <v>0</v>
      </c>
      <c r="W95" s="329">
        <v>0</v>
      </c>
      <c r="X95" s="330">
        <v>896</v>
      </c>
      <c r="Y95" s="330">
        <v>402</v>
      </c>
      <c r="Z95" s="330">
        <v>1298</v>
      </c>
    </row>
    <row r="96" spans="2:26" hidden="1" outlineLevel="1" x14ac:dyDescent="0.25">
      <c r="B96" s="304">
        <v>41487</v>
      </c>
      <c r="C96" s="329">
        <v>0</v>
      </c>
      <c r="D96" s="329">
        <v>0</v>
      </c>
      <c r="E96" s="329">
        <v>0</v>
      </c>
      <c r="F96" s="329">
        <v>0</v>
      </c>
      <c r="G96" s="329">
        <v>0</v>
      </c>
      <c r="H96" s="329">
        <v>0</v>
      </c>
      <c r="I96" s="329">
        <v>137</v>
      </c>
      <c r="J96" s="329">
        <v>42</v>
      </c>
      <c r="K96" s="329">
        <v>179</v>
      </c>
      <c r="L96" s="329">
        <v>751</v>
      </c>
      <c r="M96" s="329">
        <v>569</v>
      </c>
      <c r="N96" s="329">
        <v>1320</v>
      </c>
      <c r="O96" s="329">
        <v>604</v>
      </c>
      <c r="P96" s="329">
        <v>108</v>
      </c>
      <c r="Q96" s="329">
        <v>712</v>
      </c>
      <c r="R96" s="329">
        <v>94</v>
      </c>
      <c r="S96" s="329">
        <v>44</v>
      </c>
      <c r="T96" s="329">
        <v>138</v>
      </c>
      <c r="U96" s="329">
        <v>0</v>
      </c>
      <c r="V96" s="329">
        <v>0</v>
      </c>
      <c r="W96" s="329">
        <v>0</v>
      </c>
      <c r="X96" s="330">
        <v>1586</v>
      </c>
      <c r="Y96" s="330">
        <v>763</v>
      </c>
      <c r="Z96" s="330">
        <v>2349</v>
      </c>
    </row>
    <row r="97" spans="2:26" hidden="1" outlineLevel="1" x14ac:dyDescent="0.25">
      <c r="B97" s="304">
        <v>41518</v>
      </c>
      <c r="C97" s="329">
        <v>0</v>
      </c>
      <c r="D97" s="329">
        <v>0</v>
      </c>
      <c r="E97" s="329">
        <v>0</v>
      </c>
      <c r="F97" s="329">
        <v>0</v>
      </c>
      <c r="G97" s="329">
        <v>0</v>
      </c>
      <c r="H97" s="329">
        <v>0</v>
      </c>
      <c r="I97" s="329">
        <v>287</v>
      </c>
      <c r="J97" s="329">
        <v>79</v>
      </c>
      <c r="K97" s="329">
        <v>366</v>
      </c>
      <c r="L97" s="329">
        <v>661</v>
      </c>
      <c r="M97" s="329">
        <v>468</v>
      </c>
      <c r="N97" s="329">
        <v>1129</v>
      </c>
      <c r="O97" s="329">
        <v>444</v>
      </c>
      <c r="P97" s="329">
        <v>87</v>
      </c>
      <c r="Q97" s="329">
        <v>531</v>
      </c>
      <c r="R97" s="329">
        <v>93</v>
      </c>
      <c r="S97" s="329">
        <v>28</v>
      </c>
      <c r="T97" s="329">
        <v>121</v>
      </c>
      <c r="U97" s="329">
        <v>0</v>
      </c>
      <c r="V97" s="329">
        <v>0</v>
      </c>
      <c r="W97" s="329">
        <v>0</v>
      </c>
      <c r="X97" s="330">
        <v>1485</v>
      </c>
      <c r="Y97" s="330">
        <v>662</v>
      </c>
      <c r="Z97" s="330">
        <v>2147</v>
      </c>
    </row>
    <row r="98" spans="2:26" hidden="1" outlineLevel="1" x14ac:dyDescent="0.25">
      <c r="B98" s="304">
        <v>41548</v>
      </c>
      <c r="C98" s="329">
        <v>0</v>
      </c>
      <c r="D98" s="329">
        <v>0</v>
      </c>
      <c r="E98" s="329">
        <v>0</v>
      </c>
      <c r="F98" s="329">
        <v>0</v>
      </c>
      <c r="G98" s="329">
        <v>0</v>
      </c>
      <c r="H98" s="329">
        <v>0</v>
      </c>
      <c r="I98" s="329">
        <v>412</v>
      </c>
      <c r="J98" s="329">
        <v>93</v>
      </c>
      <c r="K98" s="329">
        <v>505</v>
      </c>
      <c r="L98" s="329">
        <v>790</v>
      </c>
      <c r="M98" s="329">
        <v>523</v>
      </c>
      <c r="N98" s="329">
        <v>1313</v>
      </c>
      <c r="O98" s="329">
        <v>564</v>
      </c>
      <c r="P98" s="329">
        <v>108</v>
      </c>
      <c r="Q98" s="329">
        <v>672</v>
      </c>
      <c r="R98" s="329">
        <v>109</v>
      </c>
      <c r="S98" s="329">
        <v>40</v>
      </c>
      <c r="T98" s="329">
        <v>149</v>
      </c>
      <c r="U98" s="329">
        <v>0</v>
      </c>
      <c r="V98" s="329">
        <v>0</v>
      </c>
      <c r="W98" s="329">
        <v>0</v>
      </c>
      <c r="X98" s="330">
        <v>1875</v>
      </c>
      <c r="Y98" s="330">
        <v>764</v>
      </c>
      <c r="Z98" s="330">
        <v>2639</v>
      </c>
    </row>
    <row r="99" spans="2:26" hidden="1" outlineLevel="1" x14ac:dyDescent="0.25">
      <c r="B99" s="304">
        <v>41579</v>
      </c>
      <c r="C99" s="329">
        <v>0</v>
      </c>
      <c r="D99" s="329">
        <v>0</v>
      </c>
      <c r="E99" s="329">
        <v>0</v>
      </c>
      <c r="F99" s="329">
        <v>0</v>
      </c>
      <c r="G99" s="329">
        <v>0</v>
      </c>
      <c r="H99" s="329">
        <v>0</v>
      </c>
      <c r="I99" s="329">
        <v>193</v>
      </c>
      <c r="J99" s="329">
        <v>53</v>
      </c>
      <c r="K99" s="329">
        <v>246</v>
      </c>
      <c r="L99" s="329">
        <v>471</v>
      </c>
      <c r="M99" s="329">
        <v>402</v>
      </c>
      <c r="N99" s="329">
        <v>873</v>
      </c>
      <c r="O99" s="329">
        <v>295</v>
      </c>
      <c r="P99" s="329">
        <v>73</v>
      </c>
      <c r="Q99" s="329">
        <v>368</v>
      </c>
      <c r="R99" s="329">
        <v>33</v>
      </c>
      <c r="S99" s="329">
        <v>9</v>
      </c>
      <c r="T99" s="329">
        <v>42</v>
      </c>
      <c r="U99" s="329">
        <v>0</v>
      </c>
      <c r="V99" s="329">
        <v>0</v>
      </c>
      <c r="W99" s="329">
        <v>0</v>
      </c>
      <c r="X99" s="330">
        <v>992</v>
      </c>
      <c r="Y99" s="330">
        <v>537</v>
      </c>
      <c r="Z99" s="330">
        <v>1529</v>
      </c>
    </row>
    <row r="100" spans="2:26" collapsed="1" x14ac:dyDescent="0.25">
      <c r="B100" s="304">
        <v>41609</v>
      </c>
      <c r="C100" s="329">
        <v>0</v>
      </c>
      <c r="D100" s="329">
        <v>0</v>
      </c>
      <c r="E100" s="329">
        <v>0</v>
      </c>
      <c r="F100" s="329">
        <v>0</v>
      </c>
      <c r="G100" s="329">
        <v>0</v>
      </c>
      <c r="H100" s="329">
        <v>0</v>
      </c>
      <c r="I100" s="329">
        <v>398</v>
      </c>
      <c r="J100" s="329">
        <v>107</v>
      </c>
      <c r="K100" s="329">
        <v>505</v>
      </c>
      <c r="L100" s="329">
        <v>713</v>
      </c>
      <c r="M100" s="329">
        <v>611</v>
      </c>
      <c r="N100" s="329">
        <v>1324</v>
      </c>
      <c r="O100" s="329">
        <v>583</v>
      </c>
      <c r="P100" s="329">
        <v>136</v>
      </c>
      <c r="Q100" s="329">
        <v>719</v>
      </c>
      <c r="R100" s="329">
        <v>61</v>
      </c>
      <c r="S100" s="329">
        <v>16</v>
      </c>
      <c r="T100" s="329">
        <v>77</v>
      </c>
      <c r="U100" s="329">
        <v>0</v>
      </c>
      <c r="V100" s="329">
        <v>0</v>
      </c>
      <c r="W100" s="329">
        <v>0</v>
      </c>
      <c r="X100" s="330">
        <v>1755</v>
      </c>
      <c r="Y100" s="330">
        <v>870</v>
      </c>
      <c r="Z100" s="330">
        <v>2625</v>
      </c>
    </row>
    <row r="101" spans="2:26" hidden="1" outlineLevel="1" x14ac:dyDescent="0.25">
      <c r="B101" s="304">
        <v>41640</v>
      </c>
      <c r="C101" s="329">
        <v>0</v>
      </c>
      <c r="D101" s="329">
        <v>0</v>
      </c>
      <c r="E101" s="329">
        <v>0</v>
      </c>
      <c r="F101" s="329">
        <v>0</v>
      </c>
      <c r="G101" s="329">
        <v>0</v>
      </c>
      <c r="H101" s="329">
        <v>0</v>
      </c>
      <c r="I101" s="329">
        <v>422</v>
      </c>
      <c r="J101" s="329">
        <v>90</v>
      </c>
      <c r="K101" s="329">
        <v>512</v>
      </c>
      <c r="L101" s="329">
        <v>770</v>
      </c>
      <c r="M101" s="329">
        <v>586</v>
      </c>
      <c r="N101" s="329">
        <v>1356</v>
      </c>
      <c r="O101" s="329">
        <v>516</v>
      </c>
      <c r="P101" s="329">
        <v>91</v>
      </c>
      <c r="Q101" s="329">
        <v>607</v>
      </c>
      <c r="R101" s="329">
        <v>47</v>
      </c>
      <c r="S101" s="329">
        <v>15</v>
      </c>
      <c r="T101" s="329">
        <v>62</v>
      </c>
      <c r="U101" s="329">
        <v>0</v>
      </c>
      <c r="V101" s="329">
        <v>0</v>
      </c>
      <c r="W101" s="329">
        <v>0</v>
      </c>
      <c r="X101" s="330">
        <v>1755</v>
      </c>
      <c r="Y101" s="330">
        <v>782</v>
      </c>
      <c r="Z101" s="330">
        <v>2537</v>
      </c>
    </row>
    <row r="102" spans="2:26" hidden="1" outlineLevel="1" x14ac:dyDescent="0.25">
      <c r="B102" s="304">
        <v>41671</v>
      </c>
      <c r="C102" s="329">
        <v>0</v>
      </c>
      <c r="D102" s="329">
        <v>0</v>
      </c>
      <c r="E102" s="329">
        <v>0</v>
      </c>
      <c r="F102" s="329">
        <v>0</v>
      </c>
      <c r="G102" s="329">
        <v>0</v>
      </c>
      <c r="H102" s="329">
        <v>0</v>
      </c>
      <c r="I102" s="329">
        <v>520</v>
      </c>
      <c r="J102" s="329">
        <v>102</v>
      </c>
      <c r="K102" s="329">
        <v>622</v>
      </c>
      <c r="L102" s="329">
        <v>696</v>
      </c>
      <c r="M102" s="329">
        <v>535</v>
      </c>
      <c r="N102" s="329">
        <v>1231</v>
      </c>
      <c r="O102" s="329">
        <v>400</v>
      </c>
      <c r="P102" s="329">
        <v>93</v>
      </c>
      <c r="Q102" s="329">
        <v>493</v>
      </c>
      <c r="R102" s="329">
        <v>38</v>
      </c>
      <c r="S102" s="329">
        <v>17</v>
      </c>
      <c r="T102" s="329">
        <v>55</v>
      </c>
      <c r="U102" s="329">
        <v>0</v>
      </c>
      <c r="V102" s="329">
        <v>0</v>
      </c>
      <c r="W102" s="329">
        <v>0</v>
      </c>
      <c r="X102" s="330">
        <v>1654</v>
      </c>
      <c r="Y102" s="330">
        <v>747</v>
      </c>
      <c r="Z102" s="330">
        <v>2401</v>
      </c>
    </row>
    <row r="103" spans="2:26" hidden="1" outlineLevel="1" x14ac:dyDescent="0.25">
      <c r="B103" s="304">
        <v>41699</v>
      </c>
      <c r="C103" s="329">
        <v>0</v>
      </c>
      <c r="D103" s="329">
        <v>0</v>
      </c>
      <c r="E103" s="329">
        <v>0</v>
      </c>
      <c r="F103" s="329">
        <v>0</v>
      </c>
      <c r="G103" s="329">
        <v>0</v>
      </c>
      <c r="H103" s="329">
        <v>0</v>
      </c>
      <c r="I103" s="329">
        <v>655</v>
      </c>
      <c r="J103" s="329">
        <v>116</v>
      </c>
      <c r="K103" s="329">
        <v>771</v>
      </c>
      <c r="L103" s="329">
        <v>898</v>
      </c>
      <c r="M103" s="329">
        <v>618</v>
      </c>
      <c r="N103" s="329">
        <v>1516</v>
      </c>
      <c r="O103" s="329">
        <v>565</v>
      </c>
      <c r="P103" s="329">
        <v>125</v>
      </c>
      <c r="Q103" s="329">
        <v>690</v>
      </c>
      <c r="R103" s="329">
        <v>72</v>
      </c>
      <c r="S103" s="329">
        <v>20</v>
      </c>
      <c r="T103" s="329">
        <v>92</v>
      </c>
      <c r="U103" s="329">
        <v>0</v>
      </c>
      <c r="V103" s="329">
        <v>0</v>
      </c>
      <c r="W103" s="329">
        <v>0</v>
      </c>
      <c r="X103" s="330">
        <v>2190</v>
      </c>
      <c r="Y103" s="330">
        <v>879</v>
      </c>
      <c r="Z103" s="330">
        <v>3069</v>
      </c>
    </row>
    <row r="104" spans="2:26" hidden="1" outlineLevel="1" x14ac:dyDescent="0.25">
      <c r="B104" s="304">
        <v>41730</v>
      </c>
      <c r="C104" s="329">
        <v>0</v>
      </c>
      <c r="D104" s="329">
        <v>0</v>
      </c>
      <c r="E104" s="329">
        <v>0</v>
      </c>
      <c r="F104" s="329">
        <v>0</v>
      </c>
      <c r="G104" s="329">
        <v>0</v>
      </c>
      <c r="H104" s="329">
        <v>0</v>
      </c>
      <c r="I104" s="329">
        <v>613</v>
      </c>
      <c r="J104" s="329">
        <v>98</v>
      </c>
      <c r="K104" s="329">
        <v>711</v>
      </c>
      <c r="L104" s="329">
        <v>858</v>
      </c>
      <c r="M104" s="329">
        <v>656</v>
      </c>
      <c r="N104" s="329">
        <v>1514</v>
      </c>
      <c r="O104" s="329">
        <v>530</v>
      </c>
      <c r="P104" s="329">
        <v>113</v>
      </c>
      <c r="Q104" s="329">
        <v>643</v>
      </c>
      <c r="R104" s="329">
        <v>50</v>
      </c>
      <c r="S104" s="329">
        <v>23</v>
      </c>
      <c r="T104" s="329">
        <v>73</v>
      </c>
      <c r="U104" s="329">
        <v>0</v>
      </c>
      <c r="V104" s="329">
        <v>0</v>
      </c>
      <c r="W104" s="329">
        <v>0</v>
      </c>
      <c r="X104" s="330">
        <v>2051</v>
      </c>
      <c r="Y104" s="330">
        <v>890</v>
      </c>
      <c r="Z104" s="330">
        <v>2941</v>
      </c>
    </row>
    <row r="105" spans="2:26" hidden="1" outlineLevel="1" x14ac:dyDescent="0.25">
      <c r="B105" s="304">
        <v>41760</v>
      </c>
      <c r="C105" s="329">
        <v>0</v>
      </c>
      <c r="D105" s="329">
        <v>0</v>
      </c>
      <c r="E105" s="329">
        <v>0</v>
      </c>
      <c r="F105" s="329">
        <v>0</v>
      </c>
      <c r="G105" s="329">
        <v>0</v>
      </c>
      <c r="H105" s="329">
        <v>0</v>
      </c>
      <c r="I105" s="329">
        <v>597</v>
      </c>
      <c r="J105" s="329">
        <v>121</v>
      </c>
      <c r="K105" s="329">
        <v>718</v>
      </c>
      <c r="L105" s="329">
        <v>1066</v>
      </c>
      <c r="M105" s="329">
        <v>1088</v>
      </c>
      <c r="N105" s="329">
        <v>2154</v>
      </c>
      <c r="O105" s="329">
        <v>556</v>
      </c>
      <c r="P105" s="329">
        <v>95</v>
      </c>
      <c r="Q105" s="329">
        <v>651</v>
      </c>
      <c r="R105" s="329">
        <v>62</v>
      </c>
      <c r="S105" s="329">
        <v>16</v>
      </c>
      <c r="T105" s="329">
        <v>78</v>
      </c>
      <c r="U105" s="329">
        <v>0</v>
      </c>
      <c r="V105" s="329">
        <v>0</v>
      </c>
      <c r="W105" s="329">
        <v>0</v>
      </c>
      <c r="X105" s="330">
        <v>2281</v>
      </c>
      <c r="Y105" s="330">
        <v>1320</v>
      </c>
      <c r="Z105" s="330">
        <v>3601</v>
      </c>
    </row>
    <row r="106" spans="2:26" hidden="1" outlineLevel="1" x14ac:dyDescent="0.25">
      <c r="B106" s="304">
        <v>41791</v>
      </c>
      <c r="C106" s="329">
        <v>0</v>
      </c>
      <c r="D106" s="329">
        <v>0</v>
      </c>
      <c r="E106" s="329">
        <v>0</v>
      </c>
      <c r="F106" s="329">
        <v>0</v>
      </c>
      <c r="G106" s="329">
        <v>0</v>
      </c>
      <c r="H106" s="329">
        <v>0</v>
      </c>
      <c r="I106" s="329">
        <v>450</v>
      </c>
      <c r="J106" s="329">
        <v>110</v>
      </c>
      <c r="K106" s="329">
        <v>560</v>
      </c>
      <c r="L106" s="329">
        <v>834</v>
      </c>
      <c r="M106" s="329">
        <v>765</v>
      </c>
      <c r="N106" s="329">
        <v>1599</v>
      </c>
      <c r="O106" s="329">
        <v>499</v>
      </c>
      <c r="P106" s="329">
        <v>106</v>
      </c>
      <c r="Q106" s="329">
        <v>605</v>
      </c>
      <c r="R106" s="329">
        <v>59</v>
      </c>
      <c r="S106" s="329">
        <v>30</v>
      </c>
      <c r="T106" s="329">
        <v>89</v>
      </c>
      <c r="U106" s="329">
        <v>0</v>
      </c>
      <c r="V106" s="329">
        <v>0</v>
      </c>
      <c r="W106" s="329">
        <v>0</v>
      </c>
      <c r="X106" s="330">
        <v>1842</v>
      </c>
      <c r="Y106" s="330">
        <v>1011</v>
      </c>
      <c r="Z106" s="330">
        <v>2853</v>
      </c>
    </row>
    <row r="107" spans="2:26" hidden="1" outlineLevel="1" x14ac:dyDescent="0.25">
      <c r="B107" s="304">
        <v>41821</v>
      </c>
      <c r="C107" s="329">
        <v>0</v>
      </c>
      <c r="D107" s="329">
        <v>0</v>
      </c>
      <c r="E107" s="329">
        <v>0</v>
      </c>
      <c r="F107" s="329">
        <v>0</v>
      </c>
      <c r="G107" s="329">
        <v>0</v>
      </c>
      <c r="H107" s="329">
        <v>0</v>
      </c>
      <c r="I107" s="329">
        <v>502</v>
      </c>
      <c r="J107" s="329">
        <v>90</v>
      </c>
      <c r="K107" s="329">
        <v>592</v>
      </c>
      <c r="L107" s="329">
        <v>835</v>
      </c>
      <c r="M107" s="329">
        <v>705</v>
      </c>
      <c r="N107" s="329">
        <v>1540</v>
      </c>
      <c r="O107" s="329">
        <v>559</v>
      </c>
      <c r="P107" s="329">
        <v>102</v>
      </c>
      <c r="Q107" s="329">
        <v>661</v>
      </c>
      <c r="R107" s="329">
        <v>46</v>
      </c>
      <c r="S107" s="329">
        <v>16</v>
      </c>
      <c r="T107" s="329">
        <v>62</v>
      </c>
      <c r="U107" s="329">
        <v>0</v>
      </c>
      <c r="V107" s="329">
        <v>0</v>
      </c>
      <c r="W107" s="329">
        <v>0</v>
      </c>
      <c r="X107" s="330">
        <v>1942</v>
      </c>
      <c r="Y107" s="330">
        <v>913</v>
      </c>
      <c r="Z107" s="330">
        <v>2855</v>
      </c>
    </row>
    <row r="108" spans="2:26" hidden="1" outlineLevel="1" x14ac:dyDescent="0.25">
      <c r="B108" s="304">
        <v>41852</v>
      </c>
      <c r="C108" s="329">
        <v>0</v>
      </c>
      <c r="D108" s="329">
        <v>0</v>
      </c>
      <c r="E108" s="329">
        <v>0</v>
      </c>
      <c r="F108" s="329">
        <v>0</v>
      </c>
      <c r="G108" s="329">
        <v>0</v>
      </c>
      <c r="H108" s="329">
        <v>0</v>
      </c>
      <c r="I108" s="329">
        <v>538</v>
      </c>
      <c r="J108" s="329">
        <v>120</v>
      </c>
      <c r="K108" s="329">
        <v>658</v>
      </c>
      <c r="L108" s="329">
        <v>929</v>
      </c>
      <c r="M108" s="329">
        <v>797</v>
      </c>
      <c r="N108" s="329">
        <v>1726</v>
      </c>
      <c r="O108" s="329">
        <v>599</v>
      </c>
      <c r="P108" s="329">
        <v>117</v>
      </c>
      <c r="Q108" s="329">
        <v>716</v>
      </c>
      <c r="R108" s="329">
        <v>50</v>
      </c>
      <c r="S108" s="329">
        <v>14</v>
      </c>
      <c r="T108" s="329">
        <v>64</v>
      </c>
      <c r="U108" s="329">
        <v>0</v>
      </c>
      <c r="V108" s="329">
        <v>0</v>
      </c>
      <c r="W108" s="329">
        <v>0</v>
      </c>
      <c r="X108" s="330">
        <v>2116</v>
      </c>
      <c r="Y108" s="330">
        <v>1048</v>
      </c>
      <c r="Z108" s="330">
        <v>3164</v>
      </c>
    </row>
    <row r="109" spans="2:26" hidden="1" outlineLevel="1" x14ac:dyDescent="0.25">
      <c r="B109" s="304">
        <v>41883</v>
      </c>
      <c r="C109" s="329">
        <v>0</v>
      </c>
      <c r="D109" s="329">
        <v>0</v>
      </c>
      <c r="E109" s="329">
        <v>0</v>
      </c>
      <c r="F109" s="329">
        <v>0</v>
      </c>
      <c r="G109" s="329">
        <v>0</v>
      </c>
      <c r="H109" s="329">
        <v>0</v>
      </c>
      <c r="I109" s="329">
        <v>343</v>
      </c>
      <c r="J109" s="329">
        <v>83</v>
      </c>
      <c r="K109" s="329">
        <v>426</v>
      </c>
      <c r="L109" s="329">
        <v>793</v>
      </c>
      <c r="M109" s="329">
        <v>616</v>
      </c>
      <c r="N109" s="329">
        <v>1409</v>
      </c>
      <c r="O109" s="329">
        <v>482</v>
      </c>
      <c r="P109" s="329">
        <v>109</v>
      </c>
      <c r="Q109" s="329">
        <v>591</v>
      </c>
      <c r="R109" s="329">
        <v>24</v>
      </c>
      <c r="S109" s="329">
        <v>13</v>
      </c>
      <c r="T109" s="329">
        <v>37</v>
      </c>
      <c r="U109" s="329">
        <v>0</v>
      </c>
      <c r="V109" s="329">
        <v>0</v>
      </c>
      <c r="W109" s="329">
        <v>0</v>
      </c>
      <c r="X109" s="330">
        <v>1642</v>
      </c>
      <c r="Y109" s="330">
        <v>821</v>
      </c>
      <c r="Z109" s="330">
        <v>2463</v>
      </c>
    </row>
    <row r="110" spans="2:26" hidden="1" outlineLevel="1" x14ac:dyDescent="0.25">
      <c r="B110" s="304">
        <v>41913</v>
      </c>
      <c r="C110" s="329">
        <v>0</v>
      </c>
      <c r="D110" s="329">
        <v>0</v>
      </c>
      <c r="E110" s="329">
        <v>0</v>
      </c>
      <c r="F110" s="329">
        <v>0</v>
      </c>
      <c r="G110" s="329">
        <v>0</v>
      </c>
      <c r="H110" s="329">
        <v>0</v>
      </c>
      <c r="I110" s="329">
        <v>448</v>
      </c>
      <c r="J110" s="329">
        <v>92</v>
      </c>
      <c r="K110" s="329">
        <v>540</v>
      </c>
      <c r="L110" s="329">
        <v>1106</v>
      </c>
      <c r="M110" s="329">
        <v>734</v>
      </c>
      <c r="N110" s="329">
        <v>1840</v>
      </c>
      <c r="O110" s="329">
        <v>584</v>
      </c>
      <c r="P110" s="329">
        <v>117</v>
      </c>
      <c r="Q110" s="329">
        <v>701</v>
      </c>
      <c r="R110" s="329">
        <v>41</v>
      </c>
      <c r="S110" s="329">
        <v>13</v>
      </c>
      <c r="T110" s="329">
        <v>54</v>
      </c>
      <c r="U110" s="329">
        <v>0</v>
      </c>
      <c r="V110" s="329">
        <v>0</v>
      </c>
      <c r="W110" s="329">
        <v>0</v>
      </c>
      <c r="X110" s="330">
        <v>2179</v>
      </c>
      <c r="Y110" s="330">
        <v>956</v>
      </c>
      <c r="Z110" s="330">
        <v>3135</v>
      </c>
    </row>
    <row r="111" spans="2:26" hidden="1" outlineLevel="1" x14ac:dyDescent="0.25">
      <c r="B111" s="304">
        <v>41944</v>
      </c>
      <c r="C111" s="329">
        <v>0</v>
      </c>
      <c r="D111" s="329">
        <v>0</v>
      </c>
      <c r="E111" s="329">
        <v>0</v>
      </c>
      <c r="F111" s="329">
        <v>0</v>
      </c>
      <c r="G111" s="329">
        <v>0</v>
      </c>
      <c r="H111" s="329">
        <v>0</v>
      </c>
      <c r="I111" s="329">
        <v>315</v>
      </c>
      <c r="J111" s="329">
        <v>85</v>
      </c>
      <c r="K111" s="329">
        <v>400</v>
      </c>
      <c r="L111" s="329">
        <v>867</v>
      </c>
      <c r="M111" s="329">
        <v>550</v>
      </c>
      <c r="N111" s="329">
        <v>1417</v>
      </c>
      <c r="O111" s="329">
        <v>530</v>
      </c>
      <c r="P111" s="329">
        <v>118</v>
      </c>
      <c r="Q111" s="329">
        <v>648</v>
      </c>
      <c r="R111" s="329">
        <v>30</v>
      </c>
      <c r="S111" s="329">
        <v>17</v>
      </c>
      <c r="T111" s="329">
        <v>47</v>
      </c>
      <c r="U111" s="329">
        <v>0</v>
      </c>
      <c r="V111" s="329">
        <v>0</v>
      </c>
      <c r="W111" s="329">
        <v>0</v>
      </c>
      <c r="X111" s="330">
        <v>1742</v>
      </c>
      <c r="Y111" s="330">
        <v>770</v>
      </c>
      <c r="Z111" s="330">
        <v>2512</v>
      </c>
    </row>
    <row r="112" spans="2:26" collapsed="1" x14ac:dyDescent="0.25">
      <c r="B112" s="304">
        <v>41974</v>
      </c>
      <c r="C112" s="329">
        <v>0</v>
      </c>
      <c r="D112" s="329">
        <v>0</v>
      </c>
      <c r="E112" s="329">
        <v>0</v>
      </c>
      <c r="F112" s="329">
        <v>0</v>
      </c>
      <c r="G112" s="329">
        <v>0</v>
      </c>
      <c r="H112" s="329">
        <v>0</v>
      </c>
      <c r="I112" s="329">
        <v>215</v>
      </c>
      <c r="J112" s="329">
        <v>49</v>
      </c>
      <c r="K112" s="329">
        <v>264</v>
      </c>
      <c r="L112" s="329">
        <v>637</v>
      </c>
      <c r="M112" s="329">
        <v>423</v>
      </c>
      <c r="N112" s="329">
        <v>1060</v>
      </c>
      <c r="O112" s="329">
        <v>431</v>
      </c>
      <c r="P112" s="329">
        <v>89</v>
      </c>
      <c r="Q112" s="329">
        <v>520</v>
      </c>
      <c r="R112" s="329">
        <v>21</v>
      </c>
      <c r="S112" s="329">
        <v>12</v>
      </c>
      <c r="T112" s="329">
        <v>33</v>
      </c>
      <c r="U112" s="329">
        <v>0</v>
      </c>
      <c r="V112" s="329">
        <v>0</v>
      </c>
      <c r="W112" s="329">
        <v>0</v>
      </c>
      <c r="X112" s="330">
        <v>1304</v>
      </c>
      <c r="Y112" s="330">
        <v>573</v>
      </c>
      <c r="Z112" s="330">
        <v>1877</v>
      </c>
    </row>
    <row r="113" spans="2:26" hidden="1" outlineLevel="1" x14ac:dyDescent="0.25">
      <c r="B113" s="304">
        <v>42005</v>
      </c>
      <c r="C113" s="329">
        <v>0</v>
      </c>
      <c r="D113" s="329">
        <v>0</v>
      </c>
      <c r="E113" s="329">
        <v>0</v>
      </c>
      <c r="F113" s="329">
        <v>0</v>
      </c>
      <c r="G113" s="329">
        <v>0</v>
      </c>
      <c r="H113" s="329">
        <v>0</v>
      </c>
      <c r="I113" s="329">
        <v>377</v>
      </c>
      <c r="J113" s="329">
        <v>87</v>
      </c>
      <c r="K113" s="329">
        <v>464</v>
      </c>
      <c r="L113" s="329">
        <v>905</v>
      </c>
      <c r="M113" s="329">
        <v>623</v>
      </c>
      <c r="N113" s="329">
        <v>1528</v>
      </c>
      <c r="O113" s="329">
        <v>454</v>
      </c>
      <c r="P113" s="329">
        <v>88</v>
      </c>
      <c r="Q113" s="329">
        <v>542</v>
      </c>
      <c r="R113" s="329">
        <v>29</v>
      </c>
      <c r="S113" s="329">
        <v>14</v>
      </c>
      <c r="T113" s="329">
        <v>43</v>
      </c>
      <c r="U113" s="329">
        <v>0</v>
      </c>
      <c r="V113" s="329">
        <v>0</v>
      </c>
      <c r="W113" s="329">
        <v>0</v>
      </c>
      <c r="X113" s="330">
        <v>1765</v>
      </c>
      <c r="Y113" s="330">
        <v>812</v>
      </c>
      <c r="Z113" s="330">
        <v>2577</v>
      </c>
    </row>
    <row r="114" spans="2:26" hidden="1" outlineLevel="1" x14ac:dyDescent="0.25">
      <c r="B114" s="304">
        <v>42036</v>
      </c>
      <c r="C114" s="329">
        <v>0</v>
      </c>
      <c r="D114" s="329">
        <v>0</v>
      </c>
      <c r="E114" s="329">
        <v>0</v>
      </c>
      <c r="F114" s="329">
        <v>0</v>
      </c>
      <c r="G114" s="329">
        <v>0</v>
      </c>
      <c r="H114" s="329">
        <v>0</v>
      </c>
      <c r="I114" s="329">
        <v>272</v>
      </c>
      <c r="J114" s="329">
        <v>72</v>
      </c>
      <c r="K114" s="329">
        <v>344</v>
      </c>
      <c r="L114" s="329">
        <v>696</v>
      </c>
      <c r="M114" s="329">
        <v>506</v>
      </c>
      <c r="N114" s="329">
        <v>1202</v>
      </c>
      <c r="O114" s="329">
        <v>439</v>
      </c>
      <c r="P114" s="329">
        <v>95</v>
      </c>
      <c r="Q114" s="329">
        <v>534</v>
      </c>
      <c r="R114" s="329">
        <v>22</v>
      </c>
      <c r="S114" s="329">
        <v>9</v>
      </c>
      <c r="T114" s="329">
        <v>31</v>
      </c>
      <c r="U114" s="329">
        <v>0</v>
      </c>
      <c r="V114" s="329">
        <v>0</v>
      </c>
      <c r="W114" s="329">
        <v>0</v>
      </c>
      <c r="X114" s="330">
        <v>1429</v>
      </c>
      <c r="Y114" s="330">
        <v>682</v>
      </c>
      <c r="Z114" s="330">
        <v>2111</v>
      </c>
    </row>
    <row r="115" spans="2:26" hidden="1" outlineLevel="1" x14ac:dyDescent="0.25">
      <c r="B115" s="304">
        <v>42064</v>
      </c>
      <c r="C115" s="329">
        <v>0</v>
      </c>
      <c r="D115" s="329">
        <v>0</v>
      </c>
      <c r="E115" s="329">
        <v>0</v>
      </c>
      <c r="F115" s="329">
        <v>0</v>
      </c>
      <c r="G115" s="329">
        <v>0</v>
      </c>
      <c r="H115" s="329">
        <v>0</v>
      </c>
      <c r="I115" s="329">
        <v>344</v>
      </c>
      <c r="J115" s="329">
        <v>86</v>
      </c>
      <c r="K115" s="329">
        <v>430</v>
      </c>
      <c r="L115" s="329">
        <v>952</v>
      </c>
      <c r="M115" s="329">
        <v>655</v>
      </c>
      <c r="N115" s="329">
        <v>1607</v>
      </c>
      <c r="O115" s="329">
        <v>559</v>
      </c>
      <c r="P115" s="329">
        <v>105</v>
      </c>
      <c r="Q115" s="329">
        <v>664</v>
      </c>
      <c r="R115" s="329">
        <v>24</v>
      </c>
      <c r="S115" s="329">
        <v>18</v>
      </c>
      <c r="T115" s="329">
        <v>42</v>
      </c>
      <c r="U115" s="329">
        <v>0</v>
      </c>
      <c r="V115" s="329">
        <v>0</v>
      </c>
      <c r="W115" s="329">
        <v>0</v>
      </c>
      <c r="X115" s="330">
        <v>1879</v>
      </c>
      <c r="Y115" s="330">
        <v>864</v>
      </c>
      <c r="Z115" s="330">
        <v>2743</v>
      </c>
    </row>
    <row r="116" spans="2:26" hidden="1" outlineLevel="1" x14ac:dyDescent="0.25">
      <c r="B116" s="304">
        <v>42095</v>
      </c>
      <c r="C116" s="329">
        <v>0</v>
      </c>
      <c r="D116" s="329">
        <v>0</v>
      </c>
      <c r="E116" s="329">
        <v>0</v>
      </c>
      <c r="F116" s="329">
        <v>0</v>
      </c>
      <c r="G116" s="329">
        <v>0</v>
      </c>
      <c r="H116" s="329">
        <v>0</v>
      </c>
      <c r="I116" s="329">
        <v>303</v>
      </c>
      <c r="J116" s="329">
        <v>60</v>
      </c>
      <c r="K116" s="329">
        <v>363</v>
      </c>
      <c r="L116" s="329">
        <v>820</v>
      </c>
      <c r="M116" s="329">
        <v>531</v>
      </c>
      <c r="N116" s="329">
        <v>1351</v>
      </c>
      <c r="O116" s="329">
        <v>464</v>
      </c>
      <c r="P116" s="329">
        <v>95</v>
      </c>
      <c r="Q116" s="329">
        <v>559</v>
      </c>
      <c r="R116" s="329">
        <v>24</v>
      </c>
      <c r="S116" s="329">
        <v>11</v>
      </c>
      <c r="T116" s="329">
        <v>35</v>
      </c>
      <c r="U116" s="329">
        <v>0</v>
      </c>
      <c r="V116" s="329">
        <v>0</v>
      </c>
      <c r="W116" s="329">
        <v>0</v>
      </c>
      <c r="X116" s="330">
        <v>1611</v>
      </c>
      <c r="Y116" s="330">
        <v>697</v>
      </c>
      <c r="Z116" s="330">
        <v>2308</v>
      </c>
    </row>
    <row r="117" spans="2:26" hidden="1" outlineLevel="1" x14ac:dyDescent="0.25">
      <c r="B117" s="304">
        <v>42125</v>
      </c>
      <c r="C117" s="329">
        <v>0</v>
      </c>
      <c r="D117" s="329">
        <v>0</v>
      </c>
      <c r="E117" s="329">
        <v>0</v>
      </c>
      <c r="F117" s="329">
        <v>0</v>
      </c>
      <c r="G117" s="329">
        <v>0</v>
      </c>
      <c r="H117" s="329">
        <v>0</v>
      </c>
      <c r="I117" s="329">
        <v>234</v>
      </c>
      <c r="J117" s="329">
        <v>66</v>
      </c>
      <c r="K117" s="329">
        <v>300</v>
      </c>
      <c r="L117" s="329">
        <v>755</v>
      </c>
      <c r="M117" s="329">
        <v>638</v>
      </c>
      <c r="N117" s="329">
        <v>1393</v>
      </c>
      <c r="O117" s="329">
        <v>402</v>
      </c>
      <c r="P117" s="329">
        <v>77</v>
      </c>
      <c r="Q117" s="329">
        <v>479</v>
      </c>
      <c r="R117" s="329">
        <v>11</v>
      </c>
      <c r="S117" s="329">
        <v>9</v>
      </c>
      <c r="T117" s="329">
        <v>20</v>
      </c>
      <c r="U117" s="329">
        <v>0</v>
      </c>
      <c r="V117" s="329">
        <v>0</v>
      </c>
      <c r="W117" s="329">
        <v>0</v>
      </c>
      <c r="X117" s="330">
        <v>1402</v>
      </c>
      <c r="Y117" s="330">
        <v>790</v>
      </c>
      <c r="Z117" s="330">
        <v>2192</v>
      </c>
    </row>
    <row r="118" spans="2:26" hidden="1" outlineLevel="1" x14ac:dyDescent="0.25">
      <c r="B118" s="304">
        <v>42156</v>
      </c>
      <c r="C118" s="329">
        <v>0</v>
      </c>
      <c r="D118" s="329">
        <v>0</v>
      </c>
      <c r="E118" s="329">
        <v>0</v>
      </c>
      <c r="F118" s="329">
        <v>0</v>
      </c>
      <c r="G118" s="329">
        <v>0</v>
      </c>
      <c r="H118" s="329">
        <v>0</v>
      </c>
      <c r="I118" s="329">
        <v>294</v>
      </c>
      <c r="J118" s="329">
        <v>92</v>
      </c>
      <c r="K118" s="329">
        <v>386</v>
      </c>
      <c r="L118" s="329">
        <v>855</v>
      </c>
      <c r="M118" s="329">
        <v>618</v>
      </c>
      <c r="N118" s="329">
        <v>1473</v>
      </c>
      <c r="O118" s="329">
        <v>445</v>
      </c>
      <c r="P118" s="329">
        <v>90</v>
      </c>
      <c r="Q118" s="329">
        <v>535</v>
      </c>
      <c r="R118" s="329">
        <v>22</v>
      </c>
      <c r="S118" s="329">
        <v>18</v>
      </c>
      <c r="T118" s="329">
        <v>40</v>
      </c>
      <c r="U118" s="329">
        <v>0</v>
      </c>
      <c r="V118" s="329">
        <v>0</v>
      </c>
      <c r="W118" s="329">
        <v>0</v>
      </c>
      <c r="X118" s="330">
        <v>1616</v>
      </c>
      <c r="Y118" s="330">
        <v>818</v>
      </c>
      <c r="Z118" s="330">
        <v>2434</v>
      </c>
    </row>
    <row r="119" spans="2:26" hidden="1" outlineLevel="1" x14ac:dyDescent="0.25">
      <c r="B119" s="304">
        <v>42186</v>
      </c>
      <c r="C119" s="329">
        <v>0</v>
      </c>
      <c r="D119" s="329">
        <v>0</v>
      </c>
      <c r="E119" s="329">
        <v>0</v>
      </c>
      <c r="F119" s="329">
        <v>0</v>
      </c>
      <c r="G119" s="329">
        <v>0</v>
      </c>
      <c r="H119" s="329">
        <v>0</v>
      </c>
      <c r="I119" s="329">
        <v>360</v>
      </c>
      <c r="J119" s="329">
        <v>87</v>
      </c>
      <c r="K119" s="329">
        <v>447</v>
      </c>
      <c r="L119" s="329">
        <v>1027</v>
      </c>
      <c r="M119" s="329">
        <v>645</v>
      </c>
      <c r="N119" s="329">
        <v>1672</v>
      </c>
      <c r="O119" s="329">
        <v>503</v>
      </c>
      <c r="P119" s="329">
        <v>108</v>
      </c>
      <c r="Q119" s="329">
        <v>611</v>
      </c>
      <c r="R119" s="329">
        <v>31</v>
      </c>
      <c r="S119" s="329">
        <v>15</v>
      </c>
      <c r="T119" s="329">
        <v>46</v>
      </c>
      <c r="U119" s="329">
        <v>0</v>
      </c>
      <c r="V119" s="329">
        <v>0</v>
      </c>
      <c r="W119" s="329">
        <v>0</v>
      </c>
      <c r="X119" s="330">
        <v>1921</v>
      </c>
      <c r="Y119" s="330">
        <v>855</v>
      </c>
      <c r="Z119" s="330">
        <v>2776</v>
      </c>
    </row>
    <row r="120" spans="2:26" hidden="1" outlineLevel="1" x14ac:dyDescent="0.25">
      <c r="B120" s="304">
        <v>42217</v>
      </c>
      <c r="C120" s="329">
        <v>0</v>
      </c>
      <c r="D120" s="329">
        <v>0</v>
      </c>
      <c r="E120" s="329">
        <v>0</v>
      </c>
      <c r="F120" s="329">
        <v>0</v>
      </c>
      <c r="G120" s="329">
        <v>0</v>
      </c>
      <c r="H120" s="329">
        <v>0</v>
      </c>
      <c r="I120" s="329">
        <v>296</v>
      </c>
      <c r="J120" s="329">
        <v>77</v>
      </c>
      <c r="K120" s="329">
        <v>373</v>
      </c>
      <c r="L120" s="329">
        <v>884</v>
      </c>
      <c r="M120" s="329">
        <v>541</v>
      </c>
      <c r="N120" s="329">
        <v>1425</v>
      </c>
      <c r="O120" s="329">
        <v>496</v>
      </c>
      <c r="P120" s="329">
        <v>109</v>
      </c>
      <c r="Q120" s="329">
        <v>605</v>
      </c>
      <c r="R120" s="329">
        <v>16</v>
      </c>
      <c r="S120" s="329">
        <v>11</v>
      </c>
      <c r="T120" s="329">
        <v>27</v>
      </c>
      <c r="U120" s="329">
        <v>0</v>
      </c>
      <c r="V120" s="329">
        <v>0</v>
      </c>
      <c r="W120" s="329">
        <v>0</v>
      </c>
      <c r="X120" s="330">
        <v>1692</v>
      </c>
      <c r="Y120" s="330">
        <v>738</v>
      </c>
      <c r="Z120" s="330">
        <v>2430</v>
      </c>
    </row>
    <row r="121" spans="2:26" hidden="1" outlineLevel="1" x14ac:dyDescent="0.25">
      <c r="B121" s="304">
        <v>42248</v>
      </c>
      <c r="C121" s="329">
        <v>0</v>
      </c>
      <c r="D121" s="329">
        <v>0</v>
      </c>
      <c r="E121" s="329">
        <v>0</v>
      </c>
      <c r="F121" s="329">
        <v>0</v>
      </c>
      <c r="G121" s="329">
        <v>0</v>
      </c>
      <c r="H121" s="329">
        <v>0</v>
      </c>
      <c r="I121" s="329">
        <v>322</v>
      </c>
      <c r="J121" s="329">
        <v>76</v>
      </c>
      <c r="K121" s="329">
        <v>398</v>
      </c>
      <c r="L121" s="329">
        <v>897</v>
      </c>
      <c r="M121" s="329">
        <v>568</v>
      </c>
      <c r="N121" s="329">
        <v>1465</v>
      </c>
      <c r="O121" s="329">
        <v>456</v>
      </c>
      <c r="P121" s="329">
        <v>122</v>
      </c>
      <c r="Q121" s="329">
        <v>578</v>
      </c>
      <c r="R121" s="329">
        <v>11</v>
      </c>
      <c r="S121" s="329">
        <v>16</v>
      </c>
      <c r="T121" s="329">
        <v>27</v>
      </c>
      <c r="U121" s="329">
        <v>0</v>
      </c>
      <c r="V121" s="329">
        <v>0</v>
      </c>
      <c r="W121" s="329">
        <v>0</v>
      </c>
      <c r="X121" s="330">
        <v>1686</v>
      </c>
      <c r="Y121" s="330">
        <v>782</v>
      </c>
      <c r="Z121" s="330">
        <v>2468</v>
      </c>
    </row>
    <row r="122" spans="2:26" hidden="1" outlineLevel="1" x14ac:dyDescent="0.25">
      <c r="B122" s="304">
        <v>42278</v>
      </c>
      <c r="C122" s="329">
        <v>0</v>
      </c>
      <c r="D122" s="329">
        <v>0</v>
      </c>
      <c r="E122" s="329">
        <v>0</v>
      </c>
      <c r="F122" s="329">
        <v>0</v>
      </c>
      <c r="G122" s="329">
        <v>0</v>
      </c>
      <c r="H122" s="329">
        <v>0</v>
      </c>
      <c r="I122" s="329">
        <v>362</v>
      </c>
      <c r="J122" s="329">
        <v>90</v>
      </c>
      <c r="K122" s="329">
        <v>452</v>
      </c>
      <c r="L122" s="329">
        <v>996</v>
      </c>
      <c r="M122" s="329">
        <v>568</v>
      </c>
      <c r="N122" s="329">
        <v>1564</v>
      </c>
      <c r="O122" s="329">
        <v>493</v>
      </c>
      <c r="P122" s="329">
        <v>90</v>
      </c>
      <c r="Q122" s="329">
        <v>583</v>
      </c>
      <c r="R122" s="329">
        <v>18</v>
      </c>
      <c r="S122" s="329">
        <v>18</v>
      </c>
      <c r="T122" s="329">
        <v>36</v>
      </c>
      <c r="U122" s="329">
        <v>0</v>
      </c>
      <c r="V122" s="329">
        <v>0</v>
      </c>
      <c r="W122" s="329">
        <v>0</v>
      </c>
      <c r="X122" s="330">
        <v>1869</v>
      </c>
      <c r="Y122" s="330">
        <v>766</v>
      </c>
      <c r="Z122" s="330">
        <v>2635</v>
      </c>
    </row>
    <row r="123" spans="2:26" hidden="1" outlineLevel="1" x14ac:dyDescent="0.25">
      <c r="B123" s="304">
        <v>42309</v>
      </c>
      <c r="C123" s="329">
        <v>0</v>
      </c>
      <c r="D123" s="329">
        <v>0</v>
      </c>
      <c r="E123" s="329">
        <v>0</v>
      </c>
      <c r="F123" s="329">
        <v>0</v>
      </c>
      <c r="G123" s="329">
        <v>0</v>
      </c>
      <c r="H123" s="329">
        <v>0</v>
      </c>
      <c r="I123" s="329">
        <v>277</v>
      </c>
      <c r="J123" s="329">
        <v>76</v>
      </c>
      <c r="K123" s="329">
        <v>353</v>
      </c>
      <c r="L123" s="329">
        <v>900</v>
      </c>
      <c r="M123" s="329">
        <v>568</v>
      </c>
      <c r="N123" s="329">
        <v>1468</v>
      </c>
      <c r="O123" s="329">
        <v>503</v>
      </c>
      <c r="P123" s="329">
        <v>110</v>
      </c>
      <c r="Q123" s="329">
        <v>613</v>
      </c>
      <c r="R123" s="329">
        <v>20</v>
      </c>
      <c r="S123" s="329">
        <v>10</v>
      </c>
      <c r="T123" s="329">
        <v>30</v>
      </c>
      <c r="U123" s="329">
        <v>0</v>
      </c>
      <c r="V123" s="329">
        <v>0</v>
      </c>
      <c r="W123" s="329">
        <v>0</v>
      </c>
      <c r="X123" s="330">
        <v>1700</v>
      </c>
      <c r="Y123" s="330">
        <v>764</v>
      </c>
      <c r="Z123" s="330">
        <v>2464</v>
      </c>
    </row>
    <row r="124" spans="2:26" collapsed="1" x14ac:dyDescent="0.25">
      <c r="B124" s="304">
        <v>42339</v>
      </c>
      <c r="C124" s="329">
        <v>0</v>
      </c>
      <c r="D124" s="329">
        <v>0</v>
      </c>
      <c r="E124" s="329">
        <v>0</v>
      </c>
      <c r="F124" s="329">
        <v>0</v>
      </c>
      <c r="G124" s="329">
        <v>0</v>
      </c>
      <c r="H124" s="329">
        <v>0</v>
      </c>
      <c r="I124" s="329">
        <v>256</v>
      </c>
      <c r="J124" s="329">
        <v>54</v>
      </c>
      <c r="K124" s="329">
        <v>310</v>
      </c>
      <c r="L124" s="329">
        <v>851</v>
      </c>
      <c r="M124" s="329">
        <v>586</v>
      </c>
      <c r="N124" s="329">
        <v>1437</v>
      </c>
      <c r="O124" s="329">
        <v>403</v>
      </c>
      <c r="P124" s="329">
        <v>88</v>
      </c>
      <c r="Q124" s="329">
        <v>491</v>
      </c>
      <c r="R124" s="329">
        <v>22</v>
      </c>
      <c r="S124" s="329">
        <v>11</v>
      </c>
      <c r="T124" s="329">
        <v>33</v>
      </c>
      <c r="U124" s="329">
        <v>0</v>
      </c>
      <c r="V124" s="329">
        <v>0</v>
      </c>
      <c r="W124" s="329">
        <v>0</v>
      </c>
      <c r="X124" s="330">
        <v>1532</v>
      </c>
      <c r="Y124" s="330">
        <v>739</v>
      </c>
      <c r="Z124" s="330">
        <v>2271</v>
      </c>
    </row>
    <row r="125" spans="2:26" hidden="1" outlineLevel="1" x14ac:dyDescent="0.25">
      <c r="B125" s="304">
        <v>42370</v>
      </c>
      <c r="C125" s="329">
        <v>0</v>
      </c>
      <c r="D125" s="329">
        <v>0</v>
      </c>
      <c r="E125" s="329">
        <v>0</v>
      </c>
      <c r="F125" s="329">
        <v>0</v>
      </c>
      <c r="G125" s="329">
        <v>0</v>
      </c>
      <c r="H125" s="329">
        <v>0</v>
      </c>
      <c r="I125" s="329">
        <v>317</v>
      </c>
      <c r="J125" s="329">
        <v>78</v>
      </c>
      <c r="K125" s="329">
        <v>395</v>
      </c>
      <c r="L125" s="329">
        <v>1007</v>
      </c>
      <c r="M125" s="329">
        <v>581</v>
      </c>
      <c r="N125" s="329">
        <v>1588</v>
      </c>
      <c r="O125" s="329">
        <v>407</v>
      </c>
      <c r="P125" s="329">
        <v>101</v>
      </c>
      <c r="Q125" s="329">
        <v>508</v>
      </c>
      <c r="R125" s="329">
        <v>20</v>
      </c>
      <c r="S125" s="329">
        <v>19</v>
      </c>
      <c r="T125" s="329">
        <v>39</v>
      </c>
      <c r="U125" s="329">
        <v>0</v>
      </c>
      <c r="V125" s="329">
        <v>0</v>
      </c>
      <c r="W125" s="329">
        <v>0</v>
      </c>
      <c r="X125" s="330">
        <v>1751</v>
      </c>
      <c r="Y125" s="330">
        <v>779</v>
      </c>
      <c r="Z125" s="330">
        <v>2530</v>
      </c>
    </row>
    <row r="126" spans="2:26" hidden="1" outlineLevel="1" x14ac:dyDescent="0.25">
      <c r="B126" s="304">
        <v>42401</v>
      </c>
      <c r="C126" s="329">
        <v>0</v>
      </c>
      <c r="D126" s="329">
        <v>0</v>
      </c>
      <c r="E126" s="329">
        <v>0</v>
      </c>
      <c r="F126" s="329">
        <v>0</v>
      </c>
      <c r="G126" s="329">
        <v>0</v>
      </c>
      <c r="H126" s="329">
        <v>0</v>
      </c>
      <c r="I126" s="329">
        <v>373</v>
      </c>
      <c r="J126" s="329">
        <v>72</v>
      </c>
      <c r="K126" s="329">
        <v>445</v>
      </c>
      <c r="L126" s="329">
        <v>1093</v>
      </c>
      <c r="M126" s="329">
        <v>666</v>
      </c>
      <c r="N126" s="329">
        <v>1759</v>
      </c>
      <c r="O126" s="329">
        <v>415</v>
      </c>
      <c r="P126" s="329">
        <v>99</v>
      </c>
      <c r="Q126" s="329">
        <v>514</v>
      </c>
      <c r="R126" s="329">
        <v>19</v>
      </c>
      <c r="S126" s="329">
        <v>11</v>
      </c>
      <c r="T126" s="329">
        <v>30</v>
      </c>
      <c r="U126" s="329">
        <v>0</v>
      </c>
      <c r="V126" s="329">
        <v>0</v>
      </c>
      <c r="W126" s="329">
        <v>0</v>
      </c>
      <c r="X126" s="330">
        <v>1900</v>
      </c>
      <c r="Y126" s="330">
        <v>848</v>
      </c>
      <c r="Z126" s="330">
        <v>2748</v>
      </c>
    </row>
    <row r="127" spans="2:26" hidden="1" outlineLevel="1" x14ac:dyDescent="0.25">
      <c r="B127" s="304">
        <v>42430</v>
      </c>
      <c r="C127" s="329">
        <v>0</v>
      </c>
      <c r="D127" s="329">
        <v>0</v>
      </c>
      <c r="E127" s="329">
        <v>0</v>
      </c>
      <c r="F127" s="329">
        <v>0</v>
      </c>
      <c r="G127" s="329">
        <v>0</v>
      </c>
      <c r="H127" s="329">
        <v>0</v>
      </c>
      <c r="I127" s="329">
        <v>367</v>
      </c>
      <c r="J127" s="329">
        <v>64</v>
      </c>
      <c r="K127" s="329">
        <v>431</v>
      </c>
      <c r="L127" s="329">
        <v>945</v>
      </c>
      <c r="M127" s="329">
        <v>569</v>
      </c>
      <c r="N127" s="329">
        <v>1514</v>
      </c>
      <c r="O127" s="329">
        <v>433</v>
      </c>
      <c r="P127" s="329">
        <v>88</v>
      </c>
      <c r="Q127" s="329">
        <v>521</v>
      </c>
      <c r="R127" s="329">
        <v>14</v>
      </c>
      <c r="S127" s="329">
        <v>14</v>
      </c>
      <c r="T127" s="329">
        <v>28</v>
      </c>
      <c r="U127" s="329">
        <v>0</v>
      </c>
      <c r="V127" s="329">
        <v>0</v>
      </c>
      <c r="W127" s="329">
        <v>0</v>
      </c>
      <c r="X127" s="330">
        <v>1759</v>
      </c>
      <c r="Y127" s="330">
        <v>735</v>
      </c>
      <c r="Z127" s="330">
        <v>2494</v>
      </c>
    </row>
    <row r="128" spans="2:26" hidden="1" outlineLevel="1" x14ac:dyDescent="0.25">
      <c r="B128" s="304">
        <v>42461</v>
      </c>
      <c r="C128" s="329">
        <v>0</v>
      </c>
      <c r="D128" s="329">
        <v>0</v>
      </c>
      <c r="E128" s="329">
        <v>0</v>
      </c>
      <c r="F128" s="329">
        <v>0</v>
      </c>
      <c r="G128" s="329">
        <v>0</v>
      </c>
      <c r="H128" s="329">
        <v>0</v>
      </c>
      <c r="I128" s="329">
        <v>416</v>
      </c>
      <c r="J128" s="329">
        <v>110</v>
      </c>
      <c r="K128" s="329">
        <v>526</v>
      </c>
      <c r="L128" s="329">
        <v>1057</v>
      </c>
      <c r="M128" s="329">
        <v>638</v>
      </c>
      <c r="N128" s="329">
        <v>1695</v>
      </c>
      <c r="O128" s="329">
        <v>482</v>
      </c>
      <c r="P128" s="329">
        <v>91</v>
      </c>
      <c r="Q128" s="329">
        <v>573</v>
      </c>
      <c r="R128" s="329">
        <v>17</v>
      </c>
      <c r="S128" s="329">
        <v>17</v>
      </c>
      <c r="T128" s="329">
        <v>34</v>
      </c>
      <c r="U128" s="329">
        <v>0</v>
      </c>
      <c r="V128" s="329">
        <v>0</v>
      </c>
      <c r="W128" s="329">
        <v>0</v>
      </c>
      <c r="X128" s="330">
        <v>1972</v>
      </c>
      <c r="Y128" s="330">
        <v>856</v>
      </c>
      <c r="Z128" s="330">
        <v>2828</v>
      </c>
    </row>
    <row r="129" spans="2:26" hidden="1" outlineLevel="1" x14ac:dyDescent="0.25">
      <c r="B129" s="304">
        <v>42491</v>
      </c>
      <c r="C129" s="329">
        <v>0</v>
      </c>
      <c r="D129" s="329">
        <v>0</v>
      </c>
      <c r="E129" s="329">
        <v>0</v>
      </c>
      <c r="F129" s="329">
        <v>0</v>
      </c>
      <c r="G129" s="329">
        <v>0</v>
      </c>
      <c r="H129" s="329">
        <v>0</v>
      </c>
      <c r="I129" s="329">
        <v>452</v>
      </c>
      <c r="J129" s="329">
        <v>105</v>
      </c>
      <c r="K129" s="329">
        <v>557</v>
      </c>
      <c r="L129" s="329">
        <v>1167</v>
      </c>
      <c r="M129" s="329">
        <v>954</v>
      </c>
      <c r="N129" s="329">
        <v>2121</v>
      </c>
      <c r="O129" s="329">
        <v>463</v>
      </c>
      <c r="P129" s="329">
        <v>108</v>
      </c>
      <c r="Q129" s="329">
        <v>571</v>
      </c>
      <c r="R129" s="329">
        <v>18</v>
      </c>
      <c r="S129" s="329">
        <v>8</v>
      </c>
      <c r="T129" s="329">
        <v>26</v>
      </c>
      <c r="U129" s="329">
        <v>0</v>
      </c>
      <c r="V129" s="329">
        <v>0</v>
      </c>
      <c r="W129" s="329">
        <v>0</v>
      </c>
      <c r="X129" s="330">
        <v>2100</v>
      </c>
      <c r="Y129" s="330">
        <v>1175</v>
      </c>
      <c r="Z129" s="330">
        <v>3275</v>
      </c>
    </row>
    <row r="130" spans="2:26" hidden="1" outlineLevel="1" x14ac:dyDescent="0.25">
      <c r="B130" s="304">
        <v>42522</v>
      </c>
      <c r="C130" s="329">
        <v>0</v>
      </c>
      <c r="D130" s="329">
        <v>0</v>
      </c>
      <c r="E130" s="329">
        <v>0</v>
      </c>
      <c r="F130" s="329">
        <v>0</v>
      </c>
      <c r="G130" s="329">
        <v>0</v>
      </c>
      <c r="H130" s="329">
        <v>0</v>
      </c>
      <c r="I130" s="329">
        <v>420</v>
      </c>
      <c r="J130" s="329">
        <v>79</v>
      </c>
      <c r="K130" s="329">
        <v>499</v>
      </c>
      <c r="L130" s="329">
        <v>991</v>
      </c>
      <c r="M130" s="329">
        <v>708</v>
      </c>
      <c r="N130" s="329">
        <v>1699</v>
      </c>
      <c r="O130" s="329">
        <v>423</v>
      </c>
      <c r="P130" s="329">
        <v>98</v>
      </c>
      <c r="Q130" s="329">
        <v>521</v>
      </c>
      <c r="R130" s="329">
        <v>24</v>
      </c>
      <c r="S130" s="329">
        <v>14</v>
      </c>
      <c r="T130" s="329">
        <v>38</v>
      </c>
      <c r="U130" s="329">
        <v>0</v>
      </c>
      <c r="V130" s="329">
        <v>0</v>
      </c>
      <c r="W130" s="329">
        <v>0</v>
      </c>
      <c r="X130" s="330">
        <v>1858</v>
      </c>
      <c r="Y130" s="330">
        <v>899</v>
      </c>
      <c r="Z130" s="330">
        <v>2757</v>
      </c>
    </row>
    <row r="131" spans="2:26" hidden="1" outlineLevel="1" x14ac:dyDescent="0.25">
      <c r="B131" s="304">
        <v>42552</v>
      </c>
      <c r="C131" s="329">
        <v>0</v>
      </c>
      <c r="D131" s="329">
        <v>0</v>
      </c>
      <c r="E131" s="329">
        <v>0</v>
      </c>
      <c r="F131" s="329">
        <v>0</v>
      </c>
      <c r="G131" s="329">
        <v>0</v>
      </c>
      <c r="H131" s="329">
        <v>0</v>
      </c>
      <c r="I131" s="329">
        <v>485</v>
      </c>
      <c r="J131" s="329">
        <v>84</v>
      </c>
      <c r="K131" s="329">
        <v>569</v>
      </c>
      <c r="L131" s="329">
        <v>881</v>
      </c>
      <c r="M131" s="329">
        <v>619</v>
      </c>
      <c r="N131" s="329">
        <v>1500</v>
      </c>
      <c r="O131" s="329">
        <v>399</v>
      </c>
      <c r="P131" s="329">
        <v>95</v>
      </c>
      <c r="Q131" s="329">
        <v>494</v>
      </c>
      <c r="R131" s="329">
        <v>12</v>
      </c>
      <c r="S131" s="329">
        <v>10</v>
      </c>
      <c r="T131" s="329">
        <v>22</v>
      </c>
      <c r="U131" s="329">
        <v>0</v>
      </c>
      <c r="V131" s="329">
        <v>0</v>
      </c>
      <c r="W131" s="329">
        <v>0</v>
      </c>
      <c r="X131" s="330">
        <v>1777</v>
      </c>
      <c r="Y131" s="330">
        <v>808</v>
      </c>
      <c r="Z131" s="330">
        <v>2585</v>
      </c>
    </row>
    <row r="132" spans="2:26" hidden="1" outlineLevel="1" x14ac:dyDescent="0.25">
      <c r="B132" s="304">
        <v>42583</v>
      </c>
      <c r="C132" s="329">
        <v>0</v>
      </c>
      <c r="D132" s="329">
        <v>0</v>
      </c>
      <c r="E132" s="329">
        <v>0</v>
      </c>
      <c r="F132" s="329">
        <v>0</v>
      </c>
      <c r="G132" s="329">
        <v>0</v>
      </c>
      <c r="H132" s="329">
        <v>0</v>
      </c>
      <c r="I132" s="329">
        <v>536</v>
      </c>
      <c r="J132" s="329">
        <v>114</v>
      </c>
      <c r="K132" s="329">
        <v>650</v>
      </c>
      <c r="L132" s="329">
        <v>1195</v>
      </c>
      <c r="M132" s="329">
        <v>854</v>
      </c>
      <c r="N132" s="329">
        <v>2049</v>
      </c>
      <c r="O132" s="329">
        <v>574</v>
      </c>
      <c r="P132" s="329">
        <v>105</v>
      </c>
      <c r="Q132" s="329">
        <v>679</v>
      </c>
      <c r="R132" s="329">
        <v>23</v>
      </c>
      <c r="S132" s="329">
        <v>17</v>
      </c>
      <c r="T132" s="329">
        <v>40</v>
      </c>
      <c r="U132" s="329">
        <v>0</v>
      </c>
      <c r="V132" s="329">
        <v>0</v>
      </c>
      <c r="W132" s="329">
        <v>0</v>
      </c>
      <c r="X132" s="330">
        <v>2328</v>
      </c>
      <c r="Y132" s="330">
        <v>1090</v>
      </c>
      <c r="Z132" s="330">
        <v>3418</v>
      </c>
    </row>
    <row r="133" spans="2:26" hidden="1" outlineLevel="1" x14ac:dyDescent="0.25">
      <c r="B133" s="304">
        <v>42614</v>
      </c>
      <c r="C133" s="329">
        <v>0</v>
      </c>
      <c r="D133" s="329">
        <v>0</v>
      </c>
      <c r="E133" s="329">
        <v>0</v>
      </c>
      <c r="F133" s="329">
        <v>0</v>
      </c>
      <c r="G133" s="329">
        <v>0</v>
      </c>
      <c r="H133" s="329">
        <v>0</v>
      </c>
      <c r="I133" s="329">
        <v>372</v>
      </c>
      <c r="J133" s="329">
        <v>77</v>
      </c>
      <c r="K133" s="329">
        <v>449</v>
      </c>
      <c r="L133" s="329">
        <v>980</v>
      </c>
      <c r="M133" s="329">
        <v>701</v>
      </c>
      <c r="N133" s="329">
        <v>1681</v>
      </c>
      <c r="O133" s="329">
        <v>465</v>
      </c>
      <c r="P133" s="329">
        <v>95</v>
      </c>
      <c r="Q133" s="329">
        <v>560</v>
      </c>
      <c r="R133" s="329">
        <v>19</v>
      </c>
      <c r="S133" s="329">
        <v>6</v>
      </c>
      <c r="T133" s="329">
        <v>25</v>
      </c>
      <c r="U133" s="329">
        <v>0</v>
      </c>
      <c r="V133" s="329">
        <v>0</v>
      </c>
      <c r="W133" s="329">
        <v>0</v>
      </c>
      <c r="X133" s="330">
        <v>1836</v>
      </c>
      <c r="Y133" s="330">
        <v>879</v>
      </c>
      <c r="Z133" s="330">
        <v>2715</v>
      </c>
    </row>
    <row r="134" spans="2:26" hidden="1" outlineLevel="1" x14ac:dyDescent="0.25">
      <c r="B134" s="304">
        <v>42644</v>
      </c>
      <c r="C134" s="329">
        <v>0</v>
      </c>
      <c r="D134" s="329">
        <v>0</v>
      </c>
      <c r="E134" s="329">
        <v>0</v>
      </c>
      <c r="F134" s="329">
        <v>0</v>
      </c>
      <c r="G134" s="329">
        <v>0</v>
      </c>
      <c r="H134" s="329">
        <v>0</v>
      </c>
      <c r="I134" s="329">
        <v>300</v>
      </c>
      <c r="J134" s="329">
        <v>68</v>
      </c>
      <c r="K134" s="329">
        <v>368</v>
      </c>
      <c r="L134" s="329">
        <v>839</v>
      </c>
      <c r="M134" s="329">
        <v>482</v>
      </c>
      <c r="N134" s="329">
        <v>1321</v>
      </c>
      <c r="O134" s="329">
        <v>345</v>
      </c>
      <c r="P134" s="329">
        <v>70</v>
      </c>
      <c r="Q134" s="329">
        <v>415</v>
      </c>
      <c r="R134" s="329">
        <v>13</v>
      </c>
      <c r="S134" s="329">
        <v>9</v>
      </c>
      <c r="T134" s="329">
        <v>22</v>
      </c>
      <c r="U134" s="329">
        <v>0</v>
      </c>
      <c r="V134" s="329">
        <v>0</v>
      </c>
      <c r="W134" s="329">
        <v>0</v>
      </c>
      <c r="X134" s="330">
        <v>1497</v>
      </c>
      <c r="Y134" s="330">
        <v>629</v>
      </c>
      <c r="Z134" s="330">
        <v>2126</v>
      </c>
    </row>
    <row r="135" spans="2:26" hidden="1" outlineLevel="1" x14ac:dyDescent="0.25">
      <c r="B135" s="304">
        <v>42675</v>
      </c>
      <c r="C135" s="329">
        <v>0</v>
      </c>
      <c r="D135" s="329">
        <v>0</v>
      </c>
      <c r="E135" s="329">
        <v>0</v>
      </c>
      <c r="F135" s="329">
        <v>0</v>
      </c>
      <c r="G135" s="329">
        <v>0</v>
      </c>
      <c r="H135" s="329">
        <v>0</v>
      </c>
      <c r="I135" s="329">
        <v>304</v>
      </c>
      <c r="J135" s="329">
        <v>62</v>
      </c>
      <c r="K135" s="329">
        <v>366</v>
      </c>
      <c r="L135" s="329">
        <v>727</v>
      </c>
      <c r="M135" s="329">
        <v>505</v>
      </c>
      <c r="N135" s="329">
        <v>1232</v>
      </c>
      <c r="O135" s="329">
        <v>324</v>
      </c>
      <c r="P135" s="329">
        <v>72</v>
      </c>
      <c r="Q135" s="329">
        <v>396</v>
      </c>
      <c r="R135" s="329">
        <v>7</v>
      </c>
      <c r="S135" s="329">
        <v>2</v>
      </c>
      <c r="T135" s="329">
        <v>9</v>
      </c>
      <c r="U135" s="329">
        <v>0</v>
      </c>
      <c r="V135" s="329">
        <v>0</v>
      </c>
      <c r="W135" s="329">
        <v>0</v>
      </c>
      <c r="X135" s="330">
        <v>1362</v>
      </c>
      <c r="Y135" s="330">
        <v>641</v>
      </c>
      <c r="Z135" s="330">
        <v>2003</v>
      </c>
    </row>
    <row r="136" spans="2:26" collapsed="1" x14ac:dyDescent="0.25">
      <c r="B136" s="304">
        <v>42705</v>
      </c>
      <c r="C136" s="329">
        <v>0</v>
      </c>
      <c r="D136" s="329">
        <v>0</v>
      </c>
      <c r="E136" s="329">
        <v>0</v>
      </c>
      <c r="F136" s="329">
        <v>0</v>
      </c>
      <c r="G136" s="329">
        <v>0</v>
      </c>
      <c r="H136" s="329">
        <v>0</v>
      </c>
      <c r="I136" s="329">
        <v>317</v>
      </c>
      <c r="J136" s="329">
        <v>72</v>
      </c>
      <c r="K136" s="329">
        <v>389</v>
      </c>
      <c r="L136" s="329">
        <v>843</v>
      </c>
      <c r="M136" s="329">
        <v>600</v>
      </c>
      <c r="N136" s="329">
        <v>1443</v>
      </c>
      <c r="O136" s="329">
        <v>400</v>
      </c>
      <c r="P136" s="329">
        <v>87</v>
      </c>
      <c r="Q136" s="329">
        <v>487</v>
      </c>
      <c r="R136" s="329">
        <v>19</v>
      </c>
      <c r="S136" s="329">
        <v>20</v>
      </c>
      <c r="T136" s="329">
        <v>39</v>
      </c>
      <c r="U136" s="329">
        <v>0</v>
      </c>
      <c r="V136" s="329">
        <v>0</v>
      </c>
      <c r="W136" s="329">
        <v>0</v>
      </c>
      <c r="X136" s="330">
        <v>1579</v>
      </c>
      <c r="Y136" s="330">
        <v>779</v>
      </c>
      <c r="Z136" s="330">
        <v>2358</v>
      </c>
    </row>
    <row r="137" spans="2:26" hidden="1" outlineLevel="1" x14ac:dyDescent="0.25">
      <c r="B137" s="304">
        <v>42736</v>
      </c>
      <c r="C137" s="329">
        <v>0</v>
      </c>
      <c r="D137" s="329">
        <v>0</v>
      </c>
      <c r="E137" s="329">
        <v>0</v>
      </c>
      <c r="F137" s="329">
        <v>0</v>
      </c>
      <c r="G137" s="329">
        <v>0</v>
      </c>
      <c r="H137" s="329">
        <v>0</v>
      </c>
      <c r="I137" s="329">
        <v>372</v>
      </c>
      <c r="J137" s="329">
        <v>93</v>
      </c>
      <c r="K137" s="329">
        <v>465</v>
      </c>
      <c r="L137" s="329">
        <v>976</v>
      </c>
      <c r="M137" s="329">
        <v>666</v>
      </c>
      <c r="N137" s="329">
        <v>1642</v>
      </c>
      <c r="O137" s="329">
        <v>416</v>
      </c>
      <c r="P137" s="329">
        <v>92</v>
      </c>
      <c r="Q137" s="329">
        <v>508</v>
      </c>
      <c r="R137" s="329">
        <v>25</v>
      </c>
      <c r="S137" s="329">
        <v>18</v>
      </c>
      <c r="T137" s="329">
        <v>43</v>
      </c>
      <c r="U137" s="329">
        <v>0</v>
      </c>
      <c r="V137" s="329">
        <v>0</v>
      </c>
      <c r="W137" s="329">
        <v>0</v>
      </c>
      <c r="X137" s="330">
        <v>1789</v>
      </c>
      <c r="Y137" s="330">
        <v>869</v>
      </c>
      <c r="Z137" s="330">
        <v>2658</v>
      </c>
    </row>
    <row r="138" spans="2:26" hidden="1" outlineLevel="1" x14ac:dyDescent="0.25">
      <c r="B138" s="304">
        <v>42767</v>
      </c>
      <c r="C138" s="329">
        <v>0</v>
      </c>
      <c r="D138" s="329">
        <v>0</v>
      </c>
      <c r="E138" s="329">
        <v>0</v>
      </c>
      <c r="F138" s="329">
        <v>0</v>
      </c>
      <c r="G138" s="329">
        <v>0</v>
      </c>
      <c r="H138" s="329">
        <v>0</v>
      </c>
      <c r="I138" s="329">
        <v>365</v>
      </c>
      <c r="J138" s="329">
        <v>82</v>
      </c>
      <c r="K138" s="329">
        <v>447</v>
      </c>
      <c r="L138" s="329">
        <v>916</v>
      </c>
      <c r="M138" s="329">
        <v>675</v>
      </c>
      <c r="N138" s="329">
        <v>1591</v>
      </c>
      <c r="O138" s="329">
        <v>396</v>
      </c>
      <c r="P138" s="329">
        <v>68</v>
      </c>
      <c r="Q138" s="329">
        <v>464</v>
      </c>
      <c r="R138" s="329">
        <v>12</v>
      </c>
      <c r="S138" s="329">
        <v>16</v>
      </c>
      <c r="T138" s="329">
        <v>28</v>
      </c>
      <c r="U138" s="329">
        <v>0</v>
      </c>
      <c r="V138" s="329">
        <v>0</v>
      </c>
      <c r="W138" s="329">
        <v>0</v>
      </c>
      <c r="X138" s="330">
        <v>1689</v>
      </c>
      <c r="Y138" s="330">
        <v>841</v>
      </c>
      <c r="Z138" s="330">
        <v>2530</v>
      </c>
    </row>
    <row r="139" spans="2:26" hidden="1" outlineLevel="1" x14ac:dyDescent="0.25">
      <c r="B139" s="304">
        <v>42795</v>
      </c>
      <c r="C139" s="329">
        <v>0</v>
      </c>
      <c r="D139" s="329">
        <v>0</v>
      </c>
      <c r="E139" s="329">
        <v>0</v>
      </c>
      <c r="F139" s="329">
        <v>0</v>
      </c>
      <c r="G139" s="329">
        <v>0</v>
      </c>
      <c r="H139" s="329">
        <v>0</v>
      </c>
      <c r="I139" s="329">
        <v>421</v>
      </c>
      <c r="J139" s="329">
        <v>86</v>
      </c>
      <c r="K139" s="329">
        <v>507</v>
      </c>
      <c r="L139" s="329">
        <v>1206</v>
      </c>
      <c r="M139" s="329">
        <v>736</v>
      </c>
      <c r="N139" s="329">
        <v>1942</v>
      </c>
      <c r="O139" s="329">
        <v>509</v>
      </c>
      <c r="P139" s="329">
        <v>100</v>
      </c>
      <c r="Q139" s="329">
        <v>609</v>
      </c>
      <c r="R139" s="329">
        <v>18</v>
      </c>
      <c r="S139" s="329">
        <v>11</v>
      </c>
      <c r="T139" s="329">
        <v>29</v>
      </c>
      <c r="U139" s="329">
        <v>0</v>
      </c>
      <c r="V139" s="329">
        <v>0</v>
      </c>
      <c r="W139" s="329">
        <v>0</v>
      </c>
      <c r="X139" s="330">
        <v>2154</v>
      </c>
      <c r="Y139" s="330">
        <v>933</v>
      </c>
      <c r="Z139" s="330">
        <v>3087</v>
      </c>
    </row>
    <row r="140" spans="2:26" hidden="1" outlineLevel="1" x14ac:dyDescent="0.25">
      <c r="B140" s="304">
        <v>42826</v>
      </c>
      <c r="C140" s="329">
        <v>0</v>
      </c>
      <c r="D140" s="329">
        <v>0</v>
      </c>
      <c r="E140" s="329">
        <v>0</v>
      </c>
      <c r="F140" s="329">
        <v>0</v>
      </c>
      <c r="G140" s="329">
        <v>0</v>
      </c>
      <c r="H140" s="329">
        <v>0</v>
      </c>
      <c r="I140" s="329">
        <v>346</v>
      </c>
      <c r="J140" s="329">
        <v>84</v>
      </c>
      <c r="K140" s="329">
        <v>430</v>
      </c>
      <c r="L140" s="329">
        <v>897</v>
      </c>
      <c r="M140" s="329">
        <v>593</v>
      </c>
      <c r="N140" s="329">
        <v>1490</v>
      </c>
      <c r="O140" s="329">
        <v>404</v>
      </c>
      <c r="P140" s="329">
        <v>79</v>
      </c>
      <c r="Q140" s="329">
        <v>483</v>
      </c>
      <c r="R140" s="329">
        <v>13</v>
      </c>
      <c r="S140" s="329">
        <v>7</v>
      </c>
      <c r="T140" s="329">
        <v>20</v>
      </c>
      <c r="U140" s="329">
        <v>0</v>
      </c>
      <c r="V140" s="329">
        <v>0</v>
      </c>
      <c r="W140" s="329">
        <v>0</v>
      </c>
      <c r="X140" s="330">
        <v>1660</v>
      </c>
      <c r="Y140" s="330">
        <v>763</v>
      </c>
      <c r="Z140" s="330">
        <v>2423</v>
      </c>
    </row>
    <row r="141" spans="2:26" hidden="1" outlineLevel="1" x14ac:dyDescent="0.25">
      <c r="B141" s="304">
        <v>42856</v>
      </c>
      <c r="C141" s="329">
        <v>0</v>
      </c>
      <c r="D141" s="329">
        <v>0</v>
      </c>
      <c r="E141" s="329">
        <v>0</v>
      </c>
      <c r="F141" s="329">
        <v>0</v>
      </c>
      <c r="G141" s="329">
        <v>0</v>
      </c>
      <c r="H141" s="329">
        <v>0</v>
      </c>
      <c r="I141" s="329">
        <v>386</v>
      </c>
      <c r="J141" s="329">
        <v>95</v>
      </c>
      <c r="K141" s="329">
        <v>481</v>
      </c>
      <c r="L141" s="329">
        <v>1155</v>
      </c>
      <c r="M141" s="329">
        <v>953</v>
      </c>
      <c r="N141" s="329">
        <v>2108</v>
      </c>
      <c r="O141" s="329">
        <v>503</v>
      </c>
      <c r="P141" s="329">
        <v>91</v>
      </c>
      <c r="Q141" s="329">
        <v>594</v>
      </c>
      <c r="R141" s="329">
        <v>21</v>
      </c>
      <c r="S141" s="329">
        <v>15</v>
      </c>
      <c r="T141" s="329">
        <v>36</v>
      </c>
      <c r="U141" s="329">
        <v>0</v>
      </c>
      <c r="V141" s="329">
        <v>0</v>
      </c>
      <c r="W141" s="329">
        <v>0</v>
      </c>
      <c r="X141" s="330">
        <v>2065</v>
      </c>
      <c r="Y141" s="330">
        <v>1154</v>
      </c>
      <c r="Z141" s="330">
        <v>3219</v>
      </c>
    </row>
    <row r="142" spans="2:26" hidden="1" outlineLevel="1" x14ac:dyDescent="0.25">
      <c r="B142" s="304">
        <v>42887</v>
      </c>
      <c r="C142" s="329">
        <v>0</v>
      </c>
      <c r="D142" s="329">
        <v>0</v>
      </c>
      <c r="E142" s="329">
        <v>0</v>
      </c>
      <c r="F142" s="329">
        <v>0</v>
      </c>
      <c r="G142" s="329">
        <v>0</v>
      </c>
      <c r="H142" s="329">
        <v>0</v>
      </c>
      <c r="I142" s="329">
        <v>362</v>
      </c>
      <c r="J142" s="329">
        <v>91</v>
      </c>
      <c r="K142" s="329">
        <v>453</v>
      </c>
      <c r="L142" s="329">
        <v>1065</v>
      </c>
      <c r="M142" s="329">
        <v>784</v>
      </c>
      <c r="N142" s="329">
        <v>1849</v>
      </c>
      <c r="O142" s="329">
        <v>464</v>
      </c>
      <c r="P142" s="329">
        <v>94</v>
      </c>
      <c r="Q142" s="329">
        <v>558</v>
      </c>
      <c r="R142" s="329">
        <v>22</v>
      </c>
      <c r="S142" s="329">
        <v>4</v>
      </c>
      <c r="T142" s="329">
        <v>26</v>
      </c>
      <c r="U142" s="329">
        <v>0</v>
      </c>
      <c r="V142" s="329">
        <v>0</v>
      </c>
      <c r="W142" s="329">
        <v>0</v>
      </c>
      <c r="X142" s="330">
        <v>1913</v>
      </c>
      <c r="Y142" s="330">
        <v>973</v>
      </c>
      <c r="Z142" s="330">
        <v>2886</v>
      </c>
    </row>
    <row r="143" spans="2:26" hidden="1" outlineLevel="1" x14ac:dyDescent="0.25">
      <c r="B143" s="304">
        <v>42917</v>
      </c>
      <c r="C143" s="329">
        <v>0</v>
      </c>
      <c r="D143" s="329">
        <v>0</v>
      </c>
      <c r="E143" s="329">
        <v>0</v>
      </c>
      <c r="F143" s="329">
        <v>0</v>
      </c>
      <c r="G143" s="329">
        <v>0</v>
      </c>
      <c r="H143" s="329">
        <v>0</v>
      </c>
      <c r="I143" s="329">
        <v>429</v>
      </c>
      <c r="J143" s="329">
        <v>113</v>
      </c>
      <c r="K143" s="329">
        <v>542</v>
      </c>
      <c r="L143" s="329">
        <v>1238</v>
      </c>
      <c r="M143" s="329">
        <v>780</v>
      </c>
      <c r="N143" s="329">
        <v>2018</v>
      </c>
      <c r="O143" s="329">
        <v>483</v>
      </c>
      <c r="P143" s="329">
        <v>91</v>
      </c>
      <c r="Q143" s="329">
        <v>574</v>
      </c>
      <c r="R143" s="329">
        <v>24</v>
      </c>
      <c r="S143" s="329">
        <v>12</v>
      </c>
      <c r="T143" s="329">
        <v>36</v>
      </c>
      <c r="U143" s="329">
        <v>0</v>
      </c>
      <c r="V143" s="329">
        <v>0</v>
      </c>
      <c r="W143" s="329">
        <v>0</v>
      </c>
      <c r="X143" s="330">
        <v>2174</v>
      </c>
      <c r="Y143" s="330">
        <v>996</v>
      </c>
      <c r="Z143" s="330">
        <v>3170</v>
      </c>
    </row>
    <row r="144" spans="2:26" hidden="1" outlineLevel="1" x14ac:dyDescent="0.25">
      <c r="B144" s="304">
        <v>42948</v>
      </c>
      <c r="C144" s="329">
        <v>0</v>
      </c>
      <c r="D144" s="329">
        <v>0</v>
      </c>
      <c r="E144" s="329">
        <v>0</v>
      </c>
      <c r="F144" s="329">
        <v>0</v>
      </c>
      <c r="G144" s="329">
        <v>0</v>
      </c>
      <c r="H144" s="329">
        <v>0</v>
      </c>
      <c r="I144" s="329">
        <v>521</v>
      </c>
      <c r="J144" s="329">
        <v>105</v>
      </c>
      <c r="K144" s="329">
        <v>626</v>
      </c>
      <c r="L144" s="329">
        <v>1335</v>
      </c>
      <c r="M144" s="329">
        <v>922</v>
      </c>
      <c r="N144" s="329">
        <v>2257</v>
      </c>
      <c r="O144" s="329">
        <v>462</v>
      </c>
      <c r="P144" s="329">
        <v>107</v>
      </c>
      <c r="Q144" s="329">
        <v>569</v>
      </c>
      <c r="R144" s="329">
        <v>17</v>
      </c>
      <c r="S144" s="329">
        <v>15</v>
      </c>
      <c r="T144" s="329">
        <v>32</v>
      </c>
      <c r="U144" s="329">
        <v>0</v>
      </c>
      <c r="V144" s="329">
        <v>0</v>
      </c>
      <c r="W144" s="329">
        <v>0</v>
      </c>
      <c r="X144" s="330">
        <v>2335</v>
      </c>
      <c r="Y144" s="330">
        <v>1149</v>
      </c>
      <c r="Z144" s="330">
        <v>3484</v>
      </c>
    </row>
    <row r="145" spans="2:26" hidden="1" outlineLevel="1" x14ac:dyDescent="0.25">
      <c r="B145" s="304">
        <v>42979</v>
      </c>
      <c r="C145" s="329">
        <v>0</v>
      </c>
      <c r="D145" s="329">
        <v>0</v>
      </c>
      <c r="E145" s="329">
        <v>0</v>
      </c>
      <c r="F145" s="329">
        <v>0</v>
      </c>
      <c r="G145" s="329">
        <v>0</v>
      </c>
      <c r="H145" s="329">
        <v>0</v>
      </c>
      <c r="I145" s="329">
        <v>379</v>
      </c>
      <c r="J145" s="329">
        <v>98</v>
      </c>
      <c r="K145" s="329">
        <v>477</v>
      </c>
      <c r="L145" s="329">
        <v>1080</v>
      </c>
      <c r="M145" s="329">
        <v>734</v>
      </c>
      <c r="N145" s="329">
        <v>1814</v>
      </c>
      <c r="O145" s="329">
        <v>374</v>
      </c>
      <c r="P145" s="329">
        <v>85</v>
      </c>
      <c r="Q145" s="329">
        <v>459</v>
      </c>
      <c r="R145" s="329">
        <v>17</v>
      </c>
      <c r="S145" s="329">
        <v>6</v>
      </c>
      <c r="T145" s="329">
        <v>23</v>
      </c>
      <c r="U145" s="329">
        <v>0</v>
      </c>
      <c r="V145" s="329">
        <v>0</v>
      </c>
      <c r="W145" s="329">
        <v>0</v>
      </c>
      <c r="X145" s="330">
        <v>1850</v>
      </c>
      <c r="Y145" s="330">
        <v>923</v>
      </c>
      <c r="Z145" s="330">
        <v>2773</v>
      </c>
    </row>
    <row r="146" spans="2:26" hidden="1" outlineLevel="1" x14ac:dyDescent="0.25">
      <c r="B146" s="304">
        <v>43009</v>
      </c>
      <c r="C146" s="329">
        <v>0</v>
      </c>
      <c r="D146" s="329">
        <v>0</v>
      </c>
      <c r="E146" s="329">
        <v>0</v>
      </c>
      <c r="F146" s="329">
        <v>0</v>
      </c>
      <c r="G146" s="329">
        <v>0</v>
      </c>
      <c r="H146" s="329">
        <v>0</v>
      </c>
      <c r="I146" s="329">
        <v>479</v>
      </c>
      <c r="J146" s="329">
        <v>103</v>
      </c>
      <c r="K146" s="329">
        <v>582</v>
      </c>
      <c r="L146" s="329">
        <v>1111</v>
      </c>
      <c r="M146" s="329">
        <v>789</v>
      </c>
      <c r="N146" s="329">
        <v>1900</v>
      </c>
      <c r="O146" s="329">
        <v>487</v>
      </c>
      <c r="P146" s="329">
        <v>111</v>
      </c>
      <c r="Q146" s="329">
        <v>598</v>
      </c>
      <c r="R146" s="329">
        <v>25</v>
      </c>
      <c r="S146" s="329">
        <v>12</v>
      </c>
      <c r="T146" s="329">
        <v>37</v>
      </c>
      <c r="U146" s="329">
        <v>0</v>
      </c>
      <c r="V146" s="329">
        <v>0</v>
      </c>
      <c r="W146" s="329">
        <v>0</v>
      </c>
      <c r="X146" s="330">
        <v>2102</v>
      </c>
      <c r="Y146" s="330">
        <v>1015</v>
      </c>
      <c r="Z146" s="330">
        <v>3117</v>
      </c>
    </row>
    <row r="147" spans="2:26" hidden="1" outlineLevel="1" x14ac:dyDescent="0.25">
      <c r="B147" s="304">
        <v>43040</v>
      </c>
      <c r="C147" s="329">
        <v>0</v>
      </c>
      <c r="D147" s="329">
        <v>0</v>
      </c>
      <c r="E147" s="329">
        <v>0</v>
      </c>
      <c r="F147" s="329">
        <v>0</v>
      </c>
      <c r="G147" s="329">
        <v>0</v>
      </c>
      <c r="H147" s="329">
        <v>0</v>
      </c>
      <c r="I147" s="329">
        <v>427</v>
      </c>
      <c r="J147" s="329">
        <v>87</v>
      </c>
      <c r="K147" s="329">
        <v>514</v>
      </c>
      <c r="L147" s="329">
        <v>1097</v>
      </c>
      <c r="M147" s="329">
        <v>660</v>
      </c>
      <c r="N147" s="329">
        <v>1757</v>
      </c>
      <c r="O147" s="329">
        <v>464</v>
      </c>
      <c r="P147" s="329">
        <v>92</v>
      </c>
      <c r="Q147" s="329">
        <v>556</v>
      </c>
      <c r="R147" s="329">
        <v>22</v>
      </c>
      <c r="S147" s="329">
        <v>6</v>
      </c>
      <c r="T147" s="329">
        <v>28</v>
      </c>
      <c r="U147" s="329">
        <v>0</v>
      </c>
      <c r="V147" s="329">
        <v>0</v>
      </c>
      <c r="W147" s="329">
        <v>0</v>
      </c>
      <c r="X147" s="330">
        <v>2010</v>
      </c>
      <c r="Y147" s="330">
        <v>845</v>
      </c>
      <c r="Z147" s="330">
        <v>2855</v>
      </c>
    </row>
    <row r="148" spans="2:26" collapsed="1" x14ac:dyDescent="0.25">
      <c r="B148" s="304">
        <v>43070</v>
      </c>
      <c r="C148" s="329">
        <v>0</v>
      </c>
      <c r="D148" s="329">
        <v>0</v>
      </c>
      <c r="E148" s="329">
        <v>0</v>
      </c>
      <c r="F148" s="329">
        <v>0</v>
      </c>
      <c r="G148" s="329">
        <v>0</v>
      </c>
      <c r="H148" s="329">
        <v>0</v>
      </c>
      <c r="I148" s="329">
        <v>184</v>
      </c>
      <c r="J148" s="329">
        <v>34</v>
      </c>
      <c r="K148" s="329">
        <v>218</v>
      </c>
      <c r="L148" s="329">
        <v>524</v>
      </c>
      <c r="M148" s="329">
        <v>287</v>
      </c>
      <c r="N148" s="329">
        <v>811</v>
      </c>
      <c r="O148" s="329">
        <v>341</v>
      </c>
      <c r="P148" s="329">
        <v>64</v>
      </c>
      <c r="Q148" s="329">
        <v>405</v>
      </c>
      <c r="R148" s="329">
        <v>14</v>
      </c>
      <c r="S148" s="329">
        <v>9</v>
      </c>
      <c r="T148" s="329">
        <v>23</v>
      </c>
      <c r="U148" s="329">
        <v>0</v>
      </c>
      <c r="V148" s="329">
        <v>0</v>
      </c>
      <c r="W148" s="329">
        <v>0</v>
      </c>
      <c r="X148" s="330">
        <v>1063</v>
      </c>
      <c r="Y148" s="330">
        <v>394</v>
      </c>
      <c r="Z148" s="330">
        <v>1457</v>
      </c>
    </row>
    <row r="149" spans="2:26" hidden="1" outlineLevel="1" x14ac:dyDescent="0.25">
      <c r="B149" s="304">
        <v>43101</v>
      </c>
      <c r="C149" s="329">
        <v>0</v>
      </c>
      <c r="D149" s="329">
        <v>0</v>
      </c>
      <c r="E149" s="329">
        <v>0</v>
      </c>
      <c r="F149" s="329">
        <v>0</v>
      </c>
      <c r="G149" s="329">
        <v>0</v>
      </c>
      <c r="H149" s="329">
        <v>0</v>
      </c>
      <c r="I149" s="329">
        <v>219</v>
      </c>
      <c r="J149" s="329">
        <v>33</v>
      </c>
      <c r="K149" s="329">
        <v>252</v>
      </c>
      <c r="L149" s="329">
        <v>637</v>
      </c>
      <c r="M149" s="329">
        <v>305</v>
      </c>
      <c r="N149" s="329">
        <v>942</v>
      </c>
      <c r="O149" s="329">
        <v>417</v>
      </c>
      <c r="P149" s="329">
        <v>86</v>
      </c>
      <c r="Q149" s="329">
        <v>503</v>
      </c>
      <c r="R149" s="329">
        <v>22</v>
      </c>
      <c r="S149" s="329">
        <v>16</v>
      </c>
      <c r="T149" s="329">
        <v>38</v>
      </c>
      <c r="U149" s="329">
        <v>0</v>
      </c>
      <c r="V149" s="329">
        <v>0</v>
      </c>
      <c r="W149" s="329">
        <v>0</v>
      </c>
      <c r="X149" s="330">
        <v>1295</v>
      </c>
      <c r="Y149" s="330">
        <v>440</v>
      </c>
      <c r="Z149" s="330">
        <v>1735</v>
      </c>
    </row>
    <row r="150" spans="2:26" hidden="1" outlineLevel="1" x14ac:dyDescent="0.25">
      <c r="B150" s="304">
        <v>43132</v>
      </c>
      <c r="C150" s="329">
        <v>0</v>
      </c>
      <c r="D150" s="329">
        <v>0</v>
      </c>
      <c r="E150" s="329">
        <v>0</v>
      </c>
      <c r="F150" s="329">
        <v>0</v>
      </c>
      <c r="G150" s="329">
        <v>0</v>
      </c>
      <c r="H150" s="329">
        <v>0</v>
      </c>
      <c r="I150" s="329">
        <v>169</v>
      </c>
      <c r="J150" s="329">
        <v>21</v>
      </c>
      <c r="K150" s="329">
        <v>190</v>
      </c>
      <c r="L150" s="329">
        <v>572</v>
      </c>
      <c r="M150" s="329">
        <v>310</v>
      </c>
      <c r="N150" s="329">
        <v>882</v>
      </c>
      <c r="O150" s="329">
        <v>370</v>
      </c>
      <c r="P150" s="329">
        <v>66</v>
      </c>
      <c r="Q150" s="329">
        <v>436</v>
      </c>
      <c r="R150" s="329">
        <v>16</v>
      </c>
      <c r="S150" s="329">
        <v>4</v>
      </c>
      <c r="T150" s="329">
        <v>20</v>
      </c>
      <c r="U150" s="329">
        <v>0</v>
      </c>
      <c r="V150" s="329">
        <v>0</v>
      </c>
      <c r="W150" s="329">
        <v>0</v>
      </c>
      <c r="X150" s="330">
        <v>1127</v>
      </c>
      <c r="Y150" s="330">
        <v>401</v>
      </c>
      <c r="Z150" s="330">
        <v>1528</v>
      </c>
    </row>
    <row r="151" spans="2:26" hidden="1" outlineLevel="1" x14ac:dyDescent="0.25">
      <c r="B151" s="304">
        <v>43160</v>
      </c>
      <c r="C151" s="329">
        <v>0</v>
      </c>
      <c r="D151" s="329">
        <v>0</v>
      </c>
      <c r="E151" s="329">
        <v>0</v>
      </c>
      <c r="F151" s="329">
        <v>0</v>
      </c>
      <c r="G151" s="329">
        <v>0</v>
      </c>
      <c r="H151" s="329">
        <v>0</v>
      </c>
      <c r="I151" s="329">
        <v>253</v>
      </c>
      <c r="J151" s="329">
        <v>34</v>
      </c>
      <c r="K151" s="329">
        <v>287</v>
      </c>
      <c r="L151" s="329">
        <v>576</v>
      </c>
      <c r="M151" s="329">
        <v>367</v>
      </c>
      <c r="N151" s="329">
        <v>943</v>
      </c>
      <c r="O151" s="329">
        <v>431</v>
      </c>
      <c r="P151" s="329">
        <v>91</v>
      </c>
      <c r="Q151" s="329">
        <v>522</v>
      </c>
      <c r="R151" s="329">
        <v>21</v>
      </c>
      <c r="S151" s="329">
        <v>9</v>
      </c>
      <c r="T151" s="329">
        <v>30</v>
      </c>
      <c r="U151" s="329">
        <v>0</v>
      </c>
      <c r="V151" s="329">
        <v>0</v>
      </c>
      <c r="W151" s="329">
        <v>0</v>
      </c>
      <c r="X151" s="330">
        <v>1281</v>
      </c>
      <c r="Y151" s="330">
        <v>501</v>
      </c>
      <c r="Z151" s="330">
        <v>1782</v>
      </c>
    </row>
    <row r="152" spans="2:26" hidden="1" outlineLevel="1" x14ac:dyDescent="0.25">
      <c r="B152" s="304">
        <v>43191</v>
      </c>
      <c r="C152" s="329">
        <v>0</v>
      </c>
      <c r="D152" s="329">
        <v>0</v>
      </c>
      <c r="E152" s="329">
        <v>0</v>
      </c>
      <c r="F152" s="329">
        <v>0</v>
      </c>
      <c r="G152" s="329">
        <v>0</v>
      </c>
      <c r="H152" s="329">
        <v>0</v>
      </c>
      <c r="I152" s="329">
        <v>202</v>
      </c>
      <c r="J152" s="329">
        <v>35</v>
      </c>
      <c r="K152" s="329">
        <v>237</v>
      </c>
      <c r="L152" s="329">
        <v>615</v>
      </c>
      <c r="M152" s="329">
        <v>310</v>
      </c>
      <c r="N152" s="329">
        <v>925</v>
      </c>
      <c r="O152" s="329">
        <v>444</v>
      </c>
      <c r="P152" s="329">
        <v>86</v>
      </c>
      <c r="Q152" s="329">
        <v>530</v>
      </c>
      <c r="R152" s="329">
        <v>24</v>
      </c>
      <c r="S152" s="329">
        <v>15</v>
      </c>
      <c r="T152" s="329">
        <v>39</v>
      </c>
      <c r="U152" s="329">
        <v>0</v>
      </c>
      <c r="V152" s="329">
        <v>0</v>
      </c>
      <c r="W152" s="329">
        <v>0</v>
      </c>
      <c r="X152" s="330">
        <v>1285</v>
      </c>
      <c r="Y152" s="330">
        <v>446</v>
      </c>
      <c r="Z152" s="330">
        <v>1731</v>
      </c>
    </row>
    <row r="153" spans="2:26" hidden="1" outlineLevel="1" x14ac:dyDescent="0.25">
      <c r="B153" s="304">
        <v>43221</v>
      </c>
      <c r="C153" s="329">
        <v>0</v>
      </c>
      <c r="D153" s="329">
        <v>0</v>
      </c>
      <c r="E153" s="329">
        <v>0</v>
      </c>
      <c r="F153" s="329">
        <v>0</v>
      </c>
      <c r="G153" s="329">
        <v>0</v>
      </c>
      <c r="H153" s="329">
        <v>0</v>
      </c>
      <c r="I153" s="329">
        <v>235</v>
      </c>
      <c r="J153" s="329">
        <v>52</v>
      </c>
      <c r="K153" s="329">
        <v>287</v>
      </c>
      <c r="L153" s="329">
        <v>724</v>
      </c>
      <c r="M153" s="329">
        <v>395</v>
      </c>
      <c r="N153" s="329">
        <v>1119</v>
      </c>
      <c r="O153" s="329">
        <v>373</v>
      </c>
      <c r="P153" s="329">
        <v>72</v>
      </c>
      <c r="Q153" s="329">
        <v>445</v>
      </c>
      <c r="R153" s="329">
        <v>16</v>
      </c>
      <c r="S153" s="329">
        <v>19</v>
      </c>
      <c r="T153" s="329">
        <v>35</v>
      </c>
      <c r="U153" s="329">
        <v>0</v>
      </c>
      <c r="V153" s="329">
        <v>0</v>
      </c>
      <c r="W153" s="329">
        <v>0</v>
      </c>
      <c r="X153" s="330">
        <v>1348</v>
      </c>
      <c r="Y153" s="330">
        <v>538</v>
      </c>
      <c r="Z153" s="330">
        <v>1886</v>
      </c>
    </row>
    <row r="154" spans="2:26" hidden="1" outlineLevel="1" x14ac:dyDescent="0.25">
      <c r="B154" s="304">
        <v>43252</v>
      </c>
      <c r="C154" s="329">
        <v>0</v>
      </c>
      <c r="D154" s="329">
        <v>0</v>
      </c>
      <c r="E154" s="329">
        <v>0</v>
      </c>
      <c r="F154" s="329">
        <v>0</v>
      </c>
      <c r="G154" s="329">
        <v>0</v>
      </c>
      <c r="H154" s="329">
        <v>0</v>
      </c>
      <c r="I154" s="329">
        <v>213</v>
      </c>
      <c r="J154" s="329">
        <v>39</v>
      </c>
      <c r="K154" s="329">
        <v>252</v>
      </c>
      <c r="L154" s="329">
        <v>624</v>
      </c>
      <c r="M154" s="329">
        <v>312</v>
      </c>
      <c r="N154" s="329">
        <v>936</v>
      </c>
      <c r="O154" s="329">
        <v>421</v>
      </c>
      <c r="P154" s="329">
        <v>80</v>
      </c>
      <c r="Q154" s="329">
        <v>501</v>
      </c>
      <c r="R154" s="329">
        <v>22</v>
      </c>
      <c r="S154" s="329">
        <v>10</v>
      </c>
      <c r="T154" s="329">
        <v>32</v>
      </c>
      <c r="U154" s="329">
        <v>0</v>
      </c>
      <c r="V154" s="329">
        <v>0</v>
      </c>
      <c r="W154" s="329">
        <v>0</v>
      </c>
      <c r="X154" s="330">
        <v>1280</v>
      </c>
      <c r="Y154" s="330">
        <v>441</v>
      </c>
      <c r="Z154" s="330">
        <v>1721</v>
      </c>
    </row>
    <row r="155" spans="2:26" hidden="1" outlineLevel="1" x14ac:dyDescent="0.25">
      <c r="B155" s="304">
        <v>43282</v>
      </c>
      <c r="C155" s="329">
        <v>0</v>
      </c>
      <c r="D155" s="329">
        <v>0</v>
      </c>
      <c r="E155" s="329">
        <v>0</v>
      </c>
      <c r="F155" s="329">
        <v>0</v>
      </c>
      <c r="G155" s="329">
        <v>0</v>
      </c>
      <c r="H155" s="329">
        <v>0</v>
      </c>
      <c r="I155" s="329">
        <v>237</v>
      </c>
      <c r="J155" s="329">
        <v>42</v>
      </c>
      <c r="K155" s="329">
        <v>279</v>
      </c>
      <c r="L155" s="329">
        <v>653</v>
      </c>
      <c r="M155" s="329">
        <v>327</v>
      </c>
      <c r="N155" s="329">
        <v>980</v>
      </c>
      <c r="O155" s="329">
        <v>380</v>
      </c>
      <c r="P155" s="329">
        <v>90</v>
      </c>
      <c r="Q155" s="329">
        <v>470</v>
      </c>
      <c r="R155" s="329">
        <v>21</v>
      </c>
      <c r="S155" s="329">
        <v>13</v>
      </c>
      <c r="T155" s="329">
        <v>34</v>
      </c>
      <c r="U155" s="329">
        <v>0</v>
      </c>
      <c r="V155" s="329">
        <v>0</v>
      </c>
      <c r="W155" s="329">
        <v>0</v>
      </c>
      <c r="X155" s="330">
        <v>1291</v>
      </c>
      <c r="Y155" s="330">
        <v>472</v>
      </c>
      <c r="Z155" s="330">
        <v>1763</v>
      </c>
    </row>
    <row r="156" spans="2:26" hidden="1" outlineLevel="1" x14ac:dyDescent="0.25">
      <c r="B156" s="304">
        <v>43313</v>
      </c>
      <c r="C156" s="329">
        <v>0</v>
      </c>
      <c r="D156" s="329">
        <v>0</v>
      </c>
      <c r="E156" s="329">
        <v>0</v>
      </c>
      <c r="F156" s="329">
        <v>0</v>
      </c>
      <c r="G156" s="329">
        <v>0</v>
      </c>
      <c r="H156" s="329">
        <v>0</v>
      </c>
      <c r="I156" s="329">
        <v>297</v>
      </c>
      <c r="J156" s="329">
        <v>47</v>
      </c>
      <c r="K156" s="329">
        <v>344</v>
      </c>
      <c r="L156" s="329">
        <v>683</v>
      </c>
      <c r="M156" s="329">
        <v>359</v>
      </c>
      <c r="N156" s="329">
        <v>1042</v>
      </c>
      <c r="O156" s="329">
        <v>507</v>
      </c>
      <c r="P156" s="329">
        <v>112</v>
      </c>
      <c r="Q156" s="329">
        <v>619</v>
      </c>
      <c r="R156" s="329">
        <v>24</v>
      </c>
      <c r="S156" s="329">
        <v>13</v>
      </c>
      <c r="T156" s="329">
        <v>37</v>
      </c>
      <c r="U156" s="329">
        <v>0</v>
      </c>
      <c r="V156" s="329">
        <v>0</v>
      </c>
      <c r="W156" s="329">
        <v>0</v>
      </c>
      <c r="X156" s="330">
        <v>1511</v>
      </c>
      <c r="Y156" s="330">
        <v>531</v>
      </c>
      <c r="Z156" s="330">
        <v>2042</v>
      </c>
    </row>
    <row r="157" spans="2:26" hidden="1" outlineLevel="1" x14ac:dyDescent="0.25">
      <c r="B157" s="304">
        <v>43344</v>
      </c>
      <c r="C157" s="329">
        <v>0</v>
      </c>
      <c r="D157" s="329">
        <v>0</v>
      </c>
      <c r="E157" s="329">
        <v>0</v>
      </c>
      <c r="F157" s="329">
        <v>0</v>
      </c>
      <c r="G157" s="329">
        <v>0</v>
      </c>
      <c r="H157" s="329">
        <v>0</v>
      </c>
      <c r="I157" s="329">
        <v>198</v>
      </c>
      <c r="J157" s="329">
        <v>23</v>
      </c>
      <c r="K157" s="329">
        <v>221</v>
      </c>
      <c r="L157" s="329">
        <v>578</v>
      </c>
      <c r="M157" s="329">
        <v>300</v>
      </c>
      <c r="N157" s="329">
        <v>878</v>
      </c>
      <c r="O157" s="329">
        <v>331</v>
      </c>
      <c r="P157" s="329">
        <v>85</v>
      </c>
      <c r="Q157" s="329">
        <v>416</v>
      </c>
      <c r="R157" s="329">
        <v>17</v>
      </c>
      <c r="S157" s="329">
        <v>11</v>
      </c>
      <c r="T157" s="329">
        <v>28</v>
      </c>
      <c r="U157" s="329">
        <v>0</v>
      </c>
      <c r="V157" s="329">
        <v>0</v>
      </c>
      <c r="W157" s="329">
        <v>0</v>
      </c>
      <c r="X157" s="330">
        <v>1124</v>
      </c>
      <c r="Y157" s="330">
        <v>419</v>
      </c>
      <c r="Z157" s="330">
        <v>1543</v>
      </c>
    </row>
    <row r="158" spans="2:26" hidden="1" outlineLevel="1" x14ac:dyDescent="0.25">
      <c r="B158" s="304">
        <v>43374</v>
      </c>
      <c r="C158" s="329">
        <v>0</v>
      </c>
      <c r="D158" s="329">
        <v>0</v>
      </c>
      <c r="E158" s="329">
        <v>0</v>
      </c>
      <c r="F158" s="329">
        <v>0</v>
      </c>
      <c r="G158" s="329">
        <v>0</v>
      </c>
      <c r="H158" s="329">
        <v>0</v>
      </c>
      <c r="I158" s="329">
        <v>290</v>
      </c>
      <c r="J158" s="329">
        <v>42</v>
      </c>
      <c r="K158" s="329">
        <v>332</v>
      </c>
      <c r="L158" s="329">
        <v>794</v>
      </c>
      <c r="M158" s="329">
        <v>384</v>
      </c>
      <c r="N158" s="329">
        <v>1178</v>
      </c>
      <c r="O158" s="329">
        <v>443</v>
      </c>
      <c r="P158" s="329">
        <v>112</v>
      </c>
      <c r="Q158" s="329">
        <v>555</v>
      </c>
      <c r="R158" s="329">
        <v>29</v>
      </c>
      <c r="S158" s="329">
        <v>16</v>
      </c>
      <c r="T158" s="329">
        <v>45</v>
      </c>
      <c r="U158" s="329">
        <v>0</v>
      </c>
      <c r="V158" s="329">
        <v>0</v>
      </c>
      <c r="W158" s="329">
        <v>0</v>
      </c>
      <c r="X158" s="330">
        <v>1556</v>
      </c>
      <c r="Y158" s="330">
        <v>554</v>
      </c>
      <c r="Z158" s="330">
        <v>2110</v>
      </c>
    </row>
    <row r="159" spans="2:26" hidden="1" outlineLevel="1" x14ac:dyDescent="0.25">
      <c r="B159" s="304">
        <v>43405</v>
      </c>
      <c r="C159" s="329">
        <v>0</v>
      </c>
      <c r="D159" s="329">
        <v>0</v>
      </c>
      <c r="E159" s="329">
        <v>0</v>
      </c>
      <c r="F159" s="329">
        <v>0</v>
      </c>
      <c r="G159" s="329">
        <v>0</v>
      </c>
      <c r="H159" s="329">
        <v>0</v>
      </c>
      <c r="I159" s="329">
        <v>196</v>
      </c>
      <c r="J159" s="329">
        <v>41</v>
      </c>
      <c r="K159" s="329">
        <v>237</v>
      </c>
      <c r="L159" s="329">
        <v>610</v>
      </c>
      <c r="M159" s="329">
        <v>246</v>
      </c>
      <c r="N159" s="329">
        <v>856</v>
      </c>
      <c r="O159" s="329">
        <v>425</v>
      </c>
      <c r="P159" s="329">
        <v>96</v>
      </c>
      <c r="Q159" s="329">
        <v>521</v>
      </c>
      <c r="R159" s="329">
        <v>17</v>
      </c>
      <c r="S159" s="329">
        <v>16</v>
      </c>
      <c r="T159" s="329">
        <v>33</v>
      </c>
      <c r="U159" s="329">
        <v>0</v>
      </c>
      <c r="V159" s="329">
        <v>0</v>
      </c>
      <c r="W159" s="329">
        <v>0</v>
      </c>
      <c r="X159" s="330">
        <v>1248</v>
      </c>
      <c r="Y159" s="330">
        <v>399</v>
      </c>
      <c r="Z159" s="330">
        <v>1647</v>
      </c>
    </row>
    <row r="160" spans="2:26" collapsed="1" x14ac:dyDescent="0.25">
      <c r="B160" s="304">
        <v>43435</v>
      </c>
      <c r="C160" s="329">
        <v>0</v>
      </c>
      <c r="D160" s="329">
        <v>0</v>
      </c>
      <c r="E160" s="329">
        <v>0</v>
      </c>
      <c r="F160" s="329">
        <v>0</v>
      </c>
      <c r="G160" s="329">
        <v>0</v>
      </c>
      <c r="H160" s="329">
        <v>0</v>
      </c>
      <c r="I160" s="329">
        <v>161</v>
      </c>
      <c r="J160" s="329">
        <v>21</v>
      </c>
      <c r="K160" s="329">
        <v>182</v>
      </c>
      <c r="L160" s="329">
        <v>530</v>
      </c>
      <c r="M160" s="329">
        <v>273</v>
      </c>
      <c r="N160" s="329">
        <v>803</v>
      </c>
      <c r="O160" s="329">
        <v>324</v>
      </c>
      <c r="P160" s="329">
        <v>94</v>
      </c>
      <c r="Q160" s="329">
        <v>418</v>
      </c>
      <c r="R160" s="329">
        <v>21</v>
      </c>
      <c r="S160" s="329">
        <v>10</v>
      </c>
      <c r="T160" s="329">
        <v>31</v>
      </c>
      <c r="U160" s="329">
        <v>0</v>
      </c>
      <c r="V160" s="329">
        <v>0</v>
      </c>
      <c r="W160" s="329">
        <v>0</v>
      </c>
      <c r="X160" s="330">
        <v>1036</v>
      </c>
      <c r="Y160" s="330">
        <v>398</v>
      </c>
      <c r="Z160" s="330">
        <v>1434</v>
      </c>
    </row>
    <row r="161" spans="2:26" hidden="1" outlineLevel="1" x14ac:dyDescent="0.25">
      <c r="B161" s="304">
        <v>43466</v>
      </c>
      <c r="C161" s="329">
        <v>0</v>
      </c>
      <c r="D161" s="329">
        <v>0</v>
      </c>
      <c r="E161" s="329">
        <v>0</v>
      </c>
      <c r="F161" s="329">
        <v>0</v>
      </c>
      <c r="G161" s="329">
        <v>0</v>
      </c>
      <c r="H161" s="329">
        <v>0</v>
      </c>
      <c r="I161" s="329">
        <v>225</v>
      </c>
      <c r="J161" s="329">
        <v>31</v>
      </c>
      <c r="K161" s="329">
        <v>256</v>
      </c>
      <c r="L161" s="329">
        <v>656</v>
      </c>
      <c r="M161" s="329">
        <v>264</v>
      </c>
      <c r="N161" s="329">
        <v>920</v>
      </c>
      <c r="O161" s="329">
        <v>401</v>
      </c>
      <c r="P161" s="329">
        <v>95</v>
      </c>
      <c r="Q161" s="329">
        <v>496</v>
      </c>
      <c r="R161" s="329">
        <v>25</v>
      </c>
      <c r="S161" s="329">
        <v>22</v>
      </c>
      <c r="T161" s="329">
        <v>47</v>
      </c>
      <c r="U161" s="329">
        <v>0</v>
      </c>
      <c r="V161" s="329">
        <v>0</v>
      </c>
      <c r="W161" s="329">
        <v>0</v>
      </c>
      <c r="X161" s="330">
        <v>1307</v>
      </c>
      <c r="Y161" s="330">
        <v>412</v>
      </c>
      <c r="Z161" s="330">
        <v>1719</v>
      </c>
    </row>
    <row r="162" spans="2:26" hidden="1" outlineLevel="1" x14ac:dyDescent="0.25">
      <c r="B162" s="304">
        <v>43497</v>
      </c>
      <c r="C162" s="329">
        <v>0</v>
      </c>
      <c r="D162" s="329">
        <v>0</v>
      </c>
      <c r="E162" s="329">
        <v>0</v>
      </c>
      <c r="F162" s="329">
        <v>0</v>
      </c>
      <c r="G162" s="329">
        <v>0</v>
      </c>
      <c r="H162" s="329">
        <v>0</v>
      </c>
      <c r="I162" s="329">
        <v>190</v>
      </c>
      <c r="J162" s="329">
        <v>29</v>
      </c>
      <c r="K162" s="329">
        <v>219</v>
      </c>
      <c r="L162" s="329">
        <v>543</v>
      </c>
      <c r="M162" s="329">
        <v>252</v>
      </c>
      <c r="N162" s="329">
        <v>795</v>
      </c>
      <c r="O162" s="329">
        <v>347</v>
      </c>
      <c r="P162" s="329">
        <v>86</v>
      </c>
      <c r="Q162" s="329">
        <v>433</v>
      </c>
      <c r="R162" s="329">
        <v>29</v>
      </c>
      <c r="S162" s="329">
        <v>9</v>
      </c>
      <c r="T162" s="329">
        <v>38</v>
      </c>
      <c r="U162" s="329">
        <v>0</v>
      </c>
      <c r="V162" s="329">
        <v>0</v>
      </c>
      <c r="W162" s="329">
        <v>0</v>
      </c>
      <c r="X162" s="330">
        <v>1109</v>
      </c>
      <c r="Y162" s="330">
        <v>376</v>
      </c>
      <c r="Z162" s="330">
        <v>1485</v>
      </c>
    </row>
    <row r="163" spans="2:26" hidden="1" outlineLevel="1" x14ac:dyDescent="0.25">
      <c r="B163" s="304">
        <v>43525</v>
      </c>
      <c r="C163" s="329">
        <v>0</v>
      </c>
      <c r="D163" s="329">
        <v>0</v>
      </c>
      <c r="E163" s="329">
        <v>0</v>
      </c>
      <c r="F163" s="329">
        <v>0</v>
      </c>
      <c r="G163" s="329">
        <v>0</v>
      </c>
      <c r="H163" s="329">
        <v>0</v>
      </c>
      <c r="I163" s="329">
        <v>235</v>
      </c>
      <c r="J163" s="329">
        <v>28</v>
      </c>
      <c r="K163" s="329">
        <v>263</v>
      </c>
      <c r="L163" s="329">
        <v>662</v>
      </c>
      <c r="M163" s="329">
        <v>268</v>
      </c>
      <c r="N163" s="329">
        <v>930</v>
      </c>
      <c r="O163" s="329">
        <v>428</v>
      </c>
      <c r="P163" s="329">
        <v>72</v>
      </c>
      <c r="Q163" s="329">
        <v>500</v>
      </c>
      <c r="R163" s="329">
        <v>26</v>
      </c>
      <c r="S163" s="329">
        <v>13</v>
      </c>
      <c r="T163" s="329">
        <v>39</v>
      </c>
      <c r="U163" s="329">
        <v>0</v>
      </c>
      <c r="V163" s="329">
        <v>0</v>
      </c>
      <c r="W163" s="329">
        <v>0</v>
      </c>
      <c r="X163" s="330">
        <v>1351</v>
      </c>
      <c r="Y163" s="330">
        <v>381</v>
      </c>
      <c r="Z163" s="330">
        <v>1732</v>
      </c>
    </row>
    <row r="164" spans="2:26" hidden="1" outlineLevel="1" x14ac:dyDescent="0.25">
      <c r="B164" s="304">
        <v>43556</v>
      </c>
      <c r="C164" s="329">
        <v>0</v>
      </c>
      <c r="D164" s="329">
        <v>0</v>
      </c>
      <c r="E164" s="329">
        <v>0</v>
      </c>
      <c r="F164" s="329">
        <v>0</v>
      </c>
      <c r="G164" s="329">
        <v>0</v>
      </c>
      <c r="H164" s="329">
        <v>0</v>
      </c>
      <c r="I164" s="329">
        <v>206</v>
      </c>
      <c r="J164" s="329">
        <v>29</v>
      </c>
      <c r="K164" s="329">
        <v>235</v>
      </c>
      <c r="L164" s="329">
        <v>611</v>
      </c>
      <c r="M164" s="329">
        <v>263</v>
      </c>
      <c r="N164" s="329">
        <v>874</v>
      </c>
      <c r="O164" s="329">
        <v>453</v>
      </c>
      <c r="P164" s="329">
        <v>98</v>
      </c>
      <c r="Q164" s="329">
        <v>551</v>
      </c>
      <c r="R164" s="329">
        <v>25</v>
      </c>
      <c r="S164" s="329">
        <v>20</v>
      </c>
      <c r="T164" s="329">
        <v>45</v>
      </c>
      <c r="U164" s="329">
        <v>0</v>
      </c>
      <c r="V164" s="329">
        <v>0</v>
      </c>
      <c r="W164" s="329">
        <v>0</v>
      </c>
      <c r="X164" s="330">
        <v>1295</v>
      </c>
      <c r="Y164" s="330">
        <v>410</v>
      </c>
      <c r="Z164" s="330">
        <v>1705</v>
      </c>
    </row>
    <row r="165" spans="2:26" hidden="1" outlineLevel="1" x14ac:dyDescent="0.25">
      <c r="B165" s="304">
        <v>43586</v>
      </c>
      <c r="C165" s="329">
        <v>0</v>
      </c>
      <c r="D165" s="329">
        <v>0</v>
      </c>
      <c r="E165" s="329">
        <v>0</v>
      </c>
      <c r="F165" s="329">
        <v>0</v>
      </c>
      <c r="G165" s="329">
        <v>0</v>
      </c>
      <c r="H165" s="329">
        <v>0</v>
      </c>
      <c r="I165" s="329">
        <v>200</v>
      </c>
      <c r="J165" s="329">
        <v>23</v>
      </c>
      <c r="K165" s="329">
        <v>223</v>
      </c>
      <c r="L165" s="329">
        <v>602</v>
      </c>
      <c r="M165" s="329">
        <v>310</v>
      </c>
      <c r="N165" s="329">
        <v>912</v>
      </c>
      <c r="O165" s="329">
        <v>411</v>
      </c>
      <c r="P165" s="329">
        <v>86</v>
      </c>
      <c r="Q165" s="329">
        <v>497</v>
      </c>
      <c r="R165" s="329">
        <v>16</v>
      </c>
      <c r="S165" s="329">
        <v>16</v>
      </c>
      <c r="T165" s="329">
        <v>32</v>
      </c>
      <c r="U165" s="329">
        <v>0</v>
      </c>
      <c r="V165" s="329">
        <v>0</v>
      </c>
      <c r="W165" s="329">
        <v>0</v>
      </c>
      <c r="X165" s="330">
        <v>1229</v>
      </c>
      <c r="Y165" s="330">
        <v>435</v>
      </c>
      <c r="Z165" s="330">
        <v>1664</v>
      </c>
    </row>
    <row r="166" spans="2:26" hidden="1" outlineLevel="1" x14ac:dyDescent="0.25">
      <c r="B166" s="304">
        <v>43617</v>
      </c>
      <c r="C166" s="329">
        <v>0</v>
      </c>
      <c r="D166" s="329">
        <v>0</v>
      </c>
      <c r="E166" s="329">
        <v>0</v>
      </c>
      <c r="F166" s="329">
        <v>0</v>
      </c>
      <c r="G166" s="329">
        <v>0</v>
      </c>
      <c r="H166" s="329">
        <v>0</v>
      </c>
      <c r="I166" s="329">
        <v>205</v>
      </c>
      <c r="J166" s="329">
        <v>28</v>
      </c>
      <c r="K166" s="329">
        <v>233</v>
      </c>
      <c r="L166" s="329">
        <v>524</v>
      </c>
      <c r="M166" s="329">
        <v>233</v>
      </c>
      <c r="N166" s="329">
        <v>757</v>
      </c>
      <c r="O166" s="329">
        <v>361</v>
      </c>
      <c r="P166" s="329">
        <v>75</v>
      </c>
      <c r="Q166" s="329">
        <v>436</v>
      </c>
      <c r="R166" s="329">
        <v>22</v>
      </c>
      <c r="S166" s="329">
        <v>14</v>
      </c>
      <c r="T166" s="329">
        <v>36</v>
      </c>
      <c r="U166" s="329">
        <v>0</v>
      </c>
      <c r="V166" s="329">
        <v>0</v>
      </c>
      <c r="W166" s="329">
        <v>0</v>
      </c>
      <c r="X166" s="330">
        <v>1112</v>
      </c>
      <c r="Y166" s="330">
        <v>350</v>
      </c>
      <c r="Z166" s="330">
        <v>1462</v>
      </c>
    </row>
    <row r="167" spans="2:26" hidden="1" outlineLevel="1" x14ac:dyDescent="0.25">
      <c r="B167" s="304">
        <v>43647</v>
      </c>
      <c r="C167" s="329">
        <v>0</v>
      </c>
      <c r="D167" s="329">
        <v>0</v>
      </c>
      <c r="E167" s="329">
        <v>0</v>
      </c>
      <c r="F167" s="329">
        <v>0</v>
      </c>
      <c r="G167" s="329">
        <v>0</v>
      </c>
      <c r="H167" s="329">
        <v>0</v>
      </c>
      <c r="I167" s="329">
        <v>214</v>
      </c>
      <c r="J167" s="329">
        <v>29</v>
      </c>
      <c r="K167" s="329">
        <v>243</v>
      </c>
      <c r="L167" s="329">
        <v>612</v>
      </c>
      <c r="M167" s="329">
        <v>277</v>
      </c>
      <c r="N167" s="329">
        <v>889</v>
      </c>
      <c r="O167" s="329">
        <v>417</v>
      </c>
      <c r="P167" s="329">
        <v>117</v>
      </c>
      <c r="Q167" s="329">
        <v>534</v>
      </c>
      <c r="R167" s="329">
        <v>16</v>
      </c>
      <c r="S167" s="329">
        <v>6</v>
      </c>
      <c r="T167" s="329">
        <v>22</v>
      </c>
      <c r="U167" s="329">
        <v>0</v>
      </c>
      <c r="V167" s="329">
        <v>0</v>
      </c>
      <c r="W167" s="329">
        <v>0</v>
      </c>
      <c r="X167" s="330">
        <v>1259</v>
      </c>
      <c r="Y167" s="330">
        <v>429</v>
      </c>
      <c r="Z167" s="330">
        <v>1688</v>
      </c>
    </row>
    <row r="168" spans="2:26" hidden="1" outlineLevel="1" x14ac:dyDescent="0.25">
      <c r="B168" s="304">
        <v>43678</v>
      </c>
      <c r="C168" s="329">
        <v>0</v>
      </c>
      <c r="D168" s="329">
        <v>0</v>
      </c>
      <c r="E168" s="329">
        <v>0</v>
      </c>
      <c r="F168" s="329">
        <v>0</v>
      </c>
      <c r="G168" s="329">
        <v>0</v>
      </c>
      <c r="H168" s="329">
        <v>0</v>
      </c>
      <c r="I168" s="329">
        <v>224</v>
      </c>
      <c r="J168" s="329">
        <v>33</v>
      </c>
      <c r="K168" s="329">
        <v>257</v>
      </c>
      <c r="L168" s="329">
        <v>686</v>
      </c>
      <c r="M168" s="329">
        <v>307</v>
      </c>
      <c r="N168" s="329">
        <v>993</v>
      </c>
      <c r="O168" s="329">
        <v>420</v>
      </c>
      <c r="P168" s="329">
        <v>104</v>
      </c>
      <c r="Q168" s="329">
        <v>524</v>
      </c>
      <c r="R168" s="329">
        <v>20</v>
      </c>
      <c r="S168" s="329">
        <v>15</v>
      </c>
      <c r="T168" s="329">
        <v>35</v>
      </c>
      <c r="U168" s="329">
        <v>0</v>
      </c>
      <c r="V168" s="329">
        <v>0</v>
      </c>
      <c r="W168" s="329">
        <v>0</v>
      </c>
      <c r="X168" s="330">
        <v>1350</v>
      </c>
      <c r="Y168" s="330">
        <v>459</v>
      </c>
      <c r="Z168" s="330">
        <v>1809</v>
      </c>
    </row>
    <row r="169" spans="2:26" hidden="1" outlineLevel="1" x14ac:dyDescent="0.25">
      <c r="B169" s="304">
        <v>43709</v>
      </c>
      <c r="C169" s="329">
        <v>0</v>
      </c>
      <c r="D169" s="329">
        <v>0</v>
      </c>
      <c r="E169" s="329">
        <v>0</v>
      </c>
      <c r="F169" s="329">
        <v>0</v>
      </c>
      <c r="G169" s="329">
        <v>0</v>
      </c>
      <c r="H169" s="329">
        <v>0</v>
      </c>
      <c r="I169" s="329">
        <v>185</v>
      </c>
      <c r="J169" s="329">
        <v>25</v>
      </c>
      <c r="K169" s="329">
        <v>210</v>
      </c>
      <c r="L169" s="329">
        <v>563</v>
      </c>
      <c r="M169" s="329">
        <v>278</v>
      </c>
      <c r="N169" s="329">
        <v>841</v>
      </c>
      <c r="O169" s="329">
        <v>347</v>
      </c>
      <c r="P169" s="329">
        <v>85</v>
      </c>
      <c r="Q169" s="329">
        <v>432</v>
      </c>
      <c r="R169" s="329">
        <v>20</v>
      </c>
      <c r="S169" s="329">
        <v>13</v>
      </c>
      <c r="T169" s="329">
        <v>33</v>
      </c>
      <c r="U169" s="329">
        <v>0</v>
      </c>
      <c r="V169" s="329">
        <v>0</v>
      </c>
      <c r="W169" s="329">
        <v>0</v>
      </c>
      <c r="X169" s="330">
        <v>1115</v>
      </c>
      <c r="Y169" s="330">
        <v>401</v>
      </c>
      <c r="Z169" s="330">
        <v>1516</v>
      </c>
    </row>
    <row r="170" spans="2:26" hidden="1" outlineLevel="1" x14ac:dyDescent="0.25">
      <c r="B170" s="304">
        <v>43739</v>
      </c>
      <c r="C170" s="329">
        <v>0</v>
      </c>
      <c r="D170" s="329">
        <v>0</v>
      </c>
      <c r="E170" s="329">
        <v>0</v>
      </c>
      <c r="F170" s="329">
        <v>0</v>
      </c>
      <c r="G170" s="329">
        <v>0</v>
      </c>
      <c r="H170" s="329">
        <v>0</v>
      </c>
      <c r="I170" s="329">
        <v>182</v>
      </c>
      <c r="J170" s="329">
        <v>29</v>
      </c>
      <c r="K170" s="329">
        <v>211</v>
      </c>
      <c r="L170" s="329">
        <v>515</v>
      </c>
      <c r="M170" s="329">
        <v>227</v>
      </c>
      <c r="N170" s="329">
        <v>742</v>
      </c>
      <c r="O170" s="329">
        <v>361</v>
      </c>
      <c r="P170" s="329">
        <v>76</v>
      </c>
      <c r="Q170" s="329">
        <v>437</v>
      </c>
      <c r="R170" s="329">
        <v>15</v>
      </c>
      <c r="S170" s="329">
        <v>9</v>
      </c>
      <c r="T170" s="329">
        <v>24</v>
      </c>
      <c r="U170" s="329">
        <v>0</v>
      </c>
      <c r="V170" s="329">
        <v>0</v>
      </c>
      <c r="W170" s="329">
        <v>0</v>
      </c>
      <c r="X170" s="330">
        <v>1073</v>
      </c>
      <c r="Y170" s="330">
        <v>341</v>
      </c>
      <c r="Z170" s="330">
        <v>1414</v>
      </c>
    </row>
    <row r="171" spans="2:26" hidden="1" outlineLevel="1" x14ac:dyDescent="0.25">
      <c r="B171" s="304">
        <v>43770</v>
      </c>
      <c r="C171" s="329">
        <v>0</v>
      </c>
      <c r="D171" s="329">
        <v>0</v>
      </c>
      <c r="E171" s="329">
        <v>0</v>
      </c>
      <c r="F171" s="329">
        <v>0</v>
      </c>
      <c r="G171" s="329">
        <v>0</v>
      </c>
      <c r="H171" s="329">
        <v>0</v>
      </c>
      <c r="I171" s="329">
        <v>145</v>
      </c>
      <c r="J171" s="329">
        <v>16</v>
      </c>
      <c r="K171" s="329">
        <v>161</v>
      </c>
      <c r="L171" s="329">
        <v>415</v>
      </c>
      <c r="M171" s="329">
        <v>229</v>
      </c>
      <c r="N171" s="329">
        <v>644</v>
      </c>
      <c r="O171" s="329">
        <v>247</v>
      </c>
      <c r="P171" s="329">
        <v>61</v>
      </c>
      <c r="Q171" s="329">
        <v>308</v>
      </c>
      <c r="R171" s="329">
        <v>16</v>
      </c>
      <c r="S171" s="329">
        <v>11</v>
      </c>
      <c r="T171" s="329">
        <v>27</v>
      </c>
      <c r="U171" s="329">
        <v>0</v>
      </c>
      <c r="V171" s="329">
        <v>0</v>
      </c>
      <c r="W171" s="329">
        <v>0</v>
      </c>
      <c r="X171" s="330">
        <v>823</v>
      </c>
      <c r="Y171" s="330">
        <v>317</v>
      </c>
      <c r="Z171" s="330">
        <v>1140</v>
      </c>
    </row>
    <row r="172" spans="2:26" collapsed="1" x14ac:dyDescent="0.25">
      <c r="B172" s="304">
        <v>43800</v>
      </c>
      <c r="C172" s="329">
        <v>0</v>
      </c>
      <c r="D172" s="329">
        <v>0</v>
      </c>
      <c r="E172" s="329">
        <v>0</v>
      </c>
      <c r="F172" s="329">
        <v>0</v>
      </c>
      <c r="G172" s="329">
        <v>0</v>
      </c>
      <c r="H172" s="329">
        <v>0</v>
      </c>
      <c r="I172" s="329">
        <v>286</v>
      </c>
      <c r="J172" s="329">
        <v>42</v>
      </c>
      <c r="K172" s="329">
        <v>328</v>
      </c>
      <c r="L172" s="329">
        <v>924</v>
      </c>
      <c r="M172" s="329">
        <v>485</v>
      </c>
      <c r="N172" s="329">
        <v>1409</v>
      </c>
      <c r="O172" s="329">
        <v>482</v>
      </c>
      <c r="P172" s="329">
        <v>109</v>
      </c>
      <c r="Q172" s="329">
        <v>591</v>
      </c>
      <c r="R172" s="329">
        <v>34</v>
      </c>
      <c r="S172" s="329">
        <v>29</v>
      </c>
      <c r="T172" s="329">
        <v>63</v>
      </c>
      <c r="U172" s="329">
        <v>0</v>
      </c>
      <c r="V172" s="329">
        <v>0</v>
      </c>
      <c r="W172" s="329">
        <v>0</v>
      </c>
      <c r="X172" s="330">
        <v>1726</v>
      </c>
      <c r="Y172" s="330">
        <v>665</v>
      </c>
      <c r="Z172" s="330">
        <v>2391</v>
      </c>
    </row>
    <row r="173" spans="2:26" hidden="1" outlineLevel="1" x14ac:dyDescent="0.25">
      <c r="B173" s="304">
        <v>43831</v>
      </c>
      <c r="C173" s="329">
        <v>0</v>
      </c>
      <c r="D173" s="329">
        <v>0</v>
      </c>
      <c r="E173" s="329">
        <v>0</v>
      </c>
      <c r="F173" s="329">
        <v>0</v>
      </c>
      <c r="G173" s="329">
        <v>0</v>
      </c>
      <c r="H173" s="329">
        <v>0</v>
      </c>
      <c r="I173" s="329">
        <v>265</v>
      </c>
      <c r="J173" s="329">
        <v>52</v>
      </c>
      <c r="K173" s="329">
        <v>317</v>
      </c>
      <c r="L173" s="329">
        <v>1339</v>
      </c>
      <c r="M173" s="329">
        <v>593</v>
      </c>
      <c r="N173" s="329">
        <v>1932</v>
      </c>
      <c r="O173" s="329">
        <v>522</v>
      </c>
      <c r="P173" s="329">
        <v>115</v>
      </c>
      <c r="Q173" s="329">
        <v>637</v>
      </c>
      <c r="R173" s="329">
        <v>37</v>
      </c>
      <c r="S173" s="329">
        <v>39</v>
      </c>
      <c r="T173" s="329">
        <v>76</v>
      </c>
      <c r="U173" s="329">
        <v>0</v>
      </c>
      <c r="V173" s="329">
        <v>0</v>
      </c>
      <c r="W173" s="329">
        <v>0</v>
      </c>
      <c r="X173" s="330">
        <v>2163</v>
      </c>
      <c r="Y173" s="330">
        <v>799</v>
      </c>
      <c r="Z173" s="330">
        <v>2962</v>
      </c>
    </row>
    <row r="174" spans="2:26" hidden="1" outlineLevel="1" x14ac:dyDescent="0.25">
      <c r="B174" s="304">
        <v>43862</v>
      </c>
      <c r="C174" s="329">
        <v>0</v>
      </c>
      <c r="D174" s="329">
        <v>0</v>
      </c>
      <c r="E174" s="329">
        <v>0</v>
      </c>
      <c r="F174" s="329">
        <v>0</v>
      </c>
      <c r="G174" s="329">
        <v>0</v>
      </c>
      <c r="H174" s="329">
        <v>0</v>
      </c>
      <c r="I174" s="329">
        <v>276</v>
      </c>
      <c r="J174" s="329">
        <v>33</v>
      </c>
      <c r="K174" s="329">
        <v>309</v>
      </c>
      <c r="L174" s="329">
        <v>1948</v>
      </c>
      <c r="M174" s="329">
        <v>823</v>
      </c>
      <c r="N174" s="329">
        <v>2771</v>
      </c>
      <c r="O174" s="329">
        <v>438</v>
      </c>
      <c r="P174" s="329">
        <v>105</v>
      </c>
      <c r="Q174" s="329">
        <v>543</v>
      </c>
      <c r="R174" s="329">
        <v>36</v>
      </c>
      <c r="S174" s="329">
        <v>19</v>
      </c>
      <c r="T174" s="329">
        <v>55</v>
      </c>
      <c r="U174" s="329">
        <v>0</v>
      </c>
      <c r="V174" s="329">
        <v>0</v>
      </c>
      <c r="W174" s="329">
        <v>0</v>
      </c>
      <c r="X174" s="330">
        <v>2698</v>
      </c>
      <c r="Y174" s="330">
        <v>980</v>
      </c>
      <c r="Z174" s="330">
        <v>3678</v>
      </c>
    </row>
    <row r="175" spans="2:26" hidden="1" outlineLevel="1" x14ac:dyDescent="0.25">
      <c r="B175" s="304">
        <v>43891</v>
      </c>
      <c r="C175" s="329">
        <v>0</v>
      </c>
      <c r="D175" s="329">
        <v>0</v>
      </c>
      <c r="E175" s="329">
        <v>0</v>
      </c>
      <c r="F175" s="329">
        <v>0</v>
      </c>
      <c r="G175" s="329">
        <v>0</v>
      </c>
      <c r="H175" s="329">
        <v>0</v>
      </c>
      <c r="I175" s="329">
        <v>153</v>
      </c>
      <c r="J175" s="329">
        <v>36</v>
      </c>
      <c r="K175" s="329">
        <v>189</v>
      </c>
      <c r="L175" s="329">
        <v>779</v>
      </c>
      <c r="M175" s="329">
        <v>510</v>
      </c>
      <c r="N175" s="329">
        <v>1289</v>
      </c>
      <c r="O175" s="329">
        <v>295</v>
      </c>
      <c r="P175" s="329">
        <v>78</v>
      </c>
      <c r="Q175" s="329">
        <v>373</v>
      </c>
      <c r="R175" s="329">
        <v>26</v>
      </c>
      <c r="S175" s="329">
        <v>20</v>
      </c>
      <c r="T175" s="329">
        <v>46</v>
      </c>
      <c r="U175" s="329">
        <v>0</v>
      </c>
      <c r="V175" s="329">
        <v>0</v>
      </c>
      <c r="W175" s="329">
        <v>0</v>
      </c>
      <c r="X175" s="330">
        <v>1253</v>
      </c>
      <c r="Y175" s="330">
        <v>644</v>
      </c>
      <c r="Z175" s="330">
        <v>1897</v>
      </c>
    </row>
    <row r="176" spans="2:26" hidden="1" outlineLevel="1" x14ac:dyDescent="0.25">
      <c r="B176" s="304">
        <v>43922</v>
      </c>
      <c r="C176" s="329">
        <v>0</v>
      </c>
      <c r="D176" s="329">
        <v>0</v>
      </c>
      <c r="E176" s="329">
        <v>0</v>
      </c>
      <c r="F176" s="329">
        <v>0</v>
      </c>
      <c r="G176" s="329">
        <v>0</v>
      </c>
      <c r="H176" s="329">
        <v>0</v>
      </c>
      <c r="I176" s="329">
        <v>63</v>
      </c>
      <c r="J176" s="329">
        <v>15</v>
      </c>
      <c r="K176" s="329">
        <v>78</v>
      </c>
      <c r="L176" s="329">
        <v>294</v>
      </c>
      <c r="M176" s="329">
        <v>200</v>
      </c>
      <c r="N176" s="329">
        <v>494</v>
      </c>
      <c r="O176" s="329">
        <v>82</v>
      </c>
      <c r="P176" s="329">
        <v>10</v>
      </c>
      <c r="Q176" s="329">
        <v>92</v>
      </c>
      <c r="R176" s="329">
        <v>9</v>
      </c>
      <c r="S176" s="329">
        <v>6</v>
      </c>
      <c r="T176" s="329">
        <v>15</v>
      </c>
      <c r="U176" s="329">
        <v>0</v>
      </c>
      <c r="V176" s="329">
        <v>0</v>
      </c>
      <c r="W176" s="329">
        <v>0</v>
      </c>
      <c r="X176" s="330">
        <v>448</v>
      </c>
      <c r="Y176" s="330">
        <v>231</v>
      </c>
      <c r="Z176" s="330">
        <v>679</v>
      </c>
    </row>
    <row r="177" spans="2:26" hidden="1" outlineLevel="1" x14ac:dyDescent="0.25">
      <c r="B177" s="304">
        <v>43952</v>
      </c>
      <c r="C177" s="329">
        <v>0</v>
      </c>
      <c r="D177" s="329">
        <v>0</v>
      </c>
      <c r="E177" s="329">
        <v>0</v>
      </c>
      <c r="F177" s="329">
        <v>0</v>
      </c>
      <c r="G177" s="329">
        <v>0</v>
      </c>
      <c r="H177" s="329">
        <v>0</v>
      </c>
      <c r="I177" s="329">
        <v>137</v>
      </c>
      <c r="J177" s="329">
        <v>35</v>
      </c>
      <c r="K177" s="329">
        <v>172</v>
      </c>
      <c r="L177" s="329">
        <v>434</v>
      </c>
      <c r="M177" s="329">
        <v>363</v>
      </c>
      <c r="N177" s="329">
        <v>797</v>
      </c>
      <c r="O177" s="329">
        <v>190</v>
      </c>
      <c r="P177" s="329">
        <v>51</v>
      </c>
      <c r="Q177" s="329">
        <v>241</v>
      </c>
      <c r="R177" s="329">
        <v>20</v>
      </c>
      <c r="S177" s="329">
        <v>7</v>
      </c>
      <c r="T177" s="329">
        <v>27</v>
      </c>
      <c r="U177" s="329">
        <v>0</v>
      </c>
      <c r="V177" s="329">
        <v>0</v>
      </c>
      <c r="W177" s="329">
        <v>0</v>
      </c>
      <c r="X177" s="330">
        <v>781</v>
      </c>
      <c r="Y177" s="330">
        <v>456</v>
      </c>
      <c r="Z177" s="330">
        <v>1237</v>
      </c>
    </row>
    <row r="178" spans="2:26" hidden="1" outlineLevel="1" x14ac:dyDescent="0.25">
      <c r="B178" s="304">
        <v>43983</v>
      </c>
      <c r="C178" s="329">
        <v>0</v>
      </c>
      <c r="D178" s="329">
        <v>0</v>
      </c>
      <c r="E178" s="329">
        <v>0</v>
      </c>
      <c r="F178" s="329">
        <v>0</v>
      </c>
      <c r="G178" s="329">
        <v>0</v>
      </c>
      <c r="H178" s="329">
        <v>0</v>
      </c>
      <c r="I178" s="329">
        <v>125</v>
      </c>
      <c r="J178" s="329">
        <v>28</v>
      </c>
      <c r="K178" s="329">
        <v>153</v>
      </c>
      <c r="L178" s="329">
        <v>526</v>
      </c>
      <c r="M178" s="329">
        <v>332</v>
      </c>
      <c r="N178" s="329">
        <v>858</v>
      </c>
      <c r="O178" s="329">
        <v>172</v>
      </c>
      <c r="P178" s="329">
        <v>44</v>
      </c>
      <c r="Q178" s="329">
        <v>216</v>
      </c>
      <c r="R178" s="329">
        <v>13</v>
      </c>
      <c r="S178" s="329">
        <v>15</v>
      </c>
      <c r="T178" s="329">
        <v>28</v>
      </c>
      <c r="U178" s="329">
        <v>0</v>
      </c>
      <c r="V178" s="329">
        <v>0</v>
      </c>
      <c r="W178" s="329">
        <v>0</v>
      </c>
      <c r="X178" s="330">
        <v>836</v>
      </c>
      <c r="Y178" s="330">
        <v>419</v>
      </c>
      <c r="Z178" s="330">
        <v>1255</v>
      </c>
    </row>
    <row r="179" spans="2:26" hidden="1" outlineLevel="1" x14ac:dyDescent="0.25">
      <c r="B179" s="304">
        <v>44013</v>
      </c>
      <c r="C179" s="329">
        <v>0</v>
      </c>
      <c r="D179" s="329">
        <v>0</v>
      </c>
      <c r="E179" s="329">
        <v>0</v>
      </c>
      <c r="F179" s="329">
        <v>0</v>
      </c>
      <c r="G179" s="329">
        <v>0</v>
      </c>
      <c r="H179" s="329">
        <v>0</v>
      </c>
      <c r="I179" s="329">
        <v>205</v>
      </c>
      <c r="J179" s="329">
        <v>53</v>
      </c>
      <c r="K179" s="329">
        <v>258</v>
      </c>
      <c r="L179" s="329">
        <v>705</v>
      </c>
      <c r="M179" s="329">
        <v>399</v>
      </c>
      <c r="N179" s="329">
        <v>1104</v>
      </c>
      <c r="O179" s="329">
        <v>234</v>
      </c>
      <c r="P179" s="329">
        <v>50</v>
      </c>
      <c r="Q179" s="329">
        <v>284</v>
      </c>
      <c r="R179" s="329">
        <v>20</v>
      </c>
      <c r="S179" s="329">
        <v>12</v>
      </c>
      <c r="T179" s="329">
        <v>32</v>
      </c>
      <c r="U179" s="329">
        <v>0</v>
      </c>
      <c r="V179" s="329">
        <v>0</v>
      </c>
      <c r="W179" s="329">
        <v>0</v>
      </c>
      <c r="X179" s="330">
        <v>1164</v>
      </c>
      <c r="Y179" s="330">
        <v>514</v>
      </c>
      <c r="Z179" s="330">
        <v>1678</v>
      </c>
    </row>
    <row r="180" spans="2:26" hidden="1" outlineLevel="1" x14ac:dyDescent="0.25">
      <c r="B180" s="304">
        <v>44044</v>
      </c>
      <c r="C180" s="329">
        <v>0</v>
      </c>
      <c r="D180" s="329">
        <v>0</v>
      </c>
      <c r="E180" s="329">
        <v>0</v>
      </c>
      <c r="F180" s="329">
        <v>0</v>
      </c>
      <c r="G180" s="329">
        <v>0</v>
      </c>
      <c r="H180" s="329">
        <v>0</v>
      </c>
      <c r="I180" s="329">
        <v>295</v>
      </c>
      <c r="J180" s="329">
        <v>38</v>
      </c>
      <c r="K180" s="329">
        <v>333</v>
      </c>
      <c r="L180" s="329">
        <v>1115</v>
      </c>
      <c r="M180" s="329">
        <v>590</v>
      </c>
      <c r="N180" s="329">
        <v>1705</v>
      </c>
      <c r="O180" s="329">
        <v>306</v>
      </c>
      <c r="P180" s="329">
        <v>81</v>
      </c>
      <c r="Q180" s="329">
        <v>387</v>
      </c>
      <c r="R180" s="329">
        <v>23</v>
      </c>
      <c r="S180" s="329">
        <v>11</v>
      </c>
      <c r="T180" s="329">
        <v>34</v>
      </c>
      <c r="U180" s="329">
        <v>0</v>
      </c>
      <c r="V180" s="329">
        <v>0</v>
      </c>
      <c r="W180" s="329">
        <v>0</v>
      </c>
      <c r="X180" s="330">
        <v>1739</v>
      </c>
      <c r="Y180" s="330">
        <v>720</v>
      </c>
      <c r="Z180" s="330">
        <v>2459</v>
      </c>
    </row>
    <row r="181" spans="2:26" hidden="1" outlineLevel="1" x14ac:dyDescent="0.25">
      <c r="B181" s="304">
        <v>44075</v>
      </c>
      <c r="C181" s="329">
        <v>0</v>
      </c>
      <c r="D181" s="329">
        <v>0</v>
      </c>
      <c r="E181" s="329">
        <v>0</v>
      </c>
      <c r="F181" s="329">
        <v>0</v>
      </c>
      <c r="G181" s="329">
        <v>0</v>
      </c>
      <c r="H181" s="329">
        <v>0</v>
      </c>
      <c r="I181" s="329">
        <v>283</v>
      </c>
      <c r="J181" s="329">
        <v>50</v>
      </c>
      <c r="K181" s="329">
        <v>333</v>
      </c>
      <c r="L181" s="329">
        <v>1020</v>
      </c>
      <c r="M181" s="329">
        <v>522</v>
      </c>
      <c r="N181" s="329">
        <v>1542</v>
      </c>
      <c r="O181" s="329">
        <v>394</v>
      </c>
      <c r="P181" s="329">
        <v>104</v>
      </c>
      <c r="Q181" s="329">
        <v>498</v>
      </c>
      <c r="R181" s="329">
        <v>27</v>
      </c>
      <c r="S181" s="329">
        <v>34</v>
      </c>
      <c r="T181" s="329">
        <v>61</v>
      </c>
      <c r="U181" s="329">
        <v>0</v>
      </c>
      <c r="V181" s="329">
        <v>0</v>
      </c>
      <c r="W181" s="329">
        <v>0</v>
      </c>
      <c r="X181" s="330">
        <v>1724</v>
      </c>
      <c r="Y181" s="330">
        <v>710</v>
      </c>
      <c r="Z181" s="330">
        <v>2434</v>
      </c>
    </row>
    <row r="182" spans="2:26" hidden="1" outlineLevel="1" x14ac:dyDescent="0.25">
      <c r="B182" s="304">
        <v>44105</v>
      </c>
      <c r="C182" s="329">
        <v>0</v>
      </c>
      <c r="D182" s="329">
        <v>0</v>
      </c>
      <c r="E182" s="329">
        <v>0</v>
      </c>
      <c r="F182" s="329">
        <v>0</v>
      </c>
      <c r="G182" s="329">
        <v>0</v>
      </c>
      <c r="H182" s="329">
        <v>0</v>
      </c>
      <c r="I182" s="329">
        <v>312</v>
      </c>
      <c r="J182" s="329">
        <v>56</v>
      </c>
      <c r="K182" s="329">
        <v>368</v>
      </c>
      <c r="L182" s="329">
        <v>985</v>
      </c>
      <c r="M182" s="329">
        <v>461</v>
      </c>
      <c r="N182" s="329">
        <v>1446</v>
      </c>
      <c r="O182" s="329">
        <v>550</v>
      </c>
      <c r="P182" s="329">
        <v>102</v>
      </c>
      <c r="Q182" s="329">
        <v>652</v>
      </c>
      <c r="R182" s="329">
        <v>43</v>
      </c>
      <c r="S182" s="329">
        <v>29</v>
      </c>
      <c r="T182" s="329">
        <v>72</v>
      </c>
      <c r="U182" s="329">
        <v>0</v>
      </c>
      <c r="V182" s="329">
        <v>0</v>
      </c>
      <c r="W182" s="329">
        <v>0</v>
      </c>
      <c r="X182" s="330">
        <v>1890</v>
      </c>
      <c r="Y182" s="330">
        <v>648</v>
      </c>
      <c r="Z182" s="330">
        <v>2538</v>
      </c>
    </row>
    <row r="183" spans="2:26" hidden="1" outlineLevel="1" x14ac:dyDescent="0.25">
      <c r="B183" s="304">
        <v>44136</v>
      </c>
      <c r="C183" s="329">
        <v>0</v>
      </c>
      <c r="D183" s="329">
        <v>0</v>
      </c>
      <c r="E183" s="329">
        <v>0</v>
      </c>
      <c r="F183" s="329">
        <v>0</v>
      </c>
      <c r="G183" s="329">
        <v>0</v>
      </c>
      <c r="H183" s="329">
        <v>0</v>
      </c>
      <c r="I183" s="329">
        <v>279</v>
      </c>
      <c r="J183" s="329">
        <v>37</v>
      </c>
      <c r="K183" s="329">
        <v>316</v>
      </c>
      <c r="L183" s="329">
        <v>960</v>
      </c>
      <c r="M183" s="329">
        <v>435</v>
      </c>
      <c r="N183" s="329">
        <v>1395</v>
      </c>
      <c r="O183" s="329">
        <v>517</v>
      </c>
      <c r="P183" s="329">
        <v>111</v>
      </c>
      <c r="Q183" s="329">
        <v>628</v>
      </c>
      <c r="R183" s="329">
        <v>47</v>
      </c>
      <c r="S183" s="329">
        <v>29</v>
      </c>
      <c r="T183" s="329">
        <v>76</v>
      </c>
      <c r="U183" s="329">
        <v>0</v>
      </c>
      <c r="V183" s="329">
        <v>0</v>
      </c>
      <c r="W183" s="329">
        <v>0</v>
      </c>
      <c r="X183" s="330">
        <v>1803</v>
      </c>
      <c r="Y183" s="330">
        <v>612</v>
      </c>
      <c r="Z183" s="330">
        <v>2415</v>
      </c>
    </row>
    <row r="184" spans="2:26" collapsed="1" x14ac:dyDescent="0.25">
      <c r="B184" s="304">
        <v>44166</v>
      </c>
      <c r="C184" s="329">
        <v>0</v>
      </c>
      <c r="D184" s="329">
        <v>0</v>
      </c>
      <c r="E184" s="329">
        <v>0</v>
      </c>
      <c r="F184" s="329">
        <v>0</v>
      </c>
      <c r="G184" s="329">
        <v>0</v>
      </c>
      <c r="H184" s="329">
        <v>0</v>
      </c>
      <c r="I184" s="329">
        <v>269</v>
      </c>
      <c r="J184" s="329">
        <v>49</v>
      </c>
      <c r="K184" s="329">
        <v>318</v>
      </c>
      <c r="L184" s="329">
        <v>935</v>
      </c>
      <c r="M184" s="329">
        <v>482</v>
      </c>
      <c r="N184" s="329">
        <v>1417</v>
      </c>
      <c r="O184" s="329">
        <v>488</v>
      </c>
      <c r="P184" s="329">
        <v>98</v>
      </c>
      <c r="Q184" s="329">
        <v>586</v>
      </c>
      <c r="R184" s="329">
        <v>30</v>
      </c>
      <c r="S184" s="329">
        <v>24</v>
      </c>
      <c r="T184" s="329">
        <v>54</v>
      </c>
      <c r="U184" s="329">
        <v>0</v>
      </c>
      <c r="V184" s="329">
        <v>0</v>
      </c>
      <c r="W184" s="329">
        <v>0</v>
      </c>
      <c r="X184" s="330">
        <v>1722</v>
      </c>
      <c r="Y184" s="330">
        <v>653</v>
      </c>
      <c r="Z184" s="330">
        <v>2375</v>
      </c>
    </row>
    <row r="185" spans="2:26" hidden="1" outlineLevel="1" x14ac:dyDescent="0.25">
      <c r="B185" s="304">
        <v>44197</v>
      </c>
      <c r="C185" s="329">
        <v>0</v>
      </c>
      <c r="D185" s="329">
        <v>0</v>
      </c>
      <c r="E185" s="329">
        <v>0</v>
      </c>
      <c r="F185" s="329">
        <v>0</v>
      </c>
      <c r="G185" s="329">
        <v>0</v>
      </c>
      <c r="H185" s="329">
        <v>0</v>
      </c>
      <c r="I185" s="329">
        <v>301</v>
      </c>
      <c r="J185" s="329">
        <v>40</v>
      </c>
      <c r="K185" s="329">
        <v>341</v>
      </c>
      <c r="L185" s="329">
        <v>913</v>
      </c>
      <c r="M185" s="329">
        <v>410</v>
      </c>
      <c r="N185" s="329">
        <v>1323</v>
      </c>
      <c r="O185" s="329">
        <v>482</v>
      </c>
      <c r="P185" s="329">
        <v>113</v>
      </c>
      <c r="Q185" s="329">
        <v>595</v>
      </c>
      <c r="R185" s="329">
        <v>54</v>
      </c>
      <c r="S185" s="329">
        <v>24</v>
      </c>
      <c r="T185" s="329">
        <v>78</v>
      </c>
      <c r="U185" s="329">
        <v>0</v>
      </c>
      <c r="V185" s="329">
        <v>0</v>
      </c>
      <c r="W185" s="329">
        <v>0</v>
      </c>
      <c r="X185" s="330">
        <v>1750</v>
      </c>
      <c r="Y185" s="330">
        <v>587</v>
      </c>
      <c r="Z185" s="330">
        <v>2337</v>
      </c>
    </row>
    <row r="186" spans="2:26" hidden="1" outlineLevel="1" x14ac:dyDescent="0.25">
      <c r="B186" s="304">
        <v>44228</v>
      </c>
      <c r="C186" s="329">
        <v>0</v>
      </c>
      <c r="D186" s="329">
        <v>0</v>
      </c>
      <c r="E186" s="329">
        <v>0</v>
      </c>
      <c r="F186" s="329">
        <v>0</v>
      </c>
      <c r="G186" s="329">
        <v>0</v>
      </c>
      <c r="H186" s="329">
        <v>0</v>
      </c>
      <c r="I186" s="329">
        <v>288</v>
      </c>
      <c r="J186" s="329">
        <v>40</v>
      </c>
      <c r="K186" s="329">
        <v>328</v>
      </c>
      <c r="L186" s="329">
        <v>897</v>
      </c>
      <c r="M186" s="329">
        <v>434</v>
      </c>
      <c r="N186" s="329">
        <v>1331</v>
      </c>
      <c r="O186" s="329">
        <v>443</v>
      </c>
      <c r="P186" s="329">
        <v>90</v>
      </c>
      <c r="Q186" s="329">
        <v>533</v>
      </c>
      <c r="R186" s="329">
        <v>46</v>
      </c>
      <c r="S186" s="329">
        <v>20</v>
      </c>
      <c r="T186" s="329">
        <v>66</v>
      </c>
      <c r="U186" s="329">
        <v>0</v>
      </c>
      <c r="V186" s="329">
        <v>0</v>
      </c>
      <c r="W186" s="329">
        <v>0</v>
      </c>
      <c r="X186" s="330">
        <v>1674</v>
      </c>
      <c r="Y186" s="330">
        <v>584</v>
      </c>
      <c r="Z186" s="330">
        <v>2258</v>
      </c>
    </row>
    <row r="187" spans="2:26" hidden="1" outlineLevel="1" x14ac:dyDescent="0.25">
      <c r="B187" s="304">
        <v>44256</v>
      </c>
      <c r="C187" s="329">
        <v>0</v>
      </c>
      <c r="D187" s="329">
        <v>0</v>
      </c>
      <c r="E187" s="329">
        <v>0</v>
      </c>
      <c r="F187" s="329">
        <v>0</v>
      </c>
      <c r="G187" s="329">
        <v>0</v>
      </c>
      <c r="H187" s="329">
        <v>0</v>
      </c>
      <c r="I187" s="329">
        <v>271</v>
      </c>
      <c r="J187" s="329">
        <v>62</v>
      </c>
      <c r="K187" s="329">
        <v>333</v>
      </c>
      <c r="L187" s="329">
        <v>1098</v>
      </c>
      <c r="M187" s="329">
        <v>566</v>
      </c>
      <c r="N187" s="329">
        <v>1664</v>
      </c>
      <c r="O187" s="329">
        <v>595</v>
      </c>
      <c r="P187" s="329">
        <v>135</v>
      </c>
      <c r="Q187" s="329">
        <v>730</v>
      </c>
      <c r="R187" s="329">
        <v>40</v>
      </c>
      <c r="S187" s="329">
        <v>32</v>
      </c>
      <c r="T187" s="329">
        <v>72</v>
      </c>
      <c r="U187" s="329">
        <v>0</v>
      </c>
      <c r="V187" s="329">
        <v>0</v>
      </c>
      <c r="W187" s="329">
        <v>0</v>
      </c>
      <c r="X187" s="330">
        <v>2004</v>
      </c>
      <c r="Y187" s="330">
        <v>795</v>
      </c>
      <c r="Z187" s="330">
        <v>2799</v>
      </c>
    </row>
    <row r="188" spans="2:26" hidden="1" outlineLevel="1" x14ac:dyDescent="0.25">
      <c r="B188" s="304">
        <v>44287</v>
      </c>
      <c r="C188" s="329">
        <v>0</v>
      </c>
      <c r="D188" s="329">
        <v>0</v>
      </c>
      <c r="E188" s="329">
        <v>0</v>
      </c>
      <c r="F188" s="329">
        <v>0</v>
      </c>
      <c r="G188" s="329">
        <v>0</v>
      </c>
      <c r="H188" s="329">
        <v>0</v>
      </c>
      <c r="I188" s="329">
        <v>379</v>
      </c>
      <c r="J188" s="329">
        <v>51</v>
      </c>
      <c r="K188" s="329">
        <v>430</v>
      </c>
      <c r="L188" s="329">
        <v>1191</v>
      </c>
      <c r="M188" s="329">
        <v>661</v>
      </c>
      <c r="N188" s="329">
        <v>1852</v>
      </c>
      <c r="O188" s="329">
        <v>706</v>
      </c>
      <c r="P188" s="329">
        <v>175</v>
      </c>
      <c r="Q188" s="329">
        <v>881</v>
      </c>
      <c r="R188" s="329">
        <v>52</v>
      </c>
      <c r="S188" s="329">
        <v>49</v>
      </c>
      <c r="T188" s="329">
        <v>101</v>
      </c>
      <c r="U188" s="329">
        <v>0</v>
      </c>
      <c r="V188" s="329">
        <v>0</v>
      </c>
      <c r="W188" s="329">
        <v>0</v>
      </c>
      <c r="X188" s="330">
        <v>2328</v>
      </c>
      <c r="Y188" s="330">
        <v>936</v>
      </c>
      <c r="Z188" s="330">
        <v>3264</v>
      </c>
    </row>
    <row r="189" spans="2:26" hidden="1" outlineLevel="1" x14ac:dyDescent="0.25">
      <c r="B189" s="304">
        <v>44317</v>
      </c>
      <c r="C189" s="329">
        <v>0</v>
      </c>
      <c r="D189" s="329">
        <v>0</v>
      </c>
      <c r="E189" s="329">
        <v>0</v>
      </c>
      <c r="F189" s="329">
        <v>0</v>
      </c>
      <c r="G189" s="329">
        <v>0</v>
      </c>
      <c r="H189" s="329">
        <v>0</v>
      </c>
      <c r="I189" s="329">
        <v>445</v>
      </c>
      <c r="J189" s="329">
        <v>63</v>
      </c>
      <c r="K189" s="329">
        <v>508</v>
      </c>
      <c r="L189" s="329">
        <v>1364</v>
      </c>
      <c r="M189" s="329">
        <v>695</v>
      </c>
      <c r="N189" s="329">
        <v>2059</v>
      </c>
      <c r="O189" s="329">
        <v>668</v>
      </c>
      <c r="P189" s="329">
        <v>183</v>
      </c>
      <c r="Q189" s="329">
        <v>851</v>
      </c>
      <c r="R189" s="329">
        <v>52</v>
      </c>
      <c r="S189" s="329">
        <v>55</v>
      </c>
      <c r="T189" s="329">
        <v>107</v>
      </c>
      <c r="U189" s="329">
        <v>0</v>
      </c>
      <c r="V189" s="329">
        <v>0</v>
      </c>
      <c r="W189" s="329">
        <v>0</v>
      </c>
      <c r="X189" s="330">
        <v>2529</v>
      </c>
      <c r="Y189" s="330">
        <v>996</v>
      </c>
      <c r="Z189" s="330">
        <v>3525</v>
      </c>
    </row>
    <row r="190" spans="2:26" hidden="1" outlineLevel="1" x14ac:dyDescent="0.25">
      <c r="B190" s="304">
        <v>44348</v>
      </c>
      <c r="C190" s="329">
        <v>0</v>
      </c>
      <c r="D190" s="329">
        <v>0</v>
      </c>
      <c r="E190" s="329">
        <v>0</v>
      </c>
      <c r="F190" s="329">
        <v>0</v>
      </c>
      <c r="G190" s="329">
        <v>0</v>
      </c>
      <c r="H190" s="329">
        <v>0</v>
      </c>
      <c r="I190" s="329">
        <v>514</v>
      </c>
      <c r="J190" s="329">
        <v>59</v>
      </c>
      <c r="K190" s="329">
        <v>573</v>
      </c>
      <c r="L190" s="329">
        <v>1309</v>
      </c>
      <c r="M190" s="329">
        <v>595</v>
      </c>
      <c r="N190" s="329">
        <v>1904</v>
      </c>
      <c r="O190" s="329">
        <v>638</v>
      </c>
      <c r="P190" s="329">
        <v>188</v>
      </c>
      <c r="Q190" s="329">
        <v>826</v>
      </c>
      <c r="R190" s="329">
        <v>80</v>
      </c>
      <c r="S190" s="329">
        <v>71</v>
      </c>
      <c r="T190" s="329">
        <v>151</v>
      </c>
      <c r="U190" s="329">
        <v>0</v>
      </c>
      <c r="V190" s="329">
        <v>0</v>
      </c>
      <c r="W190" s="329">
        <v>0</v>
      </c>
      <c r="X190" s="330">
        <v>2541</v>
      </c>
      <c r="Y190" s="330">
        <v>913</v>
      </c>
      <c r="Z190" s="330">
        <v>3454</v>
      </c>
    </row>
    <row r="191" spans="2:26" hidden="1" outlineLevel="1" x14ac:dyDescent="0.25">
      <c r="B191" s="304">
        <v>44378</v>
      </c>
      <c r="C191" s="329">
        <v>0</v>
      </c>
      <c r="D191" s="329">
        <v>0</v>
      </c>
      <c r="E191" s="329">
        <v>0</v>
      </c>
      <c r="F191" s="329">
        <v>0</v>
      </c>
      <c r="G191" s="329">
        <v>0</v>
      </c>
      <c r="H191" s="329">
        <v>0</v>
      </c>
      <c r="I191" s="329">
        <v>487</v>
      </c>
      <c r="J191" s="329">
        <v>66</v>
      </c>
      <c r="K191" s="329">
        <v>553</v>
      </c>
      <c r="L191" s="329">
        <v>1382</v>
      </c>
      <c r="M191" s="329">
        <v>641</v>
      </c>
      <c r="N191" s="329">
        <v>2023</v>
      </c>
      <c r="O191" s="329">
        <v>752</v>
      </c>
      <c r="P191" s="329">
        <v>211</v>
      </c>
      <c r="Q191" s="329">
        <v>963</v>
      </c>
      <c r="R191" s="329">
        <v>72</v>
      </c>
      <c r="S191" s="329">
        <v>63</v>
      </c>
      <c r="T191" s="329">
        <v>135</v>
      </c>
      <c r="U191" s="329">
        <v>0</v>
      </c>
      <c r="V191" s="329">
        <v>0</v>
      </c>
      <c r="W191" s="329">
        <v>0</v>
      </c>
      <c r="X191" s="330">
        <v>2693</v>
      </c>
      <c r="Y191" s="330">
        <v>981</v>
      </c>
      <c r="Z191" s="330">
        <v>3674</v>
      </c>
    </row>
    <row r="192" spans="2:26" hidden="1" outlineLevel="1" x14ac:dyDescent="0.25">
      <c r="B192" s="304">
        <v>44409</v>
      </c>
      <c r="C192" s="329">
        <v>0</v>
      </c>
      <c r="D192" s="329">
        <v>0</v>
      </c>
      <c r="E192" s="329">
        <v>0</v>
      </c>
      <c r="F192" s="329">
        <v>0</v>
      </c>
      <c r="G192" s="329">
        <v>0</v>
      </c>
      <c r="H192" s="329">
        <v>0</v>
      </c>
      <c r="I192" s="329">
        <v>548</v>
      </c>
      <c r="J192" s="329">
        <v>77</v>
      </c>
      <c r="K192" s="329">
        <v>625</v>
      </c>
      <c r="L192" s="329">
        <v>1661</v>
      </c>
      <c r="M192" s="329">
        <v>769</v>
      </c>
      <c r="N192" s="329">
        <v>2430</v>
      </c>
      <c r="O192" s="329">
        <v>803</v>
      </c>
      <c r="P192" s="329">
        <v>253</v>
      </c>
      <c r="Q192" s="329">
        <v>1056</v>
      </c>
      <c r="R192" s="329">
        <v>80</v>
      </c>
      <c r="S192" s="329">
        <v>64</v>
      </c>
      <c r="T192" s="329">
        <v>144</v>
      </c>
      <c r="U192" s="329">
        <v>0</v>
      </c>
      <c r="V192" s="329">
        <v>0</v>
      </c>
      <c r="W192" s="329">
        <v>0</v>
      </c>
      <c r="X192" s="330">
        <v>3092</v>
      </c>
      <c r="Y192" s="330">
        <v>1163</v>
      </c>
      <c r="Z192" s="330">
        <v>4255</v>
      </c>
    </row>
    <row r="193" spans="2:26" hidden="1" outlineLevel="1" x14ac:dyDescent="0.25">
      <c r="B193" s="304">
        <v>44440</v>
      </c>
      <c r="C193" s="329">
        <v>0</v>
      </c>
      <c r="D193" s="329">
        <v>0</v>
      </c>
      <c r="E193" s="329">
        <v>0</v>
      </c>
      <c r="F193" s="329">
        <v>0</v>
      </c>
      <c r="G193" s="329">
        <v>0</v>
      </c>
      <c r="H193" s="329">
        <v>0</v>
      </c>
      <c r="I193" s="329">
        <v>522</v>
      </c>
      <c r="J193" s="329">
        <v>76</v>
      </c>
      <c r="K193" s="329">
        <v>598</v>
      </c>
      <c r="L193" s="329">
        <v>1640</v>
      </c>
      <c r="M193" s="329">
        <v>770</v>
      </c>
      <c r="N193" s="329">
        <v>2410</v>
      </c>
      <c r="O193" s="329">
        <v>756</v>
      </c>
      <c r="P193" s="329">
        <v>179</v>
      </c>
      <c r="Q193" s="329">
        <v>935</v>
      </c>
      <c r="R193" s="329">
        <v>106</v>
      </c>
      <c r="S193" s="329">
        <v>72</v>
      </c>
      <c r="T193" s="329">
        <v>178</v>
      </c>
      <c r="U193" s="329">
        <v>0</v>
      </c>
      <c r="V193" s="329">
        <v>0</v>
      </c>
      <c r="W193" s="329">
        <v>0</v>
      </c>
      <c r="X193" s="330">
        <v>3024</v>
      </c>
      <c r="Y193" s="330">
        <v>1097</v>
      </c>
      <c r="Z193" s="330">
        <v>4121</v>
      </c>
    </row>
    <row r="194" spans="2:26" hidden="1" outlineLevel="1" x14ac:dyDescent="0.25">
      <c r="B194" s="304">
        <v>44470</v>
      </c>
      <c r="C194" s="329">
        <v>0</v>
      </c>
      <c r="D194" s="329">
        <v>0</v>
      </c>
      <c r="E194" s="329">
        <v>0</v>
      </c>
      <c r="F194" s="329">
        <v>0</v>
      </c>
      <c r="G194" s="329">
        <v>0</v>
      </c>
      <c r="H194" s="329">
        <v>0</v>
      </c>
      <c r="I194" s="329">
        <v>480</v>
      </c>
      <c r="J194" s="329">
        <v>81</v>
      </c>
      <c r="K194" s="329">
        <v>561</v>
      </c>
      <c r="L194" s="329">
        <v>1463</v>
      </c>
      <c r="M194" s="329">
        <v>700</v>
      </c>
      <c r="N194" s="329">
        <v>2163</v>
      </c>
      <c r="O194" s="329">
        <v>834</v>
      </c>
      <c r="P194" s="329">
        <v>219</v>
      </c>
      <c r="Q194" s="329">
        <v>1053</v>
      </c>
      <c r="R194" s="329">
        <v>78</v>
      </c>
      <c r="S194" s="329">
        <v>48</v>
      </c>
      <c r="T194" s="329">
        <v>126</v>
      </c>
      <c r="U194" s="329">
        <v>0</v>
      </c>
      <c r="V194" s="329">
        <v>0</v>
      </c>
      <c r="W194" s="329">
        <v>0</v>
      </c>
      <c r="X194" s="330">
        <v>2855</v>
      </c>
      <c r="Y194" s="330">
        <v>1048</v>
      </c>
      <c r="Z194" s="330">
        <v>3903</v>
      </c>
    </row>
    <row r="195" spans="2:26" hidden="1" outlineLevel="1" x14ac:dyDescent="0.25">
      <c r="B195" s="304">
        <v>44501</v>
      </c>
      <c r="C195" s="329">
        <v>0</v>
      </c>
      <c r="D195" s="329">
        <v>0</v>
      </c>
      <c r="E195" s="329">
        <v>0</v>
      </c>
      <c r="F195" s="329">
        <v>0</v>
      </c>
      <c r="G195" s="329">
        <v>0</v>
      </c>
      <c r="H195" s="329">
        <v>0</v>
      </c>
      <c r="I195" s="329">
        <v>443</v>
      </c>
      <c r="J195" s="329">
        <v>45</v>
      </c>
      <c r="K195" s="329">
        <v>488</v>
      </c>
      <c r="L195" s="329">
        <v>1827</v>
      </c>
      <c r="M195" s="329">
        <v>824</v>
      </c>
      <c r="N195" s="329">
        <v>2651</v>
      </c>
      <c r="O195" s="329">
        <v>919</v>
      </c>
      <c r="P195" s="329">
        <v>200</v>
      </c>
      <c r="Q195" s="329">
        <v>1119</v>
      </c>
      <c r="R195" s="329">
        <v>75</v>
      </c>
      <c r="S195" s="329">
        <v>66</v>
      </c>
      <c r="T195" s="329">
        <v>141</v>
      </c>
      <c r="U195" s="329">
        <v>0</v>
      </c>
      <c r="V195" s="329">
        <v>0</v>
      </c>
      <c r="W195" s="329">
        <v>0</v>
      </c>
      <c r="X195" s="330">
        <v>3264</v>
      </c>
      <c r="Y195" s="330">
        <v>1135</v>
      </c>
      <c r="Z195" s="330">
        <v>4399</v>
      </c>
    </row>
    <row r="196" spans="2:26" collapsed="1" x14ac:dyDescent="0.25">
      <c r="B196" s="304">
        <v>44531</v>
      </c>
      <c r="C196" s="329">
        <v>0</v>
      </c>
      <c r="D196" s="329">
        <v>0</v>
      </c>
      <c r="E196" s="329">
        <v>0</v>
      </c>
      <c r="F196" s="329">
        <v>0</v>
      </c>
      <c r="G196" s="329">
        <v>0</v>
      </c>
      <c r="H196" s="329">
        <v>0</v>
      </c>
      <c r="I196" s="329">
        <v>521</v>
      </c>
      <c r="J196" s="329">
        <v>72</v>
      </c>
      <c r="K196" s="329">
        <v>593</v>
      </c>
      <c r="L196" s="329">
        <v>1747</v>
      </c>
      <c r="M196" s="329">
        <v>889</v>
      </c>
      <c r="N196" s="329">
        <v>2636</v>
      </c>
      <c r="O196" s="329">
        <v>893</v>
      </c>
      <c r="P196" s="329">
        <v>237</v>
      </c>
      <c r="Q196" s="329">
        <v>1130</v>
      </c>
      <c r="R196" s="329">
        <v>68</v>
      </c>
      <c r="S196" s="329">
        <v>54</v>
      </c>
      <c r="T196" s="329">
        <v>122</v>
      </c>
      <c r="U196" s="329">
        <v>0</v>
      </c>
      <c r="V196" s="329">
        <v>0</v>
      </c>
      <c r="W196" s="329">
        <v>0</v>
      </c>
      <c r="X196" s="330">
        <v>3229</v>
      </c>
      <c r="Y196" s="330">
        <v>1252</v>
      </c>
      <c r="Z196" s="330">
        <v>4481</v>
      </c>
    </row>
    <row r="197" spans="2:26" hidden="1" outlineLevel="1" x14ac:dyDescent="0.25">
      <c r="B197" s="304">
        <v>44562</v>
      </c>
      <c r="C197" s="329">
        <v>0</v>
      </c>
      <c r="D197" s="329">
        <v>0</v>
      </c>
      <c r="E197" s="329">
        <v>0</v>
      </c>
      <c r="F197" s="329">
        <v>0</v>
      </c>
      <c r="G197" s="329">
        <v>0</v>
      </c>
      <c r="H197" s="329">
        <v>0</v>
      </c>
      <c r="I197" s="329">
        <v>274</v>
      </c>
      <c r="J197" s="329">
        <v>69</v>
      </c>
      <c r="K197" s="329">
        <v>343</v>
      </c>
      <c r="L197" s="329">
        <v>728</v>
      </c>
      <c r="M197" s="329">
        <v>511</v>
      </c>
      <c r="N197" s="329">
        <v>1239</v>
      </c>
      <c r="O197" s="329">
        <v>1179</v>
      </c>
      <c r="P197" s="329">
        <v>276</v>
      </c>
      <c r="Q197" s="329">
        <v>1455</v>
      </c>
      <c r="R197" s="329">
        <v>102</v>
      </c>
      <c r="S197" s="329">
        <v>74</v>
      </c>
      <c r="T197" s="329">
        <v>176</v>
      </c>
      <c r="U197" s="329">
        <v>0</v>
      </c>
      <c r="V197" s="329">
        <v>0</v>
      </c>
      <c r="W197" s="329">
        <v>0</v>
      </c>
      <c r="X197" s="330">
        <v>2283</v>
      </c>
      <c r="Y197" s="330">
        <v>930</v>
      </c>
      <c r="Z197" s="330">
        <v>3213</v>
      </c>
    </row>
    <row r="198" spans="2:26" hidden="1" outlineLevel="1" x14ac:dyDescent="0.25">
      <c r="B198" s="304">
        <v>44593</v>
      </c>
      <c r="C198" s="329">
        <v>1321</v>
      </c>
      <c r="D198" s="329">
        <v>452</v>
      </c>
      <c r="E198" s="329">
        <v>1773</v>
      </c>
      <c r="F198" s="329">
        <v>9281</v>
      </c>
      <c r="G198" s="329">
        <v>10068</v>
      </c>
      <c r="H198" s="329">
        <v>19349</v>
      </c>
      <c r="I198" s="329">
        <v>0</v>
      </c>
      <c r="J198" s="329">
        <v>0</v>
      </c>
      <c r="K198" s="329">
        <v>0</v>
      </c>
      <c r="L198" s="329">
        <v>0</v>
      </c>
      <c r="M198" s="329">
        <v>0</v>
      </c>
      <c r="N198" s="329">
        <v>0</v>
      </c>
      <c r="O198" s="329">
        <v>944</v>
      </c>
      <c r="P198" s="329">
        <v>254</v>
      </c>
      <c r="Q198" s="329">
        <v>1198</v>
      </c>
      <c r="R198" s="329">
        <v>288</v>
      </c>
      <c r="S198" s="329">
        <v>419</v>
      </c>
      <c r="T198" s="329">
        <v>707</v>
      </c>
      <c r="U198" s="329">
        <v>0</v>
      </c>
      <c r="V198" s="329">
        <v>0</v>
      </c>
      <c r="W198" s="329">
        <v>0</v>
      </c>
      <c r="X198" s="330">
        <v>11834</v>
      </c>
      <c r="Y198" s="330">
        <v>11193</v>
      </c>
      <c r="Z198" s="330">
        <v>23027</v>
      </c>
    </row>
    <row r="199" spans="2:26" hidden="1" outlineLevel="1" x14ac:dyDescent="0.25">
      <c r="B199" s="304">
        <v>44621</v>
      </c>
      <c r="C199" s="329">
        <v>282</v>
      </c>
      <c r="D199" s="329">
        <v>85</v>
      </c>
      <c r="E199" s="329">
        <v>367</v>
      </c>
      <c r="F199" s="329">
        <v>2608</v>
      </c>
      <c r="G199" s="329">
        <v>3260</v>
      </c>
      <c r="H199" s="329">
        <v>5868</v>
      </c>
      <c r="I199" s="329">
        <v>0</v>
      </c>
      <c r="J199" s="329">
        <v>0</v>
      </c>
      <c r="K199" s="329">
        <v>0</v>
      </c>
      <c r="L199" s="329">
        <v>0</v>
      </c>
      <c r="M199" s="329">
        <v>0</v>
      </c>
      <c r="N199" s="329">
        <v>0</v>
      </c>
      <c r="O199" s="329">
        <v>1193</v>
      </c>
      <c r="P199" s="329">
        <v>310</v>
      </c>
      <c r="Q199" s="329">
        <v>1503</v>
      </c>
      <c r="R199" s="329">
        <v>127</v>
      </c>
      <c r="S199" s="329">
        <v>119</v>
      </c>
      <c r="T199" s="329">
        <v>246</v>
      </c>
      <c r="U199" s="329">
        <v>0</v>
      </c>
      <c r="V199" s="329">
        <v>0</v>
      </c>
      <c r="W199" s="329">
        <v>0</v>
      </c>
      <c r="X199" s="330">
        <v>4210</v>
      </c>
      <c r="Y199" s="330">
        <v>3774</v>
      </c>
      <c r="Z199" s="330">
        <v>7984</v>
      </c>
    </row>
    <row r="200" spans="2:26" hidden="1" outlineLevel="1" x14ac:dyDescent="0.25">
      <c r="B200" s="304">
        <v>44652</v>
      </c>
      <c r="C200" s="329">
        <v>221</v>
      </c>
      <c r="D200" s="329">
        <v>103</v>
      </c>
      <c r="E200" s="329">
        <v>324</v>
      </c>
      <c r="F200" s="329">
        <v>1556</v>
      </c>
      <c r="G200" s="329">
        <v>1979</v>
      </c>
      <c r="H200" s="329">
        <v>3535</v>
      </c>
      <c r="I200" s="329">
        <v>0</v>
      </c>
      <c r="J200" s="329">
        <v>0</v>
      </c>
      <c r="K200" s="329">
        <v>0</v>
      </c>
      <c r="L200" s="329">
        <v>0</v>
      </c>
      <c r="M200" s="329">
        <v>0</v>
      </c>
      <c r="N200" s="329">
        <v>0</v>
      </c>
      <c r="O200" s="329">
        <v>1107</v>
      </c>
      <c r="P200" s="329">
        <v>278</v>
      </c>
      <c r="Q200" s="329">
        <v>1385</v>
      </c>
      <c r="R200" s="329">
        <v>110</v>
      </c>
      <c r="S200" s="329">
        <v>77</v>
      </c>
      <c r="T200" s="329">
        <v>187</v>
      </c>
      <c r="U200" s="329">
        <v>0</v>
      </c>
      <c r="V200" s="329">
        <v>0</v>
      </c>
      <c r="W200" s="329">
        <v>0</v>
      </c>
      <c r="X200" s="330">
        <v>2994</v>
      </c>
      <c r="Y200" s="330">
        <v>2437</v>
      </c>
      <c r="Z200" s="330">
        <v>5431</v>
      </c>
    </row>
    <row r="201" spans="2:26" hidden="1" outlineLevel="1" x14ac:dyDescent="0.25">
      <c r="B201" s="304">
        <v>44682</v>
      </c>
      <c r="C201" s="329">
        <v>272</v>
      </c>
      <c r="D201" s="329">
        <v>171</v>
      </c>
      <c r="E201" s="329">
        <v>443</v>
      </c>
      <c r="F201" s="329">
        <v>1377</v>
      </c>
      <c r="G201" s="329">
        <v>1941</v>
      </c>
      <c r="H201" s="329">
        <v>3318</v>
      </c>
      <c r="I201" s="329">
        <v>0</v>
      </c>
      <c r="J201" s="329">
        <v>0</v>
      </c>
      <c r="K201" s="329">
        <v>0</v>
      </c>
      <c r="L201" s="329">
        <v>0</v>
      </c>
      <c r="M201" s="329">
        <v>0</v>
      </c>
      <c r="N201" s="329">
        <v>0</v>
      </c>
      <c r="O201" s="329">
        <v>1094</v>
      </c>
      <c r="P201" s="329">
        <v>258</v>
      </c>
      <c r="Q201" s="329">
        <v>1352</v>
      </c>
      <c r="R201" s="329">
        <v>128</v>
      </c>
      <c r="S201" s="329">
        <v>130</v>
      </c>
      <c r="T201" s="329">
        <v>258</v>
      </c>
      <c r="U201" s="329">
        <v>0</v>
      </c>
      <c r="V201" s="329">
        <v>0</v>
      </c>
      <c r="W201" s="329">
        <v>0</v>
      </c>
      <c r="X201" s="330">
        <v>2871</v>
      </c>
      <c r="Y201" s="330">
        <v>2500</v>
      </c>
      <c r="Z201" s="330">
        <v>5371</v>
      </c>
    </row>
    <row r="202" spans="2:26" hidden="1" outlineLevel="1" x14ac:dyDescent="0.25">
      <c r="B202" s="304">
        <v>44713</v>
      </c>
      <c r="C202" s="329">
        <v>215</v>
      </c>
      <c r="D202" s="329">
        <v>183</v>
      </c>
      <c r="E202" s="329">
        <v>398</v>
      </c>
      <c r="F202" s="329">
        <v>1510</v>
      </c>
      <c r="G202" s="329">
        <v>2357</v>
      </c>
      <c r="H202" s="329">
        <v>3867</v>
      </c>
      <c r="I202" s="329">
        <v>0</v>
      </c>
      <c r="J202" s="329">
        <v>0</v>
      </c>
      <c r="K202" s="329">
        <v>0</v>
      </c>
      <c r="L202" s="329">
        <v>0</v>
      </c>
      <c r="M202" s="329">
        <v>0</v>
      </c>
      <c r="N202" s="329">
        <v>0</v>
      </c>
      <c r="O202" s="329">
        <v>978</v>
      </c>
      <c r="P202" s="329">
        <v>251</v>
      </c>
      <c r="Q202" s="329">
        <v>1229</v>
      </c>
      <c r="R202" s="329">
        <v>109</v>
      </c>
      <c r="S202" s="329">
        <v>104</v>
      </c>
      <c r="T202" s="329">
        <v>213</v>
      </c>
      <c r="U202" s="329">
        <v>0</v>
      </c>
      <c r="V202" s="329">
        <v>0</v>
      </c>
      <c r="W202" s="329">
        <v>0</v>
      </c>
      <c r="X202" s="330">
        <v>2812</v>
      </c>
      <c r="Y202" s="330">
        <v>2895</v>
      </c>
      <c r="Z202" s="330">
        <v>5707</v>
      </c>
    </row>
    <row r="203" spans="2:26" hidden="1" outlineLevel="1" x14ac:dyDescent="0.25">
      <c r="B203" s="304">
        <v>44743</v>
      </c>
      <c r="C203" s="329">
        <v>360</v>
      </c>
      <c r="D203" s="329">
        <v>221</v>
      </c>
      <c r="E203" s="329">
        <v>581</v>
      </c>
      <c r="F203" s="329">
        <v>1888</v>
      </c>
      <c r="G203" s="329">
        <v>3420</v>
      </c>
      <c r="H203" s="329">
        <v>5308</v>
      </c>
      <c r="I203" s="329">
        <v>0</v>
      </c>
      <c r="J203" s="329">
        <v>0</v>
      </c>
      <c r="K203" s="329">
        <v>0</v>
      </c>
      <c r="L203" s="329">
        <v>0</v>
      </c>
      <c r="M203" s="329">
        <v>0</v>
      </c>
      <c r="N203" s="329">
        <v>0</v>
      </c>
      <c r="O203" s="329">
        <v>1117</v>
      </c>
      <c r="P203" s="329">
        <v>283</v>
      </c>
      <c r="Q203" s="329">
        <v>1400</v>
      </c>
      <c r="R203" s="329">
        <v>129</v>
      </c>
      <c r="S203" s="329">
        <v>104</v>
      </c>
      <c r="T203" s="329">
        <v>233</v>
      </c>
      <c r="U203" s="329">
        <v>0</v>
      </c>
      <c r="V203" s="329">
        <v>0</v>
      </c>
      <c r="W203" s="329">
        <v>0</v>
      </c>
      <c r="X203" s="330">
        <v>3494</v>
      </c>
      <c r="Y203" s="330">
        <v>4028</v>
      </c>
      <c r="Z203" s="330">
        <v>7522</v>
      </c>
    </row>
    <row r="204" spans="2:26" hidden="1" outlineLevel="1" x14ac:dyDescent="0.25">
      <c r="B204" s="304">
        <v>44774</v>
      </c>
      <c r="C204" s="329">
        <v>610</v>
      </c>
      <c r="D204" s="329">
        <v>354</v>
      </c>
      <c r="E204" s="329">
        <v>964</v>
      </c>
      <c r="F204" s="329">
        <v>3819</v>
      </c>
      <c r="G204" s="329">
        <v>5561</v>
      </c>
      <c r="H204" s="329">
        <v>9380</v>
      </c>
      <c r="I204" s="329">
        <v>0</v>
      </c>
      <c r="J204" s="329">
        <v>0</v>
      </c>
      <c r="K204" s="329">
        <v>0</v>
      </c>
      <c r="L204" s="329">
        <v>0</v>
      </c>
      <c r="M204" s="329">
        <v>0</v>
      </c>
      <c r="N204" s="329">
        <v>0</v>
      </c>
      <c r="O204" s="329">
        <v>1439</v>
      </c>
      <c r="P204" s="329">
        <v>308</v>
      </c>
      <c r="Q204" s="329">
        <v>1747</v>
      </c>
      <c r="R204" s="329">
        <v>135</v>
      </c>
      <c r="S204" s="329">
        <v>160</v>
      </c>
      <c r="T204" s="329">
        <v>295</v>
      </c>
      <c r="U204" s="329">
        <v>0</v>
      </c>
      <c r="V204" s="329">
        <v>1</v>
      </c>
      <c r="W204" s="329">
        <v>1</v>
      </c>
      <c r="X204" s="330">
        <v>6003</v>
      </c>
      <c r="Y204" s="330">
        <v>6384</v>
      </c>
      <c r="Z204" s="330">
        <v>12387</v>
      </c>
    </row>
    <row r="205" spans="2:26" hidden="1" outlineLevel="1" x14ac:dyDescent="0.25">
      <c r="B205" s="304">
        <v>44805</v>
      </c>
      <c r="C205" s="329">
        <v>520</v>
      </c>
      <c r="D205" s="329">
        <v>561</v>
      </c>
      <c r="E205" s="329">
        <v>1081</v>
      </c>
      <c r="F205" s="329">
        <v>1951</v>
      </c>
      <c r="G205" s="329">
        <v>2411</v>
      </c>
      <c r="H205" s="329">
        <v>4362</v>
      </c>
      <c r="I205" s="329">
        <v>0</v>
      </c>
      <c r="J205" s="329">
        <v>0</v>
      </c>
      <c r="K205" s="329">
        <v>0</v>
      </c>
      <c r="L205" s="329">
        <v>0</v>
      </c>
      <c r="M205" s="329">
        <v>0</v>
      </c>
      <c r="N205" s="329">
        <v>0</v>
      </c>
      <c r="O205" s="329">
        <v>969</v>
      </c>
      <c r="P205" s="329">
        <v>234</v>
      </c>
      <c r="Q205" s="329">
        <v>1203</v>
      </c>
      <c r="R205" s="329">
        <v>108</v>
      </c>
      <c r="S205" s="329">
        <v>101</v>
      </c>
      <c r="T205" s="329">
        <v>209</v>
      </c>
      <c r="U205" s="329">
        <v>0</v>
      </c>
      <c r="V205" s="329">
        <v>0</v>
      </c>
      <c r="W205" s="329">
        <v>0</v>
      </c>
      <c r="X205" s="330">
        <v>3548</v>
      </c>
      <c r="Y205" s="330">
        <v>3307</v>
      </c>
      <c r="Z205" s="330">
        <v>6855</v>
      </c>
    </row>
    <row r="206" spans="2:26" hidden="1" outlineLevel="1" x14ac:dyDescent="0.25">
      <c r="B206" s="304">
        <v>44835</v>
      </c>
      <c r="C206" s="329">
        <v>643</v>
      </c>
      <c r="D206" s="329">
        <v>612</v>
      </c>
      <c r="E206" s="329">
        <v>1255</v>
      </c>
      <c r="F206" s="329">
        <v>2789</v>
      </c>
      <c r="G206" s="329">
        <v>2980</v>
      </c>
      <c r="H206" s="329">
        <v>5769</v>
      </c>
      <c r="I206" s="329">
        <v>0</v>
      </c>
      <c r="J206" s="329">
        <v>0</v>
      </c>
      <c r="K206" s="329">
        <v>0</v>
      </c>
      <c r="L206" s="329">
        <v>0</v>
      </c>
      <c r="M206" s="329">
        <v>0</v>
      </c>
      <c r="N206" s="329">
        <v>0</v>
      </c>
      <c r="O206" s="329">
        <v>1042</v>
      </c>
      <c r="P206" s="329">
        <v>222</v>
      </c>
      <c r="Q206" s="329">
        <v>1264</v>
      </c>
      <c r="R206" s="329">
        <v>98</v>
      </c>
      <c r="S206" s="329">
        <v>114</v>
      </c>
      <c r="T206" s="329">
        <v>212</v>
      </c>
      <c r="U206" s="329">
        <v>0</v>
      </c>
      <c r="V206" s="329">
        <v>0</v>
      </c>
      <c r="W206" s="329">
        <v>0</v>
      </c>
      <c r="X206" s="330">
        <v>4572</v>
      </c>
      <c r="Y206" s="330">
        <v>3928</v>
      </c>
      <c r="Z206" s="330">
        <v>8500</v>
      </c>
    </row>
    <row r="207" spans="2:26" hidden="1" outlineLevel="1" x14ac:dyDescent="0.25">
      <c r="B207" s="304">
        <v>44866</v>
      </c>
      <c r="C207" s="329">
        <v>605</v>
      </c>
      <c r="D207" s="329">
        <v>666</v>
      </c>
      <c r="E207" s="329">
        <v>1271</v>
      </c>
      <c r="F207" s="329">
        <v>1965</v>
      </c>
      <c r="G207" s="329">
        <v>2311</v>
      </c>
      <c r="H207" s="329">
        <v>4276</v>
      </c>
      <c r="I207" s="329">
        <v>0</v>
      </c>
      <c r="J207" s="329">
        <v>0</v>
      </c>
      <c r="K207" s="329">
        <v>0</v>
      </c>
      <c r="L207" s="329">
        <v>0</v>
      </c>
      <c r="M207" s="329">
        <v>0</v>
      </c>
      <c r="N207" s="329">
        <v>0</v>
      </c>
      <c r="O207" s="329">
        <v>1112</v>
      </c>
      <c r="P207" s="329">
        <v>253</v>
      </c>
      <c r="Q207" s="329">
        <v>1365</v>
      </c>
      <c r="R207" s="329">
        <v>104</v>
      </c>
      <c r="S207" s="329">
        <v>116</v>
      </c>
      <c r="T207" s="329">
        <v>220</v>
      </c>
      <c r="U207" s="329">
        <v>0</v>
      </c>
      <c r="V207" s="329">
        <v>5</v>
      </c>
      <c r="W207" s="329">
        <v>5</v>
      </c>
      <c r="X207" s="330">
        <v>3786</v>
      </c>
      <c r="Y207" s="330">
        <v>3351</v>
      </c>
      <c r="Z207" s="330">
        <v>7137</v>
      </c>
    </row>
    <row r="208" spans="2:26" collapsed="1" x14ac:dyDescent="0.25">
      <c r="B208" s="304">
        <v>44896</v>
      </c>
      <c r="C208" s="329">
        <v>337</v>
      </c>
      <c r="D208" s="329">
        <v>360</v>
      </c>
      <c r="E208" s="329">
        <v>697</v>
      </c>
      <c r="F208" s="329">
        <v>797</v>
      </c>
      <c r="G208" s="329">
        <v>1242</v>
      </c>
      <c r="H208" s="329">
        <v>2039</v>
      </c>
      <c r="I208" s="329">
        <v>0</v>
      </c>
      <c r="J208" s="329">
        <v>0</v>
      </c>
      <c r="K208" s="329">
        <v>0</v>
      </c>
      <c r="L208" s="329">
        <v>0</v>
      </c>
      <c r="M208" s="329">
        <v>0</v>
      </c>
      <c r="N208" s="329">
        <v>0</v>
      </c>
      <c r="O208" s="329">
        <v>839</v>
      </c>
      <c r="P208" s="329">
        <v>246</v>
      </c>
      <c r="Q208" s="329">
        <v>1085</v>
      </c>
      <c r="R208" s="329">
        <v>94</v>
      </c>
      <c r="S208" s="329">
        <v>99</v>
      </c>
      <c r="T208" s="329">
        <v>193</v>
      </c>
      <c r="U208" s="329">
        <v>0</v>
      </c>
      <c r="V208" s="329">
        <v>2</v>
      </c>
      <c r="W208" s="329">
        <v>2</v>
      </c>
      <c r="X208" s="330">
        <v>2067</v>
      </c>
      <c r="Y208" s="330">
        <v>1949</v>
      </c>
      <c r="Z208" s="330">
        <v>4016</v>
      </c>
    </row>
    <row r="209" spans="2:26" hidden="1" outlineLevel="1" x14ac:dyDescent="0.25">
      <c r="B209" s="304">
        <v>44927</v>
      </c>
      <c r="C209" s="329">
        <v>683</v>
      </c>
      <c r="D209" s="329">
        <v>517</v>
      </c>
      <c r="E209" s="329">
        <v>1200</v>
      </c>
      <c r="F209" s="329">
        <v>1126</v>
      </c>
      <c r="G209" s="329">
        <v>1575</v>
      </c>
      <c r="H209" s="329">
        <v>2701</v>
      </c>
      <c r="I209" s="329">
        <v>0</v>
      </c>
      <c r="J209" s="329">
        <v>0</v>
      </c>
      <c r="K209" s="329">
        <v>0</v>
      </c>
      <c r="L209" s="329">
        <v>0</v>
      </c>
      <c r="M209" s="329">
        <v>0</v>
      </c>
      <c r="N209" s="329">
        <v>0</v>
      </c>
      <c r="O209" s="329">
        <v>1031</v>
      </c>
      <c r="P209" s="329">
        <v>232</v>
      </c>
      <c r="Q209" s="329">
        <v>1263</v>
      </c>
      <c r="R209" s="329">
        <v>121</v>
      </c>
      <c r="S209" s="329">
        <v>118</v>
      </c>
      <c r="T209" s="329">
        <v>239</v>
      </c>
      <c r="U209" s="329">
        <v>0</v>
      </c>
      <c r="V209" s="329">
        <v>0</v>
      </c>
      <c r="W209" s="329">
        <v>0</v>
      </c>
      <c r="X209" s="330">
        <v>2961</v>
      </c>
      <c r="Y209" s="330">
        <v>2442</v>
      </c>
      <c r="Z209" s="330">
        <v>5403</v>
      </c>
    </row>
    <row r="210" spans="2:26" hidden="1" outlineLevel="1" x14ac:dyDescent="0.25">
      <c r="B210" s="304">
        <v>44958</v>
      </c>
      <c r="C210" s="329">
        <v>615</v>
      </c>
      <c r="D210" s="329">
        <v>479</v>
      </c>
      <c r="E210" s="329">
        <v>1094</v>
      </c>
      <c r="F210" s="329">
        <v>855</v>
      </c>
      <c r="G210" s="329">
        <v>1190</v>
      </c>
      <c r="H210" s="329">
        <v>2045</v>
      </c>
      <c r="I210" s="329">
        <v>0</v>
      </c>
      <c r="J210" s="329">
        <v>0</v>
      </c>
      <c r="K210" s="329">
        <v>0</v>
      </c>
      <c r="L210" s="329">
        <v>0</v>
      </c>
      <c r="M210" s="329">
        <v>0</v>
      </c>
      <c r="N210" s="329">
        <v>0</v>
      </c>
      <c r="O210" s="329">
        <v>839</v>
      </c>
      <c r="P210" s="329">
        <v>190</v>
      </c>
      <c r="Q210" s="329">
        <v>1029</v>
      </c>
      <c r="R210" s="329">
        <v>113</v>
      </c>
      <c r="S210" s="329">
        <v>99</v>
      </c>
      <c r="T210" s="329">
        <v>212</v>
      </c>
      <c r="U210" s="329">
        <v>0</v>
      </c>
      <c r="V210" s="329">
        <v>0</v>
      </c>
      <c r="W210" s="329">
        <v>0</v>
      </c>
      <c r="X210" s="330">
        <v>2422</v>
      </c>
      <c r="Y210" s="330">
        <v>1958</v>
      </c>
      <c r="Z210" s="330">
        <v>4380</v>
      </c>
    </row>
    <row r="211" spans="2:26" hidden="1" outlineLevel="1" x14ac:dyDescent="0.25">
      <c r="B211" s="304">
        <v>44986</v>
      </c>
      <c r="C211" s="329">
        <v>511</v>
      </c>
      <c r="D211" s="329">
        <v>546</v>
      </c>
      <c r="E211" s="329">
        <v>1057</v>
      </c>
      <c r="F211" s="329">
        <v>706</v>
      </c>
      <c r="G211" s="329">
        <v>883</v>
      </c>
      <c r="H211" s="329">
        <v>1589</v>
      </c>
      <c r="I211" s="329">
        <v>0</v>
      </c>
      <c r="J211" s="329">
        <v>0</v>
      </c>
      <c r="K211" s="329">
        <v>0</v>
      </c>
      <c r="L211" s="329">
        <v>0</v>
      </c>
      <c r="M211" s="329">
        <v>0</v>
      </c>
      <c r="N211" s="329">
        <v>0</v>
      </c>
      <c r="O211" s="329">
        <v>1209</v>
      </c>
      <c r="P211" s="329">
        <v>264</v>
      </c>
      <c r="Q211" s="329">
        <v>1473</v>
      </c>
      <c r="R211" s="329">
        <v>125</v>
      </c>
      <c r="S211" s="329">
        <v>78</v>
      </c>
      <c r="T211" s="329">
        <v>203</v>
      </c>
      <c r="U211" s="329">
        <v>0</v>
      </c>
      <c r="V211" s="329">
        <v>2</v>
      </c>
      <c r="W211" s="329">
        <v>2</v>
      </c>
      <c r="X211" s="330">
        <v>2551</v>
      </c>
      <c r="Y211" s="330">
        <v>1773</v>
      </c>
      <c r="Z211" s="330">
        <v>4324</v>
      </c>
    </row>
    <row r="212" spans="2:26" hidden="1" outlineLevel="1" x14ac:dyDescent="0.25">
      <c r="B212" s="304">
        <v>45017</v>
      </c>
      <c r="C212" s="329">
        <v>591</v>
      </c>
      <c r="D212" s="329">
        <v>534</v>
      </c>
      <c r="E212" s="329">
        <v>1125</v>
      </c>
      <c r="F212" s="329">
        <v>1123</v>
      </c>
      <c r="G212" s="329">
        <v>1562</v>
      </c>
      <c r="H212" s="329">
        <v>2685</v>
      </c>
      <c r="I212" s="329">
        <v>0</v>
      </c>
      <c r="J212" s="329">
        <v>0</v>
      </c>
      <c r="K212" s="329">
        <v>0</v>
      </c>
      <c r="L212" s="329">
        <v>0</v>
      </c>
      <c r="M212" s="329">
        <v>0</v>
      </c>
      <c r="N212" s="329">
        <v>0</v>
      </c>
      <c r="O212" s="329">
        <v>914</v>
      </c>
      <c r="P212" s="329">
        <v>214</v>
      </c>
      <c r="Q212" s="329">
        <v>1128</v>
      </c>
      <c r="R212" s="329">
        <v>117</v>
      </c>
      <c r="S212" s="329">
        <v>80</v>
      </c>
      <c r="T212" s="329">
        <v>197</v>
      </c>
      <c r="U212" s="329">
        <v>0</v>
      </c>
      <c r="V212" s="329">
        <v>0</v>
      </c>
      <c r="W212" s="329">
        <v>0</v>
      </c>
      <c r="X212" s="330">
        <v>2745</v>
      </c>
      <c r="Y212" s="330">
        <v>2390</v>
      </c>
      <c r="Z212" s="330">
        <v>5135</v>
      </c>
    </row>
    <row r="213" spans="2:26" hidden="1" outlineLevel="1" x14ac:dyDescent="0.25">
      <c r="B213" s="304">
        <v>45047</v>
      </c>
      <c r="C213" s="329">
        <v>571</v>
      </c>
      <c r="D213" s="329">
        <v>497</v>
      </c>
      <c r="E213" s="329">
        <v>1068</v>
      </c>
      <c r="F213" s="329">
        <v>815</v>
      </c>
      <c r="G213" s="329">
        <v>1226</v>
      </c>
      <c r="H213" s="329">
        <v>2041</v>
      </c>
      <c r="I213" s="329">
        <v>0</v>
      </c>
      <c r="J213" s="329">
        <v>0</v>
      </c>
      <c r="K213" s="329">
        <v>0</v>
      </c>
      <c r="L213" s="329">
        <v>0</v>
      </c>
      <c r="M213" s="329">
        <v>0</v>
      </c>
      <c r="N213" s="329">
        <v>0</v>
      </c>
      <c r="O213" s="329">
        <v>944</v>
      </c>
      <c r="P213" s="329">
        <v>255</v>
      </c>
      <c r="Q213" s="329">
        <v>1199</v>
      </c>
      <c r="R213" s="329">
        <v>104</v>
      </c>
      <c r="S213" s="329">
        <v>90</v>
      </c>
      <c r="T213" s="329">
        <v>194</v>
      </c>
      <c r="U213" s="329">
        <v>1</v>
      </c>
      <c r="V213" s="329">
        <v>0</v>
      </c>
      <c r="W213" s="329">
        <v>1</v>
      </c>
      <c r="X213" s="330">
        <v>2435</v>
      </c>
      <c r="Y213" s="330">
        <v>2068</v>
      </c>
      <c r="Z213" s="330">
        <v>4503</v>
      </c>
    </row>
    <row r="214" spans="2:26" hidden="1" outlineLevel="1" x14ac:dyDescent="0.25">
      <c r="B214" s="304">
        <v>45078</v>
      </c>
      <c r="C214" s="329">
        <v>352</v>
      </c>
      <c r="D214" s="329">
        <v>354</v>
      </c>
      <c r="E214" s="329">
        <v>706</v>
      </c>
      <c r="F214" s="329">
        <v>624</v>
      </c>
      <c r="G214" s="329">
        <v>917</v>
      </c>
      <c r="H214" s="329">
        <v>1541</v>
      </c>
      <c r="I214" s="329">
        <v>0</v>
      </c>
      <c r="J214" s="329">
        <v>0</v>
      </c>
      <c r="K214" s="329">
        <v>0</v>
      </c>
      <c r="L214" s="329">
        <v>0</v>
      </c>
      <c r="M214" s="329">
        <v>0</v>
      </c>
      <c r="N214" s="329">
        <v>0</v>
      </c>
      <c r="O214" s="329">
        <v>814</v>
      </c>
      <c r="P214" s="329">
        <v>198</v>
      </c>
      <c r="Q214" s="329">
        <v>1012</v>
      </c>
      <c r="R214" s="329">
        <v>101</v>
      </c>
      <c r="S214" s="329">
        <v>61</v>
      </c>
      <c r="T214" s="329">
        <v>162</v>
      </c>
      <c r="U214" s="329">
        <v>0</v>
      </c>
      <c r="V214" s="329">
        <v>1</v>
      </c>
      <c r="W214" s="329">
        <v>1</v>
      </c>
      <c r="X214" s="330">
        <v>1891</v>
      </c>
      <c r="Y214" s="330">
        <v>1531</v>
      </c>
      <c r="Z214" s="330">
        <v>3422</v>
      </c>
    </row>
    <row r="215" spans="2:26" hidden="1" outlineLevel="1" x14ac:dyDescent="0.25">
      <c r="B215" s="304">
        <v>45108</v>
      </c>
      <c r="C215" s="329">
        <v>389</v>
      </c>
      <c r="D215" s="329">
        <v>360</v>
      </c>
      <c r="E215" s="329">
        <v>749</v>
      </c>
      <c r="F215" s="329">
        <v>655</v>
      </c>
      <c r="G215" s="329">
        <v>974</v>
      </c>
      <c r="H215" s="329">
        <v>1629</v>
      </c>
      <c r="I215" s="329">
        <v>0</v>
      </c>
      <c r="J215" s="329">
        <v>0</v>
      </c>
      <c r="K215" s="329">
        <v>0</v>
      </c>
      <c r="L215" s="329">
        <v>0</v>
      </c>
      <c r="M215" s="329">
        <v>0</v>
      </c>
      <c r="N215" s="329">
        <v>0</v>
      </c>
      <c r="O215" s="329">
        <v>872</v>
      </c>
      <c r="P215" s="329">
        <v>227</v>
      </c>
      <c r="Q215" s="329">
        <v>1099</v>
      </c>
      <c r="R215" s="329">
        <v>85</v>
      </c>
      <c r="S215" s="329">
        <v>82</v>
      </c>
      <c r="T215" s="329">
        <v>167</v>
      </c>
      <c r="U215" s="329">
        <v>0</v>
      </c>
      <c r="V215" s="329">
        <v>0</v>
      </c>
      <c r="W215" s="329">
        <v>0</v>
      </c>
      <c r="X215" s="330">
        <v>2001</v>
      </c>
      <c r="Y215" s="330">
        <v>1643</v>
      </c>
      <c r="Z215" s="330">
        <v>3644</v>
      </c>
    </row>
    <row r="216" spans="2:26" hidden="1" outlineLevel="1" x14ac:dyDescent="0.25">
      <c r="B216" s="304">
        <v>45139</v>
      </c>
      <c r="C216" s="329">
        <v>302</v>
      </c>
      <c r="D216" s="329">
        <v>337</v>
      </c>
      <c r="E216" s="329">
        <v>639</v>
      </c>
      <c r="F216" s="329">
        <v>703</v>
      </c>
      <c r="G216" s="329">
        <v>975</v>
      </c>
      <c r="H216" s="329">
        <v>1678</v>
      </c>
      <c r="I216" s="329">
        <v>0</v>
      </c>
      <c r="J216" s="329">
        <v>0</v>
      </c>
      <c r="K216" s="329">
        <v>0</v>
      </c>
      <c r="L216" s="329">
        <v>0</v>
      </c>
      <c r="M216" s="329">
        <v>0</v>
      </c>
      <c r="N216" s="329">
        <v>0</v>
      </c>
      <c r="O216" s="329">
        <v>879</v>
      </c>
      <c r="P216" s="329">
        <v>221</v>
      </c>
      <c r="Q216" s="329">
        <v>1100</v>
      </c>
      <c r="R216" s="329">
        <v>72</v>
      </c>
      <c r="S216" s="329">
        <v>94</v>
      </c>
      <c r="T216" s="329">
        <v>166</v>
      </c>
      <c r="U216" s="329">
        <v>0</v>
      </c>
      <c r="V216" s="329">
        <v>0</v>
      </c>
      <c r="W216" s="329">
        <v>0</v>
      </c>
      <c r="X216" s="330">
        <v>1956</v>
      </c>
      <c r="Y216" s="330">
        <v>1627</v>
      </c>
      <c r="Z216" s="330">
        <v>3583</v>
      </c>
    </row>
    <row r="217" spans="2:26" hidden="1" outlineLevel="1" x14ac:dyDescent="0.25">
      <c r="B217" s="304">
        <v>45170</v>
      </c>
      <c r="C217" s="329">
        <v>255</v>
      </c>
      <c r="D217" s="329">
        <v>249</v>
      </c>
      <c r="E217" s="329">
        <v>504</v>
      </c>
      <c r="F217" s="329">
        <v>734</v>
      </c>
      <c r="G217" s="329">
        <v>760</v>
      </c>
      <c r="H217" s="329">
        <v>1494</v>
      </c>
      <c r="I217" s="329">
        <v>0</v>
      </c>
      <c r="J217" s="329">
        <v>0</v>
      </c>
      <c r="K217" s="329">
        <v>0</v>
      </c>
      <c r="L217" s="329">
        <v>0</v>
      </c>
      <c r="M217" s="329">
        <v>0</v>
      </c>
      <c r="N217" s="329">
        <v>0</v>
      </c>
      <c r="O217" s="329">
        <v>665</v>
      </c>
      <c r="P217" s="329">
        <v>157</v>
      </c>
      <c r="Q217" s="329">
        <v>822</v>
      </c>
      <c r="R217" s="329">
        <v>56</v>
      </c>
      <c r="S217" s="329">
        <v>61</v>
      </c>
      <c r="T217" s="329">
        <v>117</v>
      </c>
      <c r="U217" s="329">
        <v>0</v>
      </c>
      <c r="V217" s="329">
        <v>1</v>
      </c>
      <c r="W217" s="329">
        <v>1</v>
      </c>
      <c r="X217" s="330">
        <v>1710</v>
      </c>
      <c r="Y217" s="330">
        <v>1228</v>
      </c>
      <c r="Z217" s="330">
        <v>2938</v>
      </c>
    </row>
    <row r="218" spans="2:26" hidden="1" outlineLevel="1" x14ac:dyDescent="0.25">
      <c r="B218" s="304">
        <v>45200</v>
      </c>
      <c r="C218" s="329">
        <v>281</v>
      </c>
      <c r="D218" s="329">
        <v>284</v>
      </c>
      <c r="E218" s="329">
        <v>565</v>
      </c>
      <c r="F218" s="329">
        <v>685</v>
      </c>
      <c r="G218" s="329">
        <v>733</v>
      </c>
      <c r="H218" s="329">
        <v>1418</v>
      </c>
      <c r="I218" s="329">
        <v>0</v>
      </c>
      <c r="J218" s="329">
        <v>0</v>
      </c>
      <c r="K218" s="329">
        <v>0</v>
      </c>
      <c r="L218" s="329">
        <v>0</v>
      </c>
      <c r="M218" s="329">
        <v>0</v>
      </c>
      <c r="N218" s="329">
        <v>0</v>
      </c>
      <c r="O218" s="329">
        <v>760</v>
      </c>
      <c r="P218" s="329">
        <v>173</v>
      </c>
      <c r="Q218" s="329">
        <v>933</v>
      </c>
      <c r="R218" s="329">
        <v>62</v>
      </c>
      <c r="S218" s="329">
        <v>61</v>
      </c>
      <c r="T218" s="329">
        <v>123</v>
      </c>
      <c r="U218" s="329">
        <v>0</v>
      </c>
      <c r="V218" s="329">
        <v>1</v>
      </c>
      <c r="W218" s="329">
        <v>1</v>
      </c>
      <c r="X218" s="330">
        <v>1788</v>
      </c>
      <c r="Y218" s="330">
        <v>1252</v>
      </c>
      <c r="Z218" s="330">
        <v>3040</v>
      </c>
    </row>
    <row r="219" spans="2:26" hidden="1" outlineLevel="1" x14ac:dyDescent="0.25">
      <c r="B219" s="304">
        <v>45231</v>
      </c>
      <c r="C219" s="329">
        <v>295</v>
      </c>
      <c r="D219" s="329">
        <v>329</v>
      </c>
      <c r="E219" s="329">
        <v>624</v>
      </c>
      <c r="F219" s="329">
        <v>604</v>
      </c>
      <c r="G219" s="329">
        <v>885</v>
      </c>
      <c r="H219" s="329">
        <v>1489</v>
      </c>
      <c r="I219" s="329">
        <v>0</v>
      </c>
      <c r="J219" s="329">
        <v>0</v>
      </c>
      <c r="K219" s="329">
        <v>0</v>
      </c>
      <c r="L219" s="329">
        <v>0</v>
      </c>
      <c r="M219" s="329">
        <v>0</v>
      </c>
      <c r="N219" s="329">
        <v>0</v>
      </c>
      <c r="O219" s="329">
        <v>812</v>
      </c>
      <c r="P219" s="329">
        <v>213</v>
      </c>
      <c r="Q219" s="329">
        <v>1025</v>
      </c>
      <c r="R219" s="329">
        <v>63</v>
      </c>
      <c r="S219" s="329">
        <v>72</v>
      </c>
      <c r="T219" s="329">
        <v>135</v>
      </c>
      <c r="U219" s="329">
        <v>0</v>
      </c>
      <c r="V219" s="329">
        <v>1</v>
      </c>
      <c r="W219" s="329">
        <v>1</v>
      </c>
      <c r="X219" s="330">
        <v>1774</v>
      </c>
      <c r="Y219" s="330">
        <v>1500</v>
      </c>
      <c r="Z219" s="330">
        <v>3274</v>
      </c>
    </row>
    <row r="220" spans="2:26" collapsed="1" x14ac:dyDescent="0.25">
      <c r="B220" s="304">
        <v>45261</v>
      </c>
      <c r="C220" s="329">
        <v>199</v>
      </c>
      <c r="D220" s="329">
        <v>216</v>
      </c>
      <c r="E220" s="329">
        <v>415</v>
      </c>
      <c r="F220" s="329">
        <v>466</v>
      </c>
      <c r="G220" s="329">
        <v>649</v>
      </c>
      <c r="H220" s="329">
        <v>1115</v>
      </c>
      <c r="I220" s="329">
        <v>0</v>
      </c>
      <c r="J220" s="329">
        <v>0</v>
      </c>
      <c r="K220" s="329">
        <v>0</v>
      </c>
      <c r="L220" s="329">
        <v>0</v>
      </c>
      <c r="M220" s="329">
        <v>0</v>
      </c>
      <c r="N220" s="329">
        <v>0</v>
      </c>
      <c r="O220" s="329">
        <v>618</v>
      </c>
      <c r="P220" s="329">
        <v>154</v>
      </c>
      <c r="Q220" s="329">
        <v>772</v>
      </c>
      <c r="R220" s="329">
        <v>42</v>
      </c>
      <c r="S220" s="329">
        <v>40</v>
      </c>
      <c r="T220" s="329">
        <v>82</v>
      </c>
      <c r="U220" s="329">
        <v>0</v>
      </c>
      <c r="V220" s="329">
        <v>1</v>
      </c>
      <c r="W220" s="329">
        <v>1</v>
      </c>
      <c r="X220" s="330">
        <v>1325</v>
      </c>
      <c r="Y220" s="330">
        <v>1060</v>
      </c>
      <c r="Z220" s="330">
        <v>2385</v>
      </c>
    </row>
    <row r="221" spans="2:26" outlineLevel="1" x14ac:dyDescent="0.25">
      <c r="B221" s="304">
        <v>45292</v>
      </c>
      <c r="C221" s="329">
        <v>362</v>
      </c>
      <c r="D221" s="329">
        <v>296</v>
      </c>
      <c r="E221" s="329">
        <v>658</v>
      </c>
      <c r="F221" s="329">
        <v>735</v>
      </c>
      <c r="G221" s="329">
        <v>875</v>
      </c>
      <c r="H221" s="329">
        <v>1610</v>
      </c>
      <c r="I221" s="329">
        <v>0</v>
      </c>
      <c r="J221" s="329">
        <v>0</v>
      </c>
      <c r="K221" s="329">
        <v>0</v>
      </c>
      <c r="L221" s="329">
        <v>0</v>
      </c>
      <c r="M221" s="329">
        <v>0</v>
      </c>
      <c r="N221" s="329">
        <v>0</v>
      </c>
      <c r="O221" s="329">
        <v>1059</v>
      </c>
      <c r="P221" s="329">
        <v>208</v>
      </c>
      <c r="Q221" s="329">
        <v>1267</v>
      </c>
      <c r="R221" s="329">
        <v>68</v>
      </c>
      <c r="S221" s="329">
        <v>34</v>
      </c>
      <c r="T221" s="329">
        <v>102</v>
      </c>
      <c r="U221" s="329">
        <v>0</v>
      </c>
      <c r="V221" s="329">
        <v>1</v>
      </c>
      <c r="W221" s="329">
        <v>1</v>
      </c>
      <c r="X221" s="330">
        <v>2224</v>
      </c>
      <c r="Y221" s="330">
        <v>1414</v>
      </c>
      <c r="Z221" s="330">
        <v>3638</v>
      </c>
    </row>
    <row r="222" spans="2:26" outlineLevel="1" x14ac:dyDescent="0.25">
      <c r="B222" s="304">
        <v>45323</v>
      </c>
      <c r="C222" s="329">
        <v>341</v>
      </c>
      <c r="D222" s="329">
        <v>266</v>
      </c>
      <c r="E222" s="329">
        <v>607</v>
      </c>
      <c r="F222" s="329">
        <v>557</v>
      </c>
      <c r="G222" s="329">
        <v>782</v>
      </c>
      <c r="H222" s="329">
        <v>1339</v>
      </c>
      <c r="I222" s="329">
        <v>0</v>
      </c>
      <c r="J222" s="329">
        <v>0</v>
      </c>
      <c r="K222" s="329">
        <v>0</v>
      </c>
      <c r="L222" s="329">
        <v>0</v>
      </c>
      <c r="M222" s="329">
        <v>0</v>
      </c>
      <c r="N222" s="329">
        <v>0</v>
      </c>
      <c r="O222" s="329">
        <v>693</v>
      </c>
      <c r="P222" s="329">
        <v>158</v>
      </c>
      <c r="Q222" s="329">
        <v>851</v>
      </c>
      <c r="R222" s="329">
        <v>65</v>
      </c>
      <c r="S222" s="329">
        <v>20</v>
      </c>
      <c r="T222" s="329">
        <v>85</v>
      </c>
      <c r="U222" s="329">
        <v>0</v>
      </c>
      <c r="V222" s="329">
        <v>0</v>
      </c>
      <c r="W222" s="329">
        <v>0</v>
      </c>
      <c r="X222" s="330">
        <v>1656</v>
      </c>
      <c r="Y222" s="330">
        <v>1226</v>
      </c>
      <c r="Z222" s="330">
        <v>2882</v>
      </c>
    </row>
    <row r="223" spans="2:26" outlineLevel="1" x14ac:dyDescent="0.25">
      <c r="B223" s="304">
        <v>45352</v>
      </c>
      <c r="C223" s="329">
        <v>317</v>
      </c>
      <c r="D223" s="329">
        <v>292</v>
      </c>
      <c r="E223" s="329">
        <v>609</v>
      </c>
      <c r="F223" s="329">
        <v>631</v>
      </c>
      <c r="G223" s="329">
        <v>813</v>
      </c>
      <c r="H223" s="329">
        <v>1444</v>
      </c>
      <c r="I223" s="329">
        <v>0</v>
      </c>
      <c r="J223" s="329">
        <v>0</v>
      </c>
      <c r="K223" s="329">
        <v>0</v>
      </c>
      <c r="L223" s="329">
        <v>0</v>
      </c>
      <c r="M223" s="329">
        <v>0</v>
      </c>
      <c r="N223" s="329">
        <v>0</v>
      </c>
      <c r="O223" s="329">
        <v>693</v>
      </c>
      <c r="P223" s="329">
        <v>172</v>
      </c>
      <c r="Q223" s="329">
        <v>865</v>
      </c>
      <c r="R223" s="329">
        <v>40</v>
      </c>
      <c r="S223" s="329">
        <v>10</v>
      </c>
      <c r="T223" s="329">
        <v>50</v>
      </c>
      <c r="U223" s="329">
        <v>0</v>
      </c>
      <c r="V223" s="329">
        <v>1</v>
      </c>
      <c r="W223" s="329">
        <v>1</v>
      </c>
      <c r="X223" s="330">
        <v>1681</v>
      </c>
      <c r="Y223" s="330">
        <v>1288</v>
      </c>
      <c r="Z223" s="330">
        <v>2969</v>
      </c>
    </row>
    <row r="224" spans="2:26" outlineLevel="1" x14ac:dyDescent="0.25">
      <c r="B224" s="304">
        <v>45383</v>
      </c>
      <c r="C224" s="329">
        <v>452</v>
      </c>
      <c r="D224" s="329">
        <v>383</v>
      </c>
      <c r="E224" s="329">
        <v>835</v>
      </c>
      <c r="F224" s="329">
        <v>614</v>
      </c>
      <c r="G224" s="329">
        <v>874</v>
      </c>
      <c r="H224" s="329">
        <v>1488</v>
      </c>
      <c r="I224" s="329">
        <v>0</v>
      </c>
      <c r="J224" s="329">
        <v>0</v>
      </c>
      <c r="K224" s="329">
        <v>0</v>
      </c>
      <c r="L224" s="329">
        <v>0</v>
      </c>
      <c r="M224" s="329">
        <v>0</v>
      </c>
      <c r="N224" s="329">
        <v>0</v>
      </c>
      <c r="O224" s="329">
        <v>622</v>
      </c>
      <c r="P224" s="329">
        <v>126</v>
      </c>
      <c r="Q224" s="329">
        <v>748</v>
      </c>
      <c r="R224" s="329">
        <v>22</v>
      </c>
      <c r="S224" s="329">
        <v>21</v>
      </c>
      <c r="T224" s="329">
        <v>43</v>
      </c>
      <c r="U224" s="329">
        <v>1</v>
      </c>
      <c r="V224" s="329">
        <v>0</v>
      </c>
      <c r="W224" s="329">
        <v>1</v>
      </c>
      <c r="X224" s="330">
        <v>1711</v>
      </c>
      <c r="Y224" s="330">
        <v>1404</v>
      </c>
      <c r="Z224" s="330">
        <v>3115</v>
      </c>
    </row>
    <row r="225" spans="2:26" outlineLevel="1" x14ac:dyDescent="0.25">
      <c r="B225" s="304">
        <v>45413</v>
      </c>
      <c r="C225" s="329">
        <v>441</v>
      </c>
      <c r="D225" s="329">
        <v>366</v>
      </c>
      <c r="E225" s="329">
        <v>807</v>
      </c>
      <c r="F225" s="329">
        <v>472</v>
      </c>
      <c r="G225" s="329">
        <v>543</v>
      </c>
      <c r="H225" s="329">
        <v>1015</v>
      </c>
      <c r="I225" s="329">
        <v>0</v>
      </c>
      <c r="J225" s="329">
        <v>0</v>
      </c>
      <c r="K225" s="329">
        <v>0</v>
      </c>
      <c r="L225" s="329">
        <v>0</v>
      </c>
      <c r="M225" s="329">
        <v>0</v>
      </c>
      <c r="N225" s="329">
        <v>0</v>
      </c>
      <c r="O225" s="329">
        <v>410</v>
      </c>
      <c r="P225" s="329">
        <v>62</v>
      </c>
      <c r="Q225" s="329">
        <v>472</v>
      </c>
      <c r="R225" s="329">
        <v>31</v>
      </c>
      <c r="S225" s="329">
        <v>21</v>
      </c>
      <c r="T225" s="329">
        <v>52</v>
      </c>
      <c r="U225" s="329">
        <v>0</v>
      </c>
      <c r="V225" s="329">
        <v>1</v>
      </c>
      <c r="W225" s="329">
        <v>1</v>
      </c>
      <c r="X225" s="330">
        <v>1354</v>
      </c>
      <c r="Y225" s="330">
        <v>993</v>
      </c>
      <c r="Z225" s="330">
        <v>2347</v>
      </c>
    </row>
    <row r="226" spans="2:26" outlineLevel="1" x14ac:dyDescent="0.25">
      <c r="B226" s="304">
        <v>45444</v>
      </c>
      <c r="C226" s="329">
        <v>458</v>
      </c>
      <c r="D226" s="329">
        <v>535</v>
      </c>
      <c r="E226" s="329">
        <v>993</v>
      </c>
      <c r="F226" s="329">
        <v>669</v>
      </c>
      <c r="G226" s="329">
        <v>869</v>
      </c>
      <c r="H226" s="329">
        <v>1538</v>
      </c>
      <c r="I226" s="329">
        <v>0</v>
      </c>
      <c r="J226" s="329">
        <v>0</v>
      </c>
      <c r="K226" s="329">
        <v>0</v>
      </c>
      <c r="L226" s="329">
        <v>0</v>
      </c>
      <c r="M226" s="329">
        <v>0</v>
      </c>
      <c r="N226" s="329">
        <v>0</v>
      </c>
      <c r="O226" s="329">
        <v>111</v>
      </c>
      <c r="P226" s="329">
        <v>30</v>
      </c>
      <c r="Q226" s="329">
        <v>141</v>
      </c>
      <c r="R226" s="329">
        <v>28</v>
      </c>
      <c r="S226" s="329">
        <v>28</v>
      </c>
      <c r="T226" s="329">
        <v>56</v>
      </c>
      <c r="U226" s="329">
        <v>0</v>
      </c>
      <c r="V226" s="329">
        <v>7</v>
      </c>
      <c r="W226" s="329">
        <v>7</v>
      </c>
      <c r="X226" s="330">
        <v>1266</v>
      </c>
      <c r="Y226" s="330">
        <v>1469</v>
      </c>
      <c r="Z226" s="330">
        <v>2735</v>
      </c>
    </row>
    <row r="227" spans="2:26" outlineLevel="1" x14ac:dyDescent="0.25">
      <c r="B227" s="304">
        <v>45474</v>
      </c>
      <c r="C227" s="329">
        <v>566</v>
      </c>
      <c r="D227" s="329">
        <v>438</v>
      </c>
      <c r="E227" s="329">
        <v>1004</v>
      </c>
      <c r="F227" s="329">
        <v>585</v>
      </c>
      <c r="G227" s="329">
        <v>698</v>
      </c>
      <c r="H227" s="329">
        <v>1283</v>
      </c>
      <c r="I227" s="329">
        <v>0</v>
      </c>
      <c r="J227" s="329">
        <v>0</v>
      </c>
      <c r="K227" s="329">
        <v>0</v>
      </c>
      <c r="L227" s="329">
        <v>0</v>
      </c>
      <c r="M227" s="329">
        <v>0</v>
      </c>
      <c r="N227" s="329">
        <v>0</v>
      </c>
      <c r="O227" s="329">
        <v>92</v>
      </c>
      <c r="P227" s="329">
        <v>23</v>
      </c>
      <c r="Q227" s="329">
        <v>115</v>
      </c>
      <c r="R227" s="329">
        <v>24</v>
      </c>
      <c r="S227" s="329">
        <v>37</v>
      </c>
      <c r="T227" s="329">
        <v>61</v>
      </c>
      <c r="U227" s="329">
        <v>0</v>
      </c>
      <c r="V227" s="329">
        <v>5</v>
      </c>
      <c r="W227" s="329">
        <v>5</v>
      </c>
      <c r="X227" s="330">
        <v>1267</v>
      </c>
      <c r="Y227" s="330">
        <v>1201</v>
      </c>
      <c r="Z227" s="330">
        <v>2468</v>
      </c>
    </row>
    <row r="228" spans="2:26" outlineLevel="1" x14ac:dyDescent="0.25">
      <c r="B228" s="304">
        <v>45505</v>
      </c>
      <c r="C228" s="329">
        <v>426</v>
      </c>
      <c r="D228" s="329">
        <v>410</v>
      </c>
      <c r="E228" s="329">
        <v>836</v>
      </c>
      <c r="F228" s="329">
        <v>505</v>
      </c>
      <c r="G228" s="329">
        <v>560</v>
      </c>
      <c r="H228" s="329">
        <v>1065</v>
      </c>
      <c r="I228" s="329">
        <v>0</v>
      </c>
      <c r="J228" s="329">
        <v>0</v>
      </c>
      <c r="K228" s="329">
        <v>0</v>
      </c>
      <c r="L228" s="329">
        <v>0</v>
      </c>
      <c r="M228" s="329">
        <v>0</v>
      </c>
      <c r="N228" s="329">
        <v>0</v>
      </c>
      <c r="O228" s="329">
        <v>86</v>
      </c>
      <c r="P228" s="329">
        <v>27</v>
      </c>
      <c r="Q228" s="329">
        <v>113</v>
      </c>
      <c r="R228" s="329">
        <v>32</v>
      </c>
      <c r="S228" s="329">
        <v>19</v>
      </c>
      <c r="T228" s="329">
        <v>51</v>
      </c>
      <c r="U228" s="329">
        <v>0</v>
      </c>
      <c r="V228" s="329">
        <v>4</v>
      </c>
      <c r="W228" s="329">
        <v>4</v>
      </c>
      <c r="X228" s="330">
        <v>1049</v>
      </c>
      <c r="Y228" s="330">
        <v>1020</v>
      </c>
      <c r="Z228" s="330">
        <v>2069</v>
      </c>
    </row>
    <row r="229" spans="2:26" x14ac:dyDescent="0.25">
      <c r="B229" s="304">
        <v>45536</v>
      </c>
      <c r="C229" s="329">
        <v>50</v>
      </c>
      <c r="D229" s="329">
        <v>36</v>
      </c>
      <c r="E229" s="329">
        <v>86</v>
      </c>
      <c r="F229" s="329">
        <v>50</v>
      </c>
      <c r="G229" s="329">
        <v>31</v>
      </c>
      <c r="H229" s="329">
        <v>81</v>
      </c>
      <c r="I229" s="329">
        <v>0</v>
      </c>
      <c r="J229" s="329">
        <v>0</v>
      </c>
      <c r="K229" s="329">
        <v>0</v>
      </c>
      <c r="L229" s="329">
        <v>0</v>
      </c>
      <c r="M229" s="329">
        <v>0</v>
      </c>
      <c r="N229" s="329">
        <v>0</v>
      </c>
      <c r="O229" s="329">
        <v>13</v>
      </c>
      <c r="P229" s="329">
        <v>3</v>
      </c>
      <c r="Q229" s="329">
        <v>16</v>
      </c>
      <c r="R229" s="329">
        <v>3</v>
      </c>
      <c r="S229" s="329">
        <v>2</v>
      </c>
      <c r="T229" s="329">
        <v>5</v>
      </c>
      <c r="U229" s="329">
        <v>0</v>
      </c>
      <c r="V229" s="329">
        <v>0</v>
      </c>
      <c r="W229" s="329">
        <v>0</v>
      </c>
      <c r="X229" s="330">
        <v>116</v>
      </c>
      <c r="Y229" s="330">
        <v>72</v>
      </c>
      <c r="Z229" s="330">
        <v>188</v>
      </c>
    </row>
    <row r="230" spans="2:26" ht="30" x14ac:dyDescent="0.25">
      <c r="B230" s="305" t="s">
        <v>920</v>
      </c>
      <c r="C230" s="330">
        <v>13843</v>
      </c>
      <c r="D230" s="330">
        <v>11492</v>
      </c>
      <c r="E230" s="330">
        <v>25335</v>
      </c>
      <c r="F230" s="330">
        <v>43455</v>
      </c>
      <c r="G230" s="330">
        <v>55904</v>
      </c>
      <c r="H230" s="330">
        <v>99359</v>
      </c>
      <c r="I230" s="330">
        <v>50065</v>
      </c>
      <c r="J230" s="330">
        <v>9520</v>
      </c>
      <c r="K230" s="330">
        <v>59585</v>
      </c>
      <c r="L230" s="330">
        <v>162202</v>
      </c>
      <c r="M230" s="330">
        <v>95210</v>
      </c>
      <c r="N230" s="330">
        <v>257412</v>
      </c>
      <c r="O230" s="330">
        <v>129187</v>
      </c>
      <c r="P230" s="330">
        <v>27213</v>
      </c>
      <c r="Q230" s="330">
        <v>156400</v>
      </c>
      <c r="R230" s="330">
        <v>13898</v>
      </c>
      <c r="S230" s="330">
        <v>8523</v>
      </c>
      <c r="T230" s="330">
        <v>22421</v>
      </c>
      <c r="U230" s="330">
        <v>2</v>
      </c>
      <c r="V230" s="330">
        <v>34</v>
      </c>
      <c r="W230" s="330">
        <v>36</v>
      </c>
      <c r="X230" s="330">
        <v>412652</v>
      </c>
      <c r="Y230" s="330">
        <v>207896</v>
      </c>
      <c r="Z230" s="330">
        <v>620548</v>
      </c>
    </row>
    <row r="231" spans="2:26" ht="70.5" customHeight="1" x14ac:dyDescent="0.25">
      <c r="B231" s="454" t="s">
        <v>866</v>
      </c>
      <c r="C231" s="454"/>
      <c r="D231" s="454"/>
      <c r="E231" s="454"/>
      <c r="F231" s="454"/>
      <c r="G231" s="454"/>
      <c r="H231" s="454"/>
      <c r="I231" s="454"/>
      <c r="J231" s="454"/>
      <c r="K231" s="454"/>
      <c r="L231" s="454"/>
      <c r="M231" s="454"/>
      <c r="N231" s="454"/>
      <c r="O231" s="454"/>
      <c r="P231" s="454"/>
      <c r="Q231" s="454"/>
      <c r="R231" s="454"/>
      <c r="S231" s="454"/>
      <c r="T231" s="454"/>
      <c r="U231" s="454"/>
      <c r="V231" s="454"/>
      <c r="W231" s="454"/>
    </row>
    <row r="232" spans="2:26" ht="30" customHeight="1" x14ac:dyDescent="0.25">
      <c r="B232" s="3"/>
      <c r="C232" s="3"/>
      <c r="D232" s="3"/>
      <c r="E232" s="3"/>
      <c r="F232" s="3"/>
      <c r="G232" s="3"/>
      <c r="H232" s="3"/>
    </row>
  </sheetData>
  <mergeCells count="41">
    <mergeCell ref="X32:Z33"/>
    <mergeCell ref="C33:E33"/>
    <mergeCell ref="F33:H33"/>
    <mergeCell ref="I33:K33"/>
    <mergeCell ref="L33:N33"/>
    <mergeCell ref="O33:Q33"/>
    <mergeCell ref="R33:T33"/>
    <mergeCell ref="U33:W33"/>
    <mergeCell ref="B29:H29"/>
    <mergeCell ref="B30:H30"/>
    <mergeCell ref="B20:E20"/>
    <mergeCell ref="C32:W32"/>
    <mergeCell ref="B25:E25"/>
    <mergeCell ref="B32:B34"/>
    <mergeCell ref="B27:T27"/>
    <mergeCell ref="B26:E26"/>
    <mergeCell ref="B23:E23"/>
    <mergeCell ref="B24:E24"/>
    <mergeCell ref="B4:H4"/>
    <mergeCell ref="B5:H5"/>
    <mergeCell ref="B12:E12"/>
    <mergeCell ref="B15:E15"/>
    <mergeCell ref="B14:E14"/>
    <mergeCell ref="B13:E13"/>
    <mergeCell ref="B11:E11"/>
    <mergeCell ref="B231:W231"/>
    <mergeCell ref="U7:W8"/>
    <mergeCell ref="B7:E9"/>
    <mergeCell ref="B10:E10"/>
    <mergeCell ref="B18:E18"/>
    <mergeCell ref="F8:H8"/>
    <mergeCell ref="I8:K8"/>
    <mergeCell ref="L8:N8"/>
    <mergeCell ref="O8:Q8"/>
    <mergeCell ref="B16:E16"/>
    <mergeCell ref="B17:E17"/>
    <mergeCell ref="R8:T8"/>
    <mergeCell ref="F7:T7"/>
    <mergeCell ref="B19:E19"/>
    <mergeCell ref="B21:E21"/>
    <mergeCell ref="B22:E22"/>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Z212"/>
  <sheetViews>
    <sheetView showGridLines="0" workbookViewId="0">
      <selection activeCell="B4" sqref="B4"/>
    </sheetView>
    <sheetView showGridLines="0" workbookViewId="1"/>
  </sheetViews>
  <sheetFormatPr baseColWidth="10" defaultColWidth="11.42578125" defaultRowHeight="15" outlineLevelRow="1" x14ac:dyDescent="0.25"/>
  <cols>
    <col min="1" max="1" width="7.5703125" style="7" customWidth="1"/>
    <col min="2" max="2" width="26.4257812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26" ht="23.25" x14ac:dyDescent="0.25">
      <c r="B2" s="1" t="s">
        <v>828</v>
      </c>
    </row>
    <row r="4" spans="2:26" ht="18.75" x14ac:dyDescent="0.3">
      <c r="B4" s="2" t="s">
        <v>771</v>
      </c>
      <c r="C4" s="2"/>
      <c r="D4" s="2"/>
      <c r="E4" s="2"/>
      <c r="F4" s="2"/>
      <c r="G4" s="8"/>
      <c r="H4"/>
      <c r="I4"/>
    </row>
    <row r="5" spans="2:26" x14ac:dyDescent="0.25">
      <c r="B5" s="253" t="s">
        <v>900</v>
      </c>
    </row>
    <row r="6" spans="2:26" x14ac:dyDescent="0.25">
      <c r="B6" s="15"/>
    </row>
    <row r="7" spans="2:26" x14ac:dyDescent="0.25">
      <c r="B7" s="457" t="s">
        <v>472</v>
      </c>
      <c r="C7" s="451" t="s">
        <v>477</v>
      </c>
      <c r="D7" s="452"/>
      <c r="E7" s="452"/>
      <c r="F7" s="452"/>
      <c r="G7" s="452"/>
      <c r="H7" s="452"/>
      <c r="I7" s="452"/>
      <c r="J7" s="452"/>
      <c r="K7" s="452"/>
      <c r="L7" s="452"/>
      <c r="M7" s="452"/>
      <c r="N7" s="452"/>
      <c r="O7" s="452"/>
      <c r="P7" s="452"/>
      <c r="Q7" s="452"/>
      <c r="R7" s="452"/>
      <c r="S7" s="452"/>
      <c r="T7" s="452"/>
      <c r="U7" s="452"/>
      <c r="V7" s="452"/>
      <c r="W7" s="453"/>
      <c r="X7" s="455" t="s">
        <v>476</v>
      </c>
      <c r="Y7" s="455"/>
      <c r="Z7" s="455"/>
    </row>
    <row r="8" spans="2:26" ht="15" customHeight="1" x14ac:dyDescent="0.25">
      <c r="B8" s="457"/>
      <c r="C8" s="456" t="s">
        <v>651</v>
      </c>
      <c r="D8" s="456"/>
      <c r="E8" s="456"/>
      <c r="F8" s="456" t="s">
        <v>485</v>
      </c>
      <c r="G8" s="456"/>
      <c r="H8" s="456"/>
      <c r="I8" s="456" t="s">
        <v>2</v>
      </c>
      <c r="J8" s="456"/>
      <c r="K8" s="456"/>
      <c r="L8" s="456" t="s">
        <v>4</v>
      </c>
      <c r="M8" s="456"/>
      <c r="N8" s="456"/>
      <c r="O8" s="456" t="s">
        <v>3</v>
      </c>
      <c r="P8" s="456"/>
      <c r="Q8" s="456"/>
      <c r="R8" s="456" t="s">
        <v>5</v>
      </c>
      <c r="S8" s="456"/>
      <c r="T8" s="456"/>
      <c r="U8" s="448" t="s">
        <v>859</v>
      </c>
      <c r="V8" s="449"/>
      <c r="W8" s="450"/>
      <c r="X8" s="455"/>
      <c r="Y8" s="455"/>
      <c r="Z8" s="455"/>
    </row>
    <row r="9" spans="2:26" x14ac:dyDescent="0.25">
      <c r="B9" s="457"/>
      <c r="C9" s="298" t="s">
        <v>73</v>
      </c>
      <c r="D9" s="298" t="s">
        <v>74</v>
      </c>
      <c r="E9" s="298" t="s">
        <v>25</v>
      </c>
      <c r="F9" s="298" t="s">
        <v>73</v>
      </c>
      <c r="G9" s="298" t="s">
        <v>74</v>
      </c>
      <c r="H9" s="298" t="s">
        <v>25</v>
      </c>
      <c r="I9" s="298" t="s">
        <v>73</v>
      </c>
      <c r="J9" s="298" t="s">
        <v>74</v>
      </c>
      <c r="K9" s="298" t="s">
        <v>25</v>
      </c>
      <c r="L9" s="298" t="s">
        <v>73</v>
      </c>
      <c r="M9" s="298" t="s">
        <v>74</v>
      </c>
      <c r="N9" s="298" t="s">
        <v>25</v>
      </c>
      <c r="O9" s="298" t="s">
        <v>73</v>
      </c>
      <c r="P9" s="298" t="s">
        <v>74</v>
      </c>
      <c r="Q9" s="298" t="s">
        <v>25</v>
      </c>
      <c r="R9" s="298" t="s">
        <v>73</v>
      </c>
      <c r="S9" s="298" t="s">
        <v>74</v>
      </c>
      <c r="T9" s="298" t="s">
        <v>25</v>
      </c>
      <c r="U9" s="298" t="s">
        <v>73</v>
      </c>
      <c r="V9" s="298" t="s">
        <v>74</v>
      </c>
      <c r="W9" s="298" t="s">
        <v>25</v>
      </c>
      <c r="X9" s="306" t="s">
        <v>73</v>
      </c>
      <c r="Y9" s="306" t="s">
        <v>74</v>
      </c>
      <c r="Z9" s="306" t="s">
        <v>25</v>
      </c>
    </row>
    <row r="10" spans="2:26" hidden="1" outlineLevel="1" x14ac:dyDescent="0.25">
      <c r="B10" s="304">
        <v>39630</v>
      </c>
      <c r="C10" s="344"/>
      <c r="D10" s="344"/>
      <c r="E10" s="344"/>
      <c r="F10" s="344"/>
      <c r="G10" s="344"/>
      <c r="H10" s="344"/>
      <c r="I10" s="344">
        <v>0.99434459881997883</v>
      </c>
      <c r="J10" s="344">
        <v>0.98900961658548769</v>
      </c>
      <c r="K10" s="344">
        <v>0.99339079176528378</v>
      </c>
      <c r="L10" s="344">
        <v>0.75814814814814813</v>
      </c>
      <c r="M10" s="344">
        <v>0.67307692307692313</v>
      </c>
      <c r="N10" s="344">
        <v>0.73203285420944564</v>
      </c>
      <c r="O10" s="344">
        <v>0.56272360069244087</v>
      </c>
      <c r="P10" s="344">
        <v>0.77649667405764966</v>
      </c>
      <c r="Q10" s="344">
        <v>0.60686813186813182</v>
      </c>
      <c r="R10" s="344">
        <v>0.1613672496025437</v>
      </c>
      <c r="S10" s="344">
        <v>0.26511627906976742</v>
      </c>
      <c r="T10" s="344">
        <v>0.19653179190751449</v>
      </c>
      <c r="U10" s="344"/>
      <c r="V10" s="344"/>
      <c r="W10" s="344"/>
      <c r="X10" s="345">
        <v>0.88451884539087489</v>
      </c>
      <c r="Y10" s="345">
        <v>0.87961662397752627</v>
      </c>
      <c r="Z10" s="345">
        <v>0.88355418258678153</v>
      </c>
    </row>
    <row r="11" spans="2:26" hidden="1" outlineLevel="1" x14ac:dyDescent="0.25">
      <c r="B11" s="304">
        <v>39661</v>
      </c>
      <c r="C11" s="344"/>
      <c r="D11" s="344"/>
      <c r="E11" s="344"/>
      <c r="F11" s="344"/>
      <c r="G11" s="344"/>
      <c r="H11" s="344"/>
      <c r="I11" s="344">
        <v>0.98314108251996446</v>
      </c>
      <c r="J11" s="344">
        <v>0.98814229249011853</v>
      </c>
      <c r="K11" s="344">
        <v>0.98432070514450376</v>
      </c>
      <c r="L11" s="344">
        <v>0.81020535158680773</v>
      </c>
      <c r="M11" s="344">
        <v>0.67609254498714655</v>
      </c>
      <c r="N11" s="344">
        <v>0.76645702306079666</v>
      </c>
      <c r="O11" s="344">
        <v>0.55752727272727276</v>
      </c>
      <c r="P11" s="344">
        <v>0.75229826353421858</v>
      </c>
      <c r="Q11" s="344">
        <v>0.60070191327974642</v>
      </c>
      <c r="R11" s="344">
        <v>0.1065149948293692</v>
      </c>
      <c r="S11" s="344">
        <v>0.21476510067114091</v>
      </c>
      <c r="T11" s="344">
        <v>0.1477927063339731</v>
      </c>
      <c r="U11" s="344"/>
      <c r="V11" s="344"/>
      <c r="W11" s="344"/>
      <c r="X11" s="345">
        <v>0.76371513674519365</v>
      </c>
      <c r="Y11" s="345">
        <v>0.79754701553556828</v>
      </c>
      <c r="Z11" s="345">
        <v>0.7721318144833198</v>
      </c>
    </row>
    <row r="12" spans="2:26" hidden="1" outlineLevel="1" x14ac:dyDescent="0.25">
      <c r="B12" s="304">
        <v>39692</v>
      </c>
      <c r="C12" s="344"/>
      <c r="D12" s="344"/>
      <c r="E12" s="344"/>
      <c r="F12" s="344"/>
      <c r="G12" s="344"/>
      <c r="H12" s="344"/>
      <c r="I12" s="344">
        <v>0.98995551729085951</v>
      </c>
      <c r="J12" s="344">
        <v>0.98317307692307687</v>
      </c>
      <c r="K12" s="344">
        <v>0.98839650790142553</v>
      </c>
      <c r="L12" s="344">
        <v>0.75108790252393387</v>
      </c>
      <c r="M12" s="344">
        <v>0.61479198767334364</v>
      </c>
      <c r="N12" s="344">
        <v>0.70189098998887656</v>
      </c>
      <c r="O12" s="344">
        <v>0.49397590361445781</v>
      </c>
      <c r="P12" s="344">
        <v>0.68699551569506723</v>
      </c>
      <c r="Q12" s="344">
        <v>0.53485280151946824</v>
      </c>
      <c r="R12" s="344">
        <v>0.15340909090909091</v>
      </c>
      <c r="S12" s="344">
        <v>0.31921824104234531</v>
      </c>
      <c r="T12" s="344">
        <v>0.21437125748502989</v>
      </c>
      <c r="U12" s="344"/>
      <c r="V12" s="344"/>
      <c r="W12" s="344"/>
      <c r="X12" s="345">
        <v>0.77313222882150667</v>
      </c>
      <c r="Y12" s="345">
        <v>0.79691640568537703</v>
      </c>
      <c r="Z12" s="345">
        <v>0.77895792765681238</v>
      </c>
    </row>
    <row r="13" spans="2:26" hidden="1" outlineLevel="1" x14ac:dyDescent="0.25">
      <c r="B13" s="304">
        <v>39722</v>
      </c>
      <c r="C13" s="344"/>
      <c r="D13" s="344"/>
      <c r="E13" s="344"/>
      <c r="F13" s="344"/>
      <c r="G13" s="344"/>
      <c r="H13" s="344"/>
      <c r="I13" s="344">
        <v>0.98612716763005781</v>
      </c>
      <c r="J13" s="344">
        <v>0.98871968415115619</v>
      </c>
      <c r="K13" s="344">
        <v>0.98671435871231472</v>
      </c>
      <c r="L13" s="344">
        <v>0.77277085330776607</v>
      </c>
      <c r="M13" s="344">
        <v>0.63622754491017963</v>
      </c>
      <c r="N13" s="344">
        <v>0.71946230274693157</v>
      </c>
      <c r="O13" s="344">
        <v>0.47902921771913293</v>
      </c>
      <c r="P13" s="344">
        <v>0.67236954662104365</v>
      </c>
      <c r="Q13" s="344">
        <v>0.52078329946425272</v>
      </c>
      <c r="R13" s="344">
        <v>0.26946107784431139</v>
      </c>
      <c r="S13" s="344">
        <v>0.4175824175824176</v>
      </c>
      <c r="T13" s="344">
        <v>0.32170542635658922</v>
      </c>
      <c r="U13" s="344"/>
      <c r="V13" s="344"/>
      <c r="W13" s="344"/>
      <c r="X13" s="345">
        <v>0.76224734498115798</v>
      </c>
      <c r="Y13" s="345">
        <v>0.80168776371308015</v>
      </c>
      <c r="Z13" s="345">
        <v>0.77191621411947242</v>
      </c>
    </row>
    <row r="14" spans="2:26" hidden="1" outlineLevel="1" x14ac:dyDescent="0.25">
      <c r="B14" s="304">
        <v>39753</v>
      </c>
      <c r="C14" s="344"/>
      <c r="D14" s="344"/>
      <c r="E14" s="344"/>
      <c r="F14" s="344"/>
      <c r="G14" s="344"/>
      <c r="H14" s="344"/>
      <c r="I14" s="344">
        <v>0.99139102854553696</v>
      </c>
      <c r="J14" s="344">
        <v>0.98374613003095979</v>
      </c>
      <c r="K14" s="344">
        <v>0.98966000701016477</v>
      </c>
      <c r="L14" s="344">
        <v>0.81353919239904993</v>
      </c>
      <c r="M14" s="344">
        <v>0.76243093922651939</v>
      </c>
      <c r="N14" s="344">
        <v>0.79350180505415158</v>
      </c>
      <c r="O14" s="344">
        <v>0.51768867924528306</v>
      </c>
      <c r="P14" s="344">
        <v>0.73626373626373631</v>
      </c>
      <c r="Q14" s="344">
        <v>0.57091882247992864</v>
      </c>
      <c r="R14" s="344">
        <v>0.39947089947089948</v>
      </c>
      <c r="S14" s="344">
        <v>0.61274509803921573</v>
      </c>
      <c r="T14" s="344">
        <v>0.47422680412371132</v>
      </c>
      <c r="U14" s="344"/>
      <c r="V14" s="344"/>
      <c r="W14" s="344"/>
      <c r="X14" s="345">
        <v>0.79836145756908783</v>
      </c>
      <c r="Y14" s="345">
        <v>0.844296710986704</v>
      </c>
      <c r="Z14" s="345">
        <v>0.81025733961580282</v>
      </c>
    </row>
    <row r="15" spans="2:26" collapsed="1" x14ac:dyDescent="0.25">
      <c r="B15" s="304">
        <v>39783</v>
      </c>
      <c r="C15" s="344"/>
      <c r="D15" s="344"/>
      <c r="E15" s="344"/>
      <c r="F15" s="344"/>
      <c r="G15" s="344"/>
      <c r="H15" s="344"/>
      <c r="I15" s="344">
        <v>0.99731838127742567</v>
      </c>
      <c r="J15" s="344">
        <v>0.99674532139951177</v>
      </c>
      <c r="K15" s="344">
        <v>0.99718626899268425</v>
      </c>
      <c r="L15" s="344">
        <v>0.80222222222222217</v>
      </c>
      <c r="M15" s="344">
        <v>0.74732006125574268</v>
      </c>
      <c r="N15" s="344">
        <v>0.77913715389568572</v>
      </c>
      <c r="O15" s="344">
        <v>0.53941082802547768</v>
      </c>
      <c r="P15" s="344">
        <v>0.71668667466986791</v>
      </c>
      <c r="Q15" s="344">
        <v>0.58355754857997011</v>
      </c>
      <c r="R15" s="344">
        <v>0.47837150127226458</v>
      </c>
      <c r="S15" s="344">
        <v>0.54506437768240346</v>
      </c>
      <c r="T15" s="344">
        <v>0.50319488817891378</v>
      </c>
      <c r="U15" s="344"/>
      <c r="V15" s="344"/>
      <c r="W15" s="344"/>
      <c r="X15" s="345">
        <v>0.80384469457442775</v>
      </c>
      <c r="Y15" s="345">
        <v>0.82666214382632297</v>
      </c>
      <c r="Z15" s="345">
        <v>0.81004145555043761</v>
      </c>
    </row>
    <row r="16" spans="2:26" hidden="1" outlineLevel="1" x14ac:dyDescent="0.25">
      <c r="B16" s="304">
        <v>39814</v>
      </c>
      <c r="C16" s="344"/>
      <c r="D16" s="344"/>
      <c r="E16" s="344"/>
      <c r="F16" s="344"/>
      <c r="G16" s="344"/>
      <c r="H16" s="344"/>
      <c r="I16" s="344">
        <v>0.99726692985119947</v>
      </c>
      <c r="J16" s="344">
        <v>0.98912133891213394</v>
      </c>
      <c r="K16" s="344">
        <v>0.99509803921568629</v>
      </c>
      <c r="L16" s="344">
        <v>0.86775818639798485</v>
      </c>
      <c r="M16" s="344">
        <v>0.81681681681681684</v>
      </c>
      <c r="N16" s="344">
        <v>0.84452054794520548</v>
      </c>
      <c r="O16" s="344">
        <v>0.55467720685111987</v>
      </c>
      <c r="P16" s="344">
        <v>0.72898550724637678</v>
      </c>
      <c r="Q16" s="344">
        <v>0.59521402089652853</v>
      </c>
      <c r="R16" s="344">
        <v>0.61722488038277512</v>
      </c>
      <c r="S16" s="344">
        <v>0.70940170940170943</v>
      </c>
      <c r="T16" s="344">
        <v>0.65030674846625769</v>
      </c>
      <c r="U16" s="344"/>
      <c r="V16" s="344"/>
      <c r="W16" s="344"/>
      <c r="X16" s="345">
        <v>0.81008552049542903</v>
      </c>
      <c r="Y16" s="345">
        <v>0.85996409335727109</v>
      </c>
      <c r="Z16" s="345">
        <v>0.82460541444548974</v>
      </c>
    </row>
    <row r="17" spans="2:26" hidden="1" outlineLevel="1" x14ac:dyDescent="0.25">
      <c r="B17" s="304">
        <v>39845</v>
      </c>
      <c r="C17" s="344"/>
      <c r="D17" s="344"/>
      <c r="E17" s="344"/>
      <c r="F17" s="344"/>
      <c r="G17" s="344"/>
      <c r="H17" s="344"/>
      <c r="I17" s="344">
        <v>0.99919322307382008</v>
      </c>
      <c r="J17" s="344">
        <v>0.9977194982896237</v>
      </c>
      <c r="K17" s="344">
        <v>0.99880810488676997</v>
      </c>
      <c r="L17" s="344">
        <v>0.94366197183098588</v>
      </c>
      <c r="M17" s="344">
        <v>0.94896030245746688</v>
      </c>
      <c r="N17" s="344">
        <v>0.94606164383561642</v>
      </c>
      <c r="O17" s="344">
        <v>0.54825581395348832</v>
      </c>
      <c r="P17" s="344">
        <v>0.77883096366508686</v>
      </c>
      <c r="Q17" s="344">
        <v>0.61028474288142798</v>
      </c>
      <c r="R17" s="344">
        <v>0.72702702702702704</v>
      </c>
      <c r="S17" s="344">
        <v>0.84210526315789469</v>
      </c>
      <c r="T17" s="344">
        <v>0.77090301003344486</v>
      </c>
      <c r="U17" s="344"/>
      <c r="V17" s="344"/>
      <c r="W17" s="344"/>
      <c r="X17" s="345">
        <v>0.82411674347158215</v>
      </c>
      <c r="Y17" s="345">
        <v>0.90957212174680191</v>
      </c>
      <c r="Z17" s="345">
        <v>0.85003344481605347</v>
      </c>
    </row>
    <row r="18" spans="2:26" hidden="1" outlineLevel="1" x14ac:dyDescent="0.25">
      <c r="B18" s="304">
        <v>39873</v>
      </c>
      <c r="C18" s="344"/>
      <c r="D18" s="344"/>
      <c r="E18" s="344"/>
      <c r="F18" s="344"/>
      <c r="G18" s="344"/>
      <c r="H18" s="344"/>
      <c r="I18" s="344">
        <v>0.99937578027465668</v>
      </c>
      <c r="J18" s="344">
        <v>0.9971830985915493</v>
      </c>
      <c r="K18" s="344">
        <v>0.99882876551885691</v>
      </c>
      <c r="L18" s="344">
        <v>0.9287598944591029</v>
      </c>
      <c r="M18" s="344">
        <v>0.95380029806259314</v>
      </c>
      <c r="N18" s="344">
        <v>0.94051784464660604</v>
      </c>
      <c r="O18" s="344">
        <v>0.54452614379084963</v>
      </c>
      <c r="P18" s="344">
        <v>0.7407407407407407</v>
      </c>
      <c r="Q18" s="344">
        <v>0.59082397003745324</v>
      </c>
      <c r="R18" s="344">
        <v>0.6875</v>
      </c>
      <c r="S18" s="344">
        <v>0.83061889250814336</v>
      </c>
      <c r="T18" s="344">
        <v>0.74569536423841054</v>
      </c>
      <c r="U18" s="344"/>
      <c r="V18" s="344"/>
      <c r="W18" s="344"/>
      <c r="X18" s="345">
        <v>0.80883639545056862</v>
      </c>
      <c r="Y18" s="345">
        <v>0.89924973204715974</v>
      </c>
      <c r="Z18" s="345">
        <v>0.83504193849021435</v>
      </c>
    </row>
    <row r="19" spans="2:26" hidden="1" outlineLevel="1" x14ac:dyDescent="0.25">
      <c r="B19" s="304">
        <v>39904</v>
      </c>
      <c r="C19" s="344"/>
      <c r="D19" s="344"/>
      <c r="E19" s="344"/>
      <c r="F19" s="344"/>
      <c r="G19" s="344"/>
      <c r="H19" s="344"/>
      <c r="I19" s="344">
        <v>0.99582608695652175</v>
      </c>
      <c r="J19" s="344">
        <v>0.99363732767762458</v>
      </c>
      <c r="K19" s="344">
        <v>0.99528548978522791</v>
      </c>
      <c r="L19" s="344">
        <v>0.95325779036827196</v>
      </c>
      <c r="M19" s="344">
        <v>0.95973154362416102</v>
      </c>
      <c r="N19" s="344">
        <v>0.95622119815668205</v>
      </c>
      <c r="O19" s="344">
        <v>0.57951356407857813</v>
      </c>
      <c r="P19" s="344">
        <v>0.77777777777777779</v>
      </c>
      <c r="Q19" s="344">
        <v>0.62708851759687168</v>
      </c>
      <c r="R19" s="344">
        <v>0.8125</v>
      </c>
      <c r="S19" s="344">
        <v>0.85614035087719298</v>
      </c>
      <c r="T19" s="344">
        <v>0.83024251069900146</v>
      </c>
      <c r="U19" s="344"/>
      <c r="V19" s="344"/>
      <c r="W19" s="344"/>
      <c r="X19" s="345">
        <v>0.8334148329258354</v>
      </c>
      <c r="Y19" s="345">
        <v>0.91156462585034015</v>
      </c>
      <c r="Z19" s="345">
        <v>0.85603428306694462</v>
      </c>
    </row>
    <row r="20" spans="2:26" hidden="1" outlineLevel="1" x14ac:dyDescent="0.25">
      <c r="B20" s="304">
        <v>39934</v>
      </c>
      <c r="C20" s="344"/>
      <c r="D20" s="344"/>
      <c r="E20" s="344"/>
      <c r="F20" s="344"/>
      <c r="G20" s="344"/>
      <c r="H20" s="344"/>
      <c r="I20" s="344">
        <v>0.97746055597295267</v>
      </c>
      <c r="J20" s="344">
        <v>0.99096045197740112</v>
      </c>
      <c r="K20" s="344">
        <v>0.98082886946715531</v>
      </c>
      <c r="L20" s="344">
        <v>0.95517241379310347</v>
      </c>
      <c r="M20" s="344">
        <v>0.95130434782608697</v>
      </c>
      <c r="N20" s="344">
        <v>0.95324675324675323</v>
      </c>
      <c r="O20" s="344">
        <v>0.55931293612453037</v>
      </c>
      <c r="P20" s="344">
        <v>0.73666666666666669</v>
      </c>
      <c r="Q20" s="344">
        <v>0.60251725537961831</v>
      </c>
      <c r="R20" s="344">
        <v>0.87782805429864252</v>
      </c>
      <c r="S20" s="344">
        <v>0.86046511627906974</v>
      </c>
      <c r="T20" s="344">
        <v>0.87079407806191123</v>
      </c>
      <c r="U20" s="344"/>
      <c r="V20" s="344"/>
      <c r="W20" s="344"/>
      <c r="X20" s="345">
        <v>0.82675319992788898</v>
      </c>
      <c r="Y20" s="345">
        <v>0.90004235493434981</v>
      </c>
      <c r="Z20" s="345">
        <v>0.84863429438543247</v>
      </c>
    </row>
    <row r="21" spans="2:26" hidden="1" outlineLevel="1" x14ac:dyDescent="0.25">
      <c r="B21" s="304">
        <v>39965</v>
      </c>
      <c r="C21" s="344"/>
      <c r="D21" s="344"/>
      <c r="E21" s="344"/>
      <c r="F21" s="344"/>
      <c r="G21" s="344"/>
      <c r="H21" s="344"/>
      <c r="I21" s="344">
        <v>0.96607515657620047</v>
      </c>
      <c r="J21" s="344">
        <v>0.9437439379243453</v>
      </c>
      <c r="K21" s="344">
        <v>0.95826263997285377</v>
      </c>
      <c r="L21" s="344">
        <v>0.70387376857572215</v>
      </c>
      <c r="M21" s="344">
        <v>0.9471498678746697</v>
      </c>
      <c r="N21" s="344">
        <v>0.78668061750830631</v>
      </c>
      <c r="O21" s="344">
        <v>0.59324522760646103</v>
      </c>
      <c r="P21" s="344">
        <v>0.76712328767123283</v>
      </c>
      <c r="Q21" s="344">
        <v>0.63901911287414348</v>
      </c>
      <c r="R21" s="344">
        <v>0.87073170731707317</v>
      </c>
      <c r="S21" s="344">
        <v>0.91142857142857148</v>
      </c>
      <c r="T21" s="344">
        <v>0.88947368421052631</v>
      </c>
      <c r="U21" s="344"/>
      <c r="V21" s="344"/>
      <c r="W21" s="344"/>
      <c r="X21" s="345">
        <v>0.7124283552092896</v>
      </c>
      <c r="Y21" s="345">
        <v>0.94001162002517669</v>
      </c>
      <c r="Z21" s="345">
        <v>0.78954016765916957</v>
      </c>
    </row>
    <row r="22" spans="2:26" hidden="1" outlineLevel="1" x14ac:dyDescent="0.25">
      <c r="B22" s="304">
        <v>39995</v>
      </c>
      <c r="C22" s="344"/>
      <c r="D22" s="344"/>
      <c r="E22" s="344"/>
      <c r="F22" s="344"/>
      <c r="G22" s="344"/>
      <c r="H22" s="344"/>
      <c r="I22" s="344">
        <v>0.97569101678183612</v>
      </c>
      <c r="J22" s="344">
        <v>0.96830985915492962</v>
      </c>
      <c r="K22" s="344">
        <v>0.97478354978354975</v>
      </c>
      <c r="L22" s="344">
        <v>0.88979088526948569</v>
      </c>
      <c r="M22" s="344">
        <v>0.95544047690732825</v>
      </c>
      <c r="N22" s="344">
        <v>0.92001663432215142</v>
      </c>
      <c r="O22" s="344">
        <v>0.58002227998514666</v>
      </c>
      <c r="P22" s="344">
        <v>0.77154582763337898</v>
      </c>
      <c r="Q22" s="344">
        <v>0.62091121495327106</v>
      </c>
      <c r="R22" s="344">
        <v>0.92500000000000004</v>
      </c>
      <c r="S22" s="344">
        <v>0.90909090909090906</v>
      </c>
      <c r="T22" s="344">
        <v>0.9178082191780822</v>
      </c>
      <c r="U22" s="344"/>
      <c r="V22" s="344"/>
      <c r="W22" s="344"/>
      <c r="X22" s="345">
        <v>0.8857469015003262</v>
      </c>
      <c r="Y22" s="345">
        <v>0.94825569027866408</v>
      </c>
      <c r="Z22" s="345">
        <v>0.90950994662785056</v>
      </c>
    </row>
    <row r="23" spans="2:26" hidden="1" outlineLevel="1" x14ac:dyDescent="0.25">
      <c r="B23" s="304">
        <v>40026</v>
      </c>
      <c r="C23" s="344"/>
      <c r="D23" s="344"/>
      <c r="E23" s="344"/>
      <c r="F23" s="344"/>
      <c r="G23" s="344"/>
      <c r="H23" s="344"/>
      <c r="I23" s="344">
        <v>0.98006276536828507</v>
      </c>
      <c r="J23" s="344">
        <v>0.98054204308547599</v>
      </c>
      <c r="K23" s="344">
        <v>0.98016336056009334</v>
      </c>
      <c r="L23" s="344">
        <v>0.97868610444731496</v>
      </c>
      <c r="M23" s="344">
        <v>0.97898254407949703</v>
      </c>
      <c r="N23" s="344">
        <v>0.97880811480898344</v>
      </c>
      <c r="O23" s="344">
        <v>0.56839121190644937</v>
      </c>
      <c r="P23" s="344">
        <v>0.73622508792497066</v>
      </c>
      <c r="Q23" s="344">
        <v>0.60734693877551016</v>
      </c>
      <c r="R23" s="344">
        <v>0.76715410573678289</v>
      </c>
      <c r="S23" s="344">
        <v>0.88695652173913042</v>
      </c>
      <c r="T23" s="344">
        <v>0.81420765027322406</v>
      </c>
      <c r="U23" s="344"/>
      <c r="V23" s="344"/>
      <c r="W23" s="344"/>
      <c r="X23" s="345">
        <v>0.94654435425772054</v>
      </c>
      <c r="Y23" s="345">
        <v>0.96891839125341661</v>
      </c>
      <c r="Z23" s="345">
        <v>0.95506453339677633</v>
      </c>
    </row>
    <row r="24" spans="2:26" hidden="1" outlineLevel="1" x14ac:dyDescent="0.25">
      <c r="B24" s="304">
        <v>40057</v>
      </c>
      <c r="C24" s="344"/>
      <c r="D24" s="344"/>
      <c r="E24" s="344"/>
      <c r="F24" s="344"/>
      <c r="G24" s="344"/>
      <c r="H24" s="344"/>
      <c r="I24" s="344">
        <v>0.97281087564974011</v>
      </c>
      <c r="J24" s="344">
        <v>0.93535353535353538</v>
      </c>
      <c r="K24" s="344">
        <v>0.96423616463696626</v>
      </c>
      <c r="L24" s="344">
        <v>0.97630808849350348</v>
      </c>
      <c r="M24" s="344">
        <v>0.98178400103720986</v>
      </c>
      <c r="N24" s="344">
        <v>0.97860453736050135</v>
      </c>
      <c r="O24" s="344">
        <v>0.54703557312252959</v>
      </c>
      <c r="P24" s="344">
        <v>0.74279123414071513</v>
      </c>
      <c r="Q24" s="344">
        <v>0.5969973506034737</v>
      </c>
      <c r="R24" s="344">
        <v>0.85964912280701755</v>
      </c>
      <c r="S24" s="344">
        <v>0.88288288288288286</v>
      </c>
      <c r="T24" s="344">
        <v>0.86998854524627722</v>
      </c>
      <c r="U24" s="344"/>
      <c r="V24" s="344"/>
      <c r="W24" s="344"/>
      <c r="X24" s="345">
        <v>0.95255388940955954</v>
      </c>
      <c r="Y24" s="345">
        <v>0.97139577999470295</v>
      </c>
      <c r="Z24" s="345">
        <v>0.96006901651466603</v>
      </c>
    </row>
    <row r="25" spans="2:26" hidden="1" outlineLevel="1" x14ac:dyDescent="0.25">
      <c r="B25" s="304">
        <v>40087</v>
      </c>
      <c r="C25" s="344"/>
      <c r="D25" s="344"/>
      <c r="E25" s="344"/>
      <c r="F25" s="344"/>
      <c r="G25" s="344"/>
      <c r="H25" s="344"/>
      <c r="I25" s="344">
        <v>0.96327615366030439</v>
      </c>
      <c r="J25" s="344">
        <v>0.93251974156496764</v>
      </c>
      <c r="K25" s="344">
        <v>0.95553145336225598</v>
      </c>
      <c r="L25" s="344">
        <v>0.95997341785093548</v>
      </c>
      <c r="M25" s="344">
        <v>0.97000726696174933</v>
      </c>
      <c r="N25" s="344">
        <v>0.9643505576529583</v>
      </c>
      <c r="O25" s="344">
        <v>0.53893442622950816</v>
      </c>
      <c r="P25" s="344">
        <v>0.7415730337078652</v>
      </c>
      <c r="Q25" s="344">
        <v>0.58901573588398637</v>
      </c>
      <c r="R25" s="344">
        <v>0.87351190476190477</v>
      </c>
      <c r="S25" s="344">
        <v>0.87804878048780488</v>
      </c>
      <c r="T25" s="344">
        <v>0.87551867219917012</v>
      </c>
      <c r="U25" s="344"/>
      <c r="V25" s="344"/>
      <c r="W25" s="344"/>
      <c r="X25" s="345">
        <v>0.92000149181367252</v>
      </c>
      <c r="Y25" s="345">
        <v>0.95409762651141961</v>
      </c>
      <c r="Z25" s="345">
        <v>0.93363475613850522</v>
      </c>
    </row>
    <row r="26" spans="2:26" hidden="1" outlineLevel="1" x14ac:dyDescent="0.25">
      <c r="B26" s="304">
        <v>40118</v>
      </c>
      <c r="C26" s="344"/>
      <c r="D26" s="344"/>
      <c r="E26" s="344"/>
      <c r="F26" s="344"/>
      <c r="G26" s="344"/>
      <c r="H26" s="344"/>
      <c r="I26" s="344">
        <v>0.97869235259778165</v>
      </c>
      <c r="J26" s="344">
        <v>0.9737072743207712</v>
      </c>
      <c r="K26" s="344">
        <v>0.97744690168600834</v>
      </c>
      <c r="L26" s="344">
        <v>0.95867379006913889</v>
      </c>
      <c r="M26" s="344">
        <v>0.96717354573980208</v>
      </c>
      <c r="N26" s="344">
        <v>0.96202531645569622</v>
      </c>
      <c r="O26" s="344">
        <v>0.50859453993933268</v>
      </c>
      <c r="P26" s="344">
        <v>0.764026402640264</v>
      </c>
      <c r="Q26" s="344">
        <v>0.56849845201238391</v>
      </c>
      <c r="R26" s="344">
        <v>0.87920489296636084</v>
      </c>
      <c r="S26" s="344">
        <v>0.93640350877192979</v>
      </c>
      <c r="T26" s="344">
        <v>0.9027027027027027</v>
      </c>
      <c r="U26" s="344"/>
      <c r="V26" s="344"/>
      <c r="W26" s="344"/>
      <c r="X26" s="345">
        <v>0.91216863621846056</v>
      </c>
      <c r="Y26" s="345">
        <v>0.95480980074363619</v>
      </c>
      <c r="Z26" s="345">
        <v>0.92744662681468826</v>
      </c>
    </row>
    <row r="27" spans="2:26" collapsed="1" x14ac:dyDescent="0.25">
      <c r="B27" s="304">
        <v>40148</v>
      </c>
      <c r="C27" s="344"/>
      <c r="D27" s="344"/>
      <c r="E27" s="344"/>
      <c r="F27" s="344"/>
      <c r="G27" s="344"/>
      <c r="H27" s="344"/>
      <c r="I27" s="344">
        <v>0.9870047543581616</v>
      </c>
      <c r="J27" s="344">
        <v>0.98333333333333328</v>
      </c>
      <c r="K27" s="344">
        <v>0.98614823815309838</v>
      </c>
      <c r="L27" s="344">
        <v>0.95486751431621852</v>
      </c>
      <c r="M27" s="344">
        <v>0.90458897325850118</v>
      </c>
      <c r="N27" s="344">
        <v>0.93625084041317763</v>
      </c>
      <c r="O27" s="344">
        <v>0.50295222758990876</v>
      </c>
      <c r="P27" s="344">
        <v>0.71879936808846756</v>
      </c>
      <c r="Q27" s="344">
        <v>0.55769230769230771</v>
      </c>
      <c r="R27" s="344">
        <v>0.88685015290519875</v>
      </c>
      <c r="S27" s="344">
        <v>0.91941391941391937</v>
      </c>
      <c r="T27" s="344">
        <v>0.90166666666666662</v>
      </c>
      <c r="U27" s="344"/>
      <c r="V27" s="344"/>
      <c r="W27" s="344"/>
      <c r="X27" s="345">
        <v>0.90572769953051646</v>
      </c>
      <c r="Y27" s="345">
        <v>0.90045138465292185</v>
      </c>
      <c r="Z27" s="345">
        <v>0.90393844117160349</v>
      </c>
    </row>
    <row r="28" spans="2:26" hidden="1" outlineLevel="1" x14ac:dyDescent="0.25">
      <c r="B28" s="304">
        <v>40179</v>
      </c>
      <c r="C28" s="344"/>
      <c r="D28" s="344"/>
      <c r="E28" s="344"/>
      <c r="F28" s="344"/>
      <c r="G28" s="344"/>
      <c r="H28" s="344"/>
      <c r="I28" s="344">
        <v>0.99572801708793168</v>
      </c>
      <c r="J28" s="344">
        <v>0.99228224917309815</v>
      </c>
      <c r="K28" s="344">
        <v>0.99488697524219594</v>
      </c>
      <c r="L28" s="344">
        <v>0.96953340530166732</v>
      </c>
      <c r="M28" s="344">
        <v>0.92229324810227731</v>
      </c>
      <c r="N28" s="344">
        <v>0.95180993779509859</v>
      </c>
      <c r="O28" s="344">
        <v>0.536897152818129</v>
      </c>
      <c r="P28" s="344">
        <v>0.74350649350649356</v>
      </c>
      <c r="Q28" s="344">
        <v>0.59135643988018827</v>
      </c>
      <c r="R28" s="344">
        <v>0.90666666666666662</v>
      </c>
      <c r="S28" s="344">
        <v>0.97771587743732591</v>
      </c>
      <c r="T28" s="344">
        <v>0.93326381647549528</v>
      </c>
      <c r="U28" s="344"/>
      <c r="V28" s="344"/>
      <c r="W28" s="344"/>
      <c r="X28" s="345">
        <v>0.91690799732679884</v>
      </c>
      <c r="Y28" s="345">
        <v>0.91840882694541226</v>
      </c>
      <c r="Z28" s="345">
        <v>0.91741586833701794</v>
      </c>
    </row>
    <row r="29" spans="2:26" hidden="1" outlineLevel="1" x14ac:dyDescent="0.25">
      <c r="B29" s="304">
        <v>40210</v>
      </c>
      <c r="C29" s="344"/>
      <c r="D29" s="344"/>
      <c r="E29" s="344"/>
      <c r="F29" s="344"/>
      <c r="G29" s="344"/>
      <c r="H29" s="344"/>
      <c r="I29" s="344">
        <v>0.99309392265193375</v>
      </c>
      <c r="J29" s="344">
        <v>0.97527812113720647</v>
      </c>
      <c r="K29" s="344">
        <v>0.98825897349882585</v>
      </c>
      <c r="L29" s="344">
        <v>0.98078785921859868</v>
      </c>
      <c r="M29" s="344">
        <v>0.95947747267395356</v>
      </c>
      <c r="N29" s="344">
        <v>0.97275012569130215</v>
      </c>
      <c r="O29" s="344">
        <v>0.52785145888594165</v>
      </c>
      <c r="P29" s="344">
        <v>0.74747474747474751</v>
      </c>
      <c r="Q29" s="344">
        <v>0.58212680978532205</v>
      </c>
      <c r="R29" s="344">
        <v>0.93202146690518783</v>
      </c>
      <c r="S29" s="344">
        <v>0.9513513513513514</v>
      </c>
      <c r="T29" s="344">
        <v>0.93972012917115177</v>
      </c>
      <c r="U29" s="344"/>
      <c r="V29" s="344"/>
      <c r="W29" s="344"/>
      <c r="X29" s="345">
        <v>0.91526885842998174</v>
      </c>
      <c r="Y29" s="345">
        <v>0.9419354838709677</v>
      </c>
      <c r="Z29" s="345">
        <v>0.92439147433472069</v>
      </c>
    </row>
    <row r="30" spans="2:26" hidden="1" outlineLevel="1" x14ac:dyDescent="0.25">
      <c r="B30" s="304">
        <v>40238</v>
      </c>
      <c r="C30" s="344"/>
      <c r="D30" s="344"/>
      <c r="E30" s="344"/>
      <c r="F30" s="344"/>
      <c r="G30" s="344"/>
      <c r="H30" s="344"/>
      <c r="I30" s="344">
        <v>0.99234693877551017</v>
      </c>
      <c r="J30" s="344">
        <v>0.97549591598599772</v>
      </c>
      <c r="K30" s="344">
        <v>0.98784668120909935</v>
      </c>
      <c r="L30" s="344">
        <v>0.9713937918441875</v>
      </c>
      <c r="M30" s="344">
        <v>0.95203275811640831</v>
      </c>
      <c r="N30" s="344">
        <v>0.96346430282702444</v>
      </c>
      <c r="O30" s="344">
        <v>0.56145454545454543</v>
      </c>
      <c r="P30" s="344">
        <v>0.73715415019762842</v>
      </c>
      <c r="Q30" s="344">
        <v>0.60871876661350344</v>
      </c>
      <c r="R30" s="344">
        <v>0.94254658385093171</v>
      </c>
      <c r="S30" s="344">
        <v>0.97945205479452058</v>
      </c>
      <c r="T30" s="344">
        <v>0.95748613678373384</v>
      </c>
      <c r="U30" s="344"/>
      <c r="V30" s="344"/>
      <c r="W30" s="344"/>
      <c r="X30" s="345">
        <v>0.91408602150537632</v>
      </c>
      <c r="Y30" s="345">
        <v>0.93735632183908046</v>
      </c>
      <c r="Z30" s="345">
        <v>0.92245179063360883</v>
      </c>
    </row>
    <row r="31" spans="2:26" hidden="1" outlineLevel="1" x14ac:dyDescent="0.25">
      <c r="B31" s="304">
        <v>40269</v>
      </c>
      <c r="C31" s="344"/>
      <c r="D31" s="344"/>
      <c r="E31" s="344"/>
      <c r="F31" s="344"/>
      <c r="G31" s="344"/>
      <c r="H31" s="344"/>
      <c r="I31" s="344">
        <v>0.99328577423415865</v>
      </c>
      <c r="J31" s="344">
        <v>0.98091603053435117</v>
      </c>
      <c r="K31" s="344">
        <v>0.99021773430104132</v>
      </c>
      <c r="L31" s="344">
        <v>0.97011294526498693</v>
      </c>
      <c r="M31" s="344">
        <v>0.95710928319623967</v>
      </c>
      <c r="N31" s="344">
        <v>0.96399963170978731</v>
      </c>
      <c r="O31" s="344">
        <v>0.5</v>
      </c>
      <c r="P31" s="344">
        <v>0.73648648648648651</v>
      </c>
      <c r="Q31" s="344">
        <v>0.56300630063006296</v>
      </c>
      <c r="R31" s="344">
        <v>0.91746031746031742</v>
      </c>
      <c r="S31" s="344">
        <v>0.98367346938775513</v>
      </c>
      <c r="T31" s="344">
        <v>0.9464285714285714</v>
      </c>
      <c r="U31" s="344"/>
      <c r="V31" s="344"/>
      <c r="W31" s="344"/>
      <c r="X31" s="345">
        <v>0.89853818041931144</v>
      </c>
      <c r="Y31" s="345">
        <v>0.94293088614855181</v>
      </c>
      <c r="Z31" s="345">
        <v>0.91635965922173612</v>
      </c>
    </row>
    <row r="32" spans="2:26" hidden="1" outlineLevel="1" x14ac:dyDescent="0.25">
      <c r="B32" s="304">
        <v>40299</v>
      </c>
      <c r="C32" s="344"/>
      <c r="D32" s="344"/>
      <c r="E32" s="344"/>
      <c r="F32" s="344"/>
      <c r="G32" s="344"/>
      <c r="H32" s="344"/>
      <c r="I32" s="344">
        <v>0.99260969976905311</v>
      </c>
      <c r="J32" s="344">
        <v>0.9899749373433584</v>
      </c>
      <c r="K32" s="344">
        <v>0.9919001012487344</v>
      </c>
      <c r="L32" s="344">
        <v>0.97637466025507003</v>
      </c>
      <c r="M32" s="344">
        <v>0.97215825832112202</v>
      </c>
      <c r="N32" s="344">
        <v>0.97426778242677825</v>
      </c>
      <c r="O32" s="344">
        <v>0.5040803515379787</v>
      </c>
      <c r="P32" s="344">
        <v>0.74199623352165722</v>
      </c>
      <c r="Q32" s="344">
        <v>0.56355932203389836</v>
      </c>
      <c r="R32" s="344">
        <v>0.92452830188679247</v>
      </c>
      <c r="S32" s="344">
        <v>0.97872340425531912</v>
      </c>
      <c r="T32" s="344">
        <v>0.94731610337972172</v>
      </c>
      <c r="U32" s="344"/>
      <c r="V32" s="344"/>
      <c r="W32" s="344"/>
      <c r="X32" s="345">
        <v>0.89445418676019295</v>
      </c>
      <c r="Y32" s="345">
        <v>0.95604227293613109</v>
      </c>
      <c r="Z32" s="345">
        <v>0.92014310355842333</v>
      </c>
    </row>
    <row r="33" spans="2:26" hidden="1" outlineLevel="1" x14ac:dyDescent="0.25">
      <c r="B33" s="304">
        <v>40330</v>
      </c>
      <c r="C33" s="344"/>
      <c r="D33" s="344"/>
      <c r="E33" s="344"/>
      <c r="F33" s="344"/>
      <c r="G33" s="344"/>
      <c r="H33" s="344"/>
      <c r="I33" s="344">
        <v>0.99819900945520035</v>
      </c>
      <c r="J33" s="344">
        <v>0.9893111638954869</v>
      </c>
      <c r="K33" s="344">
        <v>0.99575579497224942</v>
      </c>
      <c r="L33" s="344">
        <v>0.97315287330818723</v>
      </c>
      <c r="M33" s="344">
        <v>0.9708434077656094</v>
      </c>
      <c r="N33" s="344">
        <v>0.97214085384855098</v>
      </c>
      <c r="O33" s="344">
        <v>0.49325153374233133</v>
      </c>
      <c r="P33" s="344">
        <v>0.71077504725897922</v>
      </c>
      <c r="Q33" s="344">
        <v>0.54654932839277448</v>
      </c>
      <c r="R33" s="344">
        <v>0.85845588235294112</v>
      </c>
      <c r="S33" s="344">
        <v>0.92802056555269918</v>
      </c>
      <c r="T33" s="344">
        <v>0.887459807073955</v>
      </c>
      <c r="U33" s="344"/>
      <c r="V33" s="344"/>
      <c r="W33" s="344"/>
      <c r="X33" s="345">
        <v>0.91431128346632862</v>
      </c>
      <c r="Y33" s="345">
        <v>0.9550676828574679</v>
      </c>
      <c r="Z33" s="345">
        <v>0.93045045045045049</v>
      </c>
    </row>
    <row r="34" spans="2:26" hidden="1" outlineLevel="1" x14ac:dyDescent="0.25">
      <c r="B34" s="304">
        <v>40360</v>
      </c>
      <c r="C34" s="344"/>
      <c r="D34" s="344"/>
      <c r="E34" s="344"/>
      <c r="F34" s="344"/>
      <c r="G34" s="344"/>
      <c r="H34" s="344"/>
      <c r="I34" s="344">
        <v>0.77826379542395696</v>
      </c>
      <c r="J34" s="344">
        <v>0.89830508474576276</v>
      </c>
      <c r="K34" s="344">
        <v>0.80720122574055153</v>
      </c>
      <c r="L34" s="344">
        <v>0.74060221870047549</v>
      </c>
      <c r="M34" s="344">
        <v>0.80433407149636194</v>
      </c>
      <c r="N34" s="344">
        <v>0.76895738766318311</v>
      </c>
      <c r="O34" s="344">
        <v>0.46674801708358749</v>
      </c>
      <c r="P34" s="344">
        <v>0.58998144712430423</v>
      </c>
      <c r="Q34" s="344">
        <v>0.49724517906336091</v>
      </c>
      <c r="R34" s="344">
        <v>0.67152103559870546</v>
      </c>
      <c r="S34" s="344">
        <v>0.65831435079726652</v>
      </c>
      <c r="T34" s="344">
        <v>0.66603595080416278</v>
      </c>
      <c r="U34" s="344"/>
      <c r="V34" s="344"/>
      <c r="W34" s="344"/>
      <c r="X34" s="345">
        <v>0.72252904208722146</v>
      </c>
      <c r="Y34" s="345">
        <v>0.79809144583276126</v>
      </c>
      <c r="Z34" s="345">
        <v>0.7534720269890357</v>
      </c>
    </row>
    <row r="35" spans="2:26" hidden="1" outlineLevel="1" x14ac:dyDescent="0.25">
      <c r="B35" s="304">
        <v>40391</v>
      </c>
      <c r="C35" s="344"/>
      <c r="D35" s="344"/>
      <c r="E35" s="344"/>
      <c r="F35" s="344"/>
      <c r="G35" s="344"/>
      <c r="H35" s="344"/>
      <c r="I35" s="344">
        <v>0.74277638190954776</v>
      </c>
      <c r="J35" s="344">
        <v>0.86776061776061775</v>
      </c>
      <c r="K35" s="344">
        <v>0.77345971563981042</v>
      </c>
      <c r="L35" s="344">
        <v>0.69548175598631701</v>
      </c>
      <c r="M35" s="344">
        <v>0.75907775599738636</v>
      </c>
      <c r="N35" s="344">
        <v>0.72301475045463726</v>
      </c>
      <c r="O35" s="344">
        <v>0.44021739130434778</v>
      </c>
      <c r="P35" s="344">
        <v>0.63578274760383391</v>
      </c>
      <c r="Q35" s="344">
        <v>0.48986212489862119</v>
      </c>
      <c r="R35" s="344">
        <v>0.76237623762376239</v>
      </c>
      <c r="S35" s="344">
        <v>0.72222222222222221</v>
      </c>
      <c r="T35" s="344">
        <v>0.74526515151515149</v>
      </c>
      <c r="U35" s="344"/>
      <c r="V35" s="344"/>
      <c r="W35" s="344"/>
      <c r="X35" s="345">
        <v>0.68131421015156135</v>
      </c>
      <c r="Y35" s="345">
        <v>0.76054580896686164</v>
      </c>
      <c r="Z35" s="345">
        <v>0.71259272939945206</v>
      </c>
    </row>
    <row r="36" spans="2:26" hidden="1" outlineLevel="1" x14ac:dyDescent="0.25">
      <c r="B36" s="304">
        <v>40422</v>
      </c>
      <c r="C36" s="344"/>
      <c r="D36" s="344"/>
      <c r="E36" s="344"/>
      <c r="F36" s="344"/>
      <c r="G36" s="344"/>
      <c r="H36" s="344"/>
      <c r="I36" s="344">
        <v>0.78415697674418605</v>
      </c>
      <c r="J36" s="344">
        <v>0.88665879574970485</v>
      </c>
      <c r="K36" s="344">
        <v>0.80828007779938871</v>
      </c>
      <c r="L36" s="344">
        <v>0.68977206312098183</v>
      </c>
      <c r="M36" s="344">
        <v>0.70906040268456372</v>
      </c>
      <c r="N36" s="344">
        <v>0.6976920427144333</v>
      </c>
      <c r="O36" s="344">
        <v>0.47324530924252961</v>
      </c>
      <c r="P36" s="344">
        <v>0.69854469854469858</v>
      </c>
      <c r="Q36" s="344">
        <v>0.52968749999999998</v>
      </c>
      <c r="R36" s="344">
        <v>0.74368932038834956</v>
      </c>
      <c r="S36" s="344">
        <v>0.70844686648501365</v>
      </c>
      <c r="T36" s="344">
        <v>0.72902494331065759</v>
      </c>
      <c r="U36" s="344"/>
      <c r="V36" s="344"/>
      <c r="W36" s="344"/>
      <c r="X36" s="345">
        <v>0.68795716763441672</v>
      </c>
      <c r="Y36" s="345">
        <v>0.72802090137165254</v>
      </c>
      <c r="Z36" s="345">
        <v>0.70262000382482315</v>
      </c>
    </row>
    <row r="37" spans="2:26" hidden="1" outlineLevel="1" x14ac:dyDescent="0.25">
      <c r="B37" s="304">
        <v>40452</v>
      </c>
      <c r="C37" s="344"/>
      <c r="D37" s="344"/>
      <c r="E37" s="344"/>
      <c r="F37" s="344"/>
      <c r="G37" s="344"/>
      <c r="H37" s="344"/>
      <c r="I37" s="344">
        <v>0.77769985974754563</v>
      </c>
      <c r="J37" s="344">
        <v>0.90355912743972444</v>
      </c>
      <c r="K37" s="344">
        <v>0.80714477571850662</v>
      </c>
      <c r="L37" s="344">
        <v>0.70104272634791454</v>
      </c>
      <c r="M37" s="344">
        <v>0.72879776328052193</v>
      </c>
      <c r="N37" s="344">
        <v>0.71229873762189133</v>
      </c>
      <c r="O37" s="344">
        <v>0.45262483994878361</v>
      </c>
      <c r="P37" s="344">
        <v>0.533203125</v>
      </c>
      <c r="Q37" s="344">
        <v>0.47251687560270011</v>
      </c>
      <c r="R37" s="344">
        <v>0.734375</v>
      </c>
      <c r="S37" s="344">
        <v>0.7408993576017131</v>
      </c>
      <c r="T37" s="344">
        <v>0.7372962607861937</v>
      </c>
      <c r="U37" s="344"/>
      <c r="V37" s="344"/>
      <c r="W37" s="344"/>
      <c r="X37" s="345">
        <v>0.68935739847518285</v>
      </c>
      <c r="Y37" s="345">
        <v>0.73679833679833684</v>
      </c>
      <c r="Z37" s="345">
        <v>0.70641287557925159</v>
      </c>
    </row>
    <row r="38" spans="2:26" hidden="1" outlineLevel="1" x14ac:dyDescent="0.25">
      <c r="B38" s="304">
        <v>40483</v>
      </c>
      <c r="C38" s="344"/>
      <c r="D38" s="344"/>
      <c r="E38" s="344"/>
      <c r="F38" s="344"/>
      <c r="G38" s="344"/>
      <c r="H38" s="344"/>
      <c r="I38" s="344">
        <v>0.77562862669245647</v>
      </c>
      <c r="J38" s="344">
        <v>0.8910891089108911</v>
      </c>
      <c r="K38" s="344">
        <v>0.8031240789861479</v>
      </c>
      <c r="L38" s="344">
        <v>0.70137614678899085</v>
      </c>
      <c r="M38" s="344">
        <v>0.72774744837408023</v>
      </c>
      <c r="N38" s="344">
        <v>0.71170836045754671</v>
      </c>
      <c r="O38" s="344">
        <v>0.40103492884864173</v>
      </c>
      <c r="P38" s="344">
        <v>0.60521042084168342</v>
      </c>
      <c r="Q38" s="344">
        <v>0.45085574572127141</v>
      </c>
      <c r="R38" s="344">
        <v>0.7489539748953975</v>
      </c>
      <c r="S38" s="344">
        <v>0.74850299401197606</v>
      </c>
      <c r="T38" s="344">
        <v>0.74876847290640391</v>
      </c>
      <c r="U38" s="344"/>
      <c r="V38" s="344"/>
      <c r="W38" s="344"/>
      <c r="X38" s="345">
        <v>0.67898466230155174</v>
      </c>
      <c r="Y38" s="345">
        <v>0.74103177314656643</v>
      </c>
      <c r="Z38" s="345">
        <v>0.70034699758866081</v>
      </c>
    </row>
    <row r="39" spans="2:26" collapsed="1" x14ac:dyDescent="0.25">
      <c r="B39" s="304">
        <v>40513</v>
      </c>
      <c r="C39" s="344"/>
      <c r="D39" s="344"/>
      <c r="E39" s="344"/>
      <c r="F39" s="344"/>
      <c r="G39" s="344"/>
      <c r="H39" s="344"/>
      <c r="I39" s="344">
        <v>0.76590457256461231</v>
      </c>
      <c r="J39" s="344">
        <v>0.88414634146341464</v>
      </c>
      <c r="K39" s="344">
        <v>0.79497751124437777</v>
      </c>
      <c r="L39" s="344">
        <v>0.66898251904975348</v>
      </c>
      <c r="M39" s="344">
        <v>0.71106020942408377</v>
      </c>
      <c r="N39" s="344">
        <v>0.68608672519287039</v>
      </c>
      <c r="O39" s="344">
        <v>0.44793713163064841</v>
      </c>
      <c r="P39" s="344">
        <v>0.68253968253968256</v>
      </c>
      <c r="Q39" s="344">
        <v>0.51146131805157591</v>
      </c>
      <c r="R39" s="344">
        <v>0.83572895277207393</v>
      </c>
      <c r="S39" s="344">
        <v>0.86274509803921573</v>
      </c>
      <c r="T39" s="344">
        <v>0.84804469273743022</v>
      </c>
      <c r="U39" s="344"/>
      <c r="V39" s="344"/>
      <c r="W39" s="344"/>
      <c r="X39" s="345">
        <v>0.67539791953878936</v>
      </c>
      <c r="Y39" s="345">
        <v>0.74766562916851931</v>
      </c>
      <c r="Z39" s="345">
        <v>0.70145066923138577</v>
      </c>
    </row>
    <row r="40" spans="2:26" hidden="1" outlineLevel="1" x14ac:dyDescent="0.25">
      <c r="B40" s="304">
        <v>40544</v>
      </c>
      <c r="C40" s="344"/>
      <c r="D40" s="344"/>
      <c r="E40" s="344"/>
      <c r="F40" s="344"/>
      <c r="G40" s="344"/>
      <c r="H40" s="344"/>
      <c r="I40" s="344">
        <v>0.71167141114274091</v>
      </c>
      <c r="J40" s="344">
        <v>0.87699316628701596</v>
      </c>
      <c r="K40" s="344">
        <v>0.75516931375486962</v>
      </c>
      <c r="L40" s="344">
        <v>0.70494923857868019</v>
      </c>
      <c r="M40" s="344">
        <v>0.74280104712041883</v>
      </c>
      <c r="N40" s="344">
        <v>0.72088537839823663</v>
      </c>
      <c r="O40" s="344">
        <v>0.43921852387843707</v>
      </c>
      <c r="P40" s="344">
        <v>0.69871794871794868</v>
      </c>
      <c r="Q40" s="344">
        <v>0.50486486486486482</v>
      </c>
      <c r="R40" s="344">
        <v>0.83836589698046182</v>
      </c>
      <c r="S40" s="344">
        <v>0.90163934426229508</v>
      </c>
      <c r="T40" s="344">
        <v>0.86565656565656568</v>
      </c>
      <c r="U40" s="344"/>
      <c r="V40" s="344"/>
      <c r="W40" s="344"/>
      <c r="X40" s="345">
        <v>0.67921180425849836</v>
      </c>
      <c r="Y40" s="345">
        <v>0.76875884851344978</v>
      </c>
      <c r="Z40" s="345">
        <v>0.71256958687371819</v>
      </c>
    </row>
    <row r="41" spans="2:26" hidden="1" outlineLevel="1" x14ac:dyDescent="0.25">
      <c r="B41" s="304">
        <v>40575</v>
      </c>
      <c r="C41" s="344"/>
      <c r="D41" s="344"/>
      <c r="E41" s="344"/>
      <c r="F41" s="344"/>
      <c r="G41" s="344"/>
      <c r="H41" s="344"/>
      <c r="I41" s="344">
        <v>0.75114573785517869</v>
      </c>
      <c r="J41" s="344">
        <v>0.87044534412955465</v>
      </c>
      <c r="K41" s="344">
        <v>0.7813889839206295</v>
      </c>
      <c r="L41" s="344">
        <v>0.70535365377100434</v>
      </c>
      <c r="M41" s="344">
        <v>0.71924119241192408</v>
      </c>
      <c r="N41" s="344">
        <v>0.71117166212534055</v>
      </c>
      <c r="O41" s="344">
        <v>0.39549002601908068</v>
      </c>
      <c r="P41" s="344">
        <v>0.68075117370892024</v>
      </c>
      <c r="Q41" s="344">
        <v>0.47245091830272318</v>
      </c>
      <c r="R41" s="344">
        <v>0.81330472103004292</v>
      </c>
      <c r="S41" s="344">
        <v>0.91689750692520777</v>
      </c>
      <c r="T41" s="344">
        <v>0.85852478839177748</v>
      </c>
      <c r="U41" s="344"/>
      <c r="V41" s="344"/>
      <c r="W41" s="344"/>
      <c r="X41" s="345">
        <v>0.68213925327951563</v>
      </c>
      <c r="Y41" s="345">
        <v>0.75124568800306635</v>
      </c>
      <c r="Z41" s="345">
        <v>0.70764660111763455</v>
      </c>
    </row>
    <row r="42" spans="2:26" hidden="1" outlineLevel="1" x14ac:dyDescent="0.25">
      <c r="B42" s="304">
        <v>40603</v>
      </c>
      <c r="C42" s="344"/>
      <c r="D42" s="344"/>
      <c r="E42" s="344"/>
      <c r="F42" s="344"/>
      <c r="G42" s="344"/>
      <c r="H42" s="344"/>
      <c r="I42" s="344">
        <v>0.75554675118858949</v>
      </c>
      <c r="J42" s="344">
        <v>0.9073359073359073</v>
      </c>
      <c r="K42" s="344">
        <v>0.79127537109966672</v>
      </c>
      <c r="L42" s="344">
        <v>0.72204255319148936</v>
      </c>
      <c r="M42" s="344">
        <v>0.72535760728218468</v>
      </c>
      <c r="N42" s="344">
        <v>0.72335390946502054</v>
      </c>
      <c r="O42" s="344">
        <v>0.41841779975278121</v>
      </c>
      <c r="P42" s="344">
        <v>0.702803738317757</v>
      </c>
      <c r="Q42" s="344">
        <v>0.48908499767765912</v>
      </c>
      <c r="R42" s="344">
        <v>0.82519685039370083</v>
      </c>
      <c r="S42" s="344">
        <v>0.88036117381489842</v>
      </c>
      <c r="T42" s="344">
        <v>0.84786641929499074</v>
      </c>
      <c r="U42" s="344"/>
      <c r="V42" s="344"/>
      <c r="W42" s="344"/>
      <c r="X42" s="345">
        <v>0.69001126549004876</v>
      </c>
      <c r="Y42" s="345">
        <v>0.76071428571428568</v>
      </c>
      <c r="Z42" s="345">
        <v>0.71437361555500867</v>
      </c>
    </row>
    <row r="43" spans="2:26" hidden="1" outlineLevel="1" x14ac:dyDescent="0.25">
      <c r="B43" s="304">
        <v>40634</v>
      </c>
      <c r="C43" s="344"/>
      <c r="D43" s="344"/>
      <c r="E43" s="344"/>
      <c r="F43" s="344"/>
      <c r="G43" s="344"/>
      <c r="H43" s="344"/>
      <c r="I43" s="344">
        <v>0.75068643602416252</v>
      </c>
      <c r="J43" s="344">
        <v>0.88151658767772512</v>
      </c>
      <c r="K43" s="344">
        <v>0.78443357783211087</v>
      </c>
      <c r="L43" s="344">
        <v>0.72274285714285713</v>
      </c>
      <c r="M43" s="344">
        <v>0.7297998517420311</v>
      </c>
      <c r="N43" s="344">
        <v>0.72543475187332107</v>
      </c>
      <c r="O43" s="344">
        <v>0.42703533026113671</v>
      </c>
      <c r="P43" s="344">
        <v>0.71361502347417838</v>
      </c>
      <c r="Q43" s="344">
        <v>0.49768518518518517</v>
      </c>
      <c r="R43" s="344">
        <v>0.83417085427135673</v>
      </c>
      <c r="S43" s="344">
        <v>0.90123456790123457</v>
      </c>
      <c r="T43" s="344">
        <v>0.8642659279778393</v>
      </c>
      <c r="U43" s="344"/>
      <c r="V43" s="344"/>
      <c r="W43" s="344"/>
      <c r="X43" s="345">
        <v>0.68604356636271535</v>
      </c>
      <c r="Y43" s="345">
        <v>0.7652536143102181</v>
      </c>
      <c r="Z43" s="345">
        <v>0.71303331385154878</v>
      </c>
    </row>
    <row r="44" spans="2:26" hidden="1" outlineLevel="1" x14ac:dyDescent="0.25">
      <c r="B44" s="304">
        <v>40664</v>
      </c>
      <c r="C44" s="344"/>
      <c r="D44" s="344"/>
      <c r="E44" s="344"/>
      <c r="F44" s="344"/>
      <c r="G44" s="344"/>
      <c r="H44" s="344"/>
      <c r="I44" s="344">
        <v>0.72022767075306482</v>
      </c>
      <c r="J44" s="344">
        <v>0.89214380825565909</v>
      </c>
      <c r="K44" s="344">
        <v>0.76276771004942334</v>
      </c>
      <c r="L44" s="344">
        <v>0.69403534609720174</v>
      </c>
      <c r="M44" s="344">
        <v>0.72496392496392492</v>
      </c>
      <c r="N44" s="344">
        <v>0.706080701360009</v>
      </c>
      <c r="O44" s="344">
        <v>0.42726633872101188</v>
      </c>
      <c r="P44" s="344">
        <v>0.65784114052953158</v>
      </c>
      <c r="Q44" s="344">
        <v>0.48641588296760713</v>
      </c>
      <c r="R44" s="344">
        <v>0.76734693877551019</v>
      </c>
      <c r="S44" s="344">
        <v>0.87164179104477613</v>
      </c>
      <c r="T44" s="344">
        <v>0.80969696969696969</v>
      </c>
      <c r="U44" s="344"/>
      <c r="V44" s="344"/>
      <c r="W44" s="344"/>
      <c r="X44" s="345">
        <v>0.66455499013397035</v>
      </c>
      <c r="Y44" s="345">
        <v>0.75307417691392309</v>
      </c>
      <c r="Z44" s="345">
        <v>0.69497648422057123</v>
      </c>
    </row>
    <row r="45" spans="2:26" hidden="1" outlineLevel="1" x14ac:dyDescent="0.25">
      <c r="B45" s="304">
        <v>40695</v>
      </c>
      <c r="C45" s="344"/>
      <c r="D45" s="344"/>
      <c r="E45" s="344"/>
      <c r="F45" s="344"/>
      <c r="G45" s="344"/>
      <c r="H45" s="344"/>
      <c r="I45" s="344">
        <v>0.72585963259538389</v>
      </c>
      <c r="J45" s="344">
        <v>0.86524822695035464</v>
      </c>
      <c r="K45" s="344">
        <v>0.76060820367751059</v>
      </c>
      <c r="L45" s="344">
        <v>0.66950560864146236</v>
      </c>
      <c r="M45" s="344">
        <v>0.71853688778673275</v>
      </c>
      <c r="N45" s="344">
        <v>0.68917910447761199</v>
      </c>
      <c r="O45" s="344">
        <v>0.4317617866004963</v>
      </c>
      <c r="P45" s="344">
        <v>0.64864864864864868</v>
      </c>
      <c r="Q45" s="344">
        <v>0.49001814882032668</v>
      </c>
      <c r="R45" s="344">
        <v>0.73873873873873874</v>
      </c>
      <c r="S45" s="344">
        <v>0.85987261146496818</v>
      </c>
      <c r="T45" s="344">
        <v>0.78891820580474936</v>
      </c>
      <c r="U45" s="344"/>
      <c r="V45" s="344"/>
      <c r="W45" s="344"/>
      <c r="X45" s="345">
        <v>0.65355064027939469</v>
      </c>
      <c r="Y45" s="345">
        <v>0.74344209852847087</v>
      </c>
      <c r="Z45" s="345">
        <v>0.68529256721138643</v>
      </c>
    </row>
    <row r="46" spans="2:26" hidden="1" outlineLevel="1" x14ac:dyDescent="0.25">
      <c r="B46" s="304">
        <v>40725</v>
      </c>
      <c r="C46" s="344"/>
      <c r="D46" s="344"/>
      <c r="E46" s="344"/>
      <c r="F46" s="344"/>
      <c r="G46" s="344"/>
      <c r="H46" s="344"/>
      <c r="I46" s="344">
        <v>0.72562620423892099</v>
      </c>
      <c r="J46" s="344">
        <v>0.89095744680851063</v>
      </c>
      <c r="K46" s="344">
        <v>0.76277263220794744</v>
      </c>
      <c r="L46" s="344">
        <v>0.63189885728178941</v>
      </c>
      <c r="M46" s="344">
        <v>0.71826036022843753</v>
      </c>
      <c r="N46" s="344">
        <v>0.67107273331119233</v>
      </c>
      <c r="O46" s="344">
        <v>0.41493456505003851</v>
      </c>
      <c r="P46" s="344">
        <v>0.69279661016949157</v>
      </c>
      <c r="Q46" s="344">
        <v>0.48898927159796718</v>
      </c>
      <c r="R46" s="344">
        <v>0.75268817204301075</v>
      </c>
      <c r="S46" s="344">
        <v>0.84</v>
      </c>
      <c r="T46" s="344">
        <v>0.78914405010438415</v>
      </c>
      <c r="U46" s="344"/>
      <c r="V46" s="344"/>
      <c r="W46" s="344"/>
      <c r="X46" s="345">
        <v>0.63416942735447235</v>
      </c>
      <c r="Y46" s="345">
        <v>0.7379628534248196</v>
      </c>
      <c r="Z46" s="345">
        <v>0.6756897449245185</v>
      </c>
    </row>
    <row r="47" spans="2:26" hidden="1" outlineLevel="1" x14ac:dyDescent="0.25">
      <c r="B47" s="304">
        <v>40756</v>
      </c>
      <c r="C47" s="344"/>
      <c r="D47" s="344"/>
      <c r="E47" s="344"/>
      <c r="F47" s="344"/>
      <c r="G47" s="344"/>
      <c r="H47" s="344"/>
      <c r="I47" s="344">
        <v>0.7820069204152249</v>
      </c>
      <c r="J47" s="344">
        <v>0.89161290322580644</v>
      </c>
      <c r="K47" s="344">
        <v>0.80716824644549767</v>
      </c>
      <c r="L47" s="344">
        <v>0.67662093085821895</v>
      </c>
      <c r="M47" s="344">
        <v>0.71523294363985346</v>
      </c>
      <c r="N47" s="344">
        <v>0.69342954804405621</v>
      </c>
      <c r="O47" s="344">
        <v>0.43874425727411948</v>
      </c>
      <c r="P47" s="344">
        <v>0.67515923566878977</v>
      </c>
      <c r="Q47" s="344">
        <v>0.50140686550365787</v>
      </c>
      <c r="R47" s="344">
        <v>0.76824817518248179</v>
      </c>
      <c r="S47" s="344">
        <v>0.84285714285714286</v>
      </c>
      <c r="T47" s="344">
        <v>0.79732739420935417</v>
      </c>
      <c r="U47" s="344"/>
      <c r="V47" s="344"/>
      <c r="W47" s="344"/>
      <c r="X47" s="345">
        <v>0.67776936664143328</v>
      </c>
      <c r="Y47" s="345">
        <v>0.73740958100177423</v>
      </c>
      <c r="Z47" s="345">
        <v>0.70050999167360528</v>
      </c>
    </row>
    <row r="48" spans="2:26" hidden="1" outlineLevel="1" x14ac:dyDescent="0.25">
      <c r="B48" s="304">
        <v>40787</v>
      </c>
      <c r="C48" s="344"/>
      <c r="D48" s="344"/>
      <c r="E48" s="344"/>
      <c r="F48" s="344"/>
      <c r="G48" s="344"/>
      <c r="H48" s="344"/>
      <c r="I48" s="344">
        <v>0.81565281899109787</v>
      </c>
      <c r="J48" s="344">
        <v>0.90792540792540788</v>
      </c>
      <c r="K48" s="344">
        <v>0.83792909397861559</v>
      </c>
      <c r="L48" s="344">
        <v>0.71729137199434234</v>
      </c>
      <c r="M48" s="344">
        <v>0.73467843631778063</v>
      </c>
      <c r="N48" s="344">
        <v>0.7244569171603783</v>
      </c>
      <c r="O48" s="344">
        <v>0.43678160919540232</v>
      </c>
      <c r="P48" s="344">
        <v>0.66818181818181821</v>
      </c>
      <c r="Q48" s="344">
        <v>0.50159134309357101</v>
      </c>
      <c r="R48" s="344">
        <v>0.79468599033816423</v>
      </c>
      <c r="S48" s="344">
        <v>0.87062937062937062</v>
      </c>
      <c r="T48" s="344">
        <v>0.82571428571428573</v>
      </c>
      <c r="U48" s="344"/>
      <c r="V48" s="344"/>
      <c r="W48" s="344"/>
      <c r="X48" s="345">
        <v>0.7152672527028392</v>
      </c>
      <c r="Y48" s="345">
        <v>0.76320057668048302</v>
      </c>
      <c r="Z48" s="345">
        <v>0.73248737537226472</v>
      </c>
    </row>
    <row r="49" spans="2:26" hidden="1" outlineLevel="1" x14ac:dyDescent="0.25">
      <c r="B49" s="304">
        <v>40817</v>
      </c>
      <c r="C49" s="344"/>
      <c r="D49" s="344"/>
      <c r="E49" s="344"/>
      <c r="F49" s="344"/>
      <c r="G49" s="344"/>
      <c r="H49" s="344"/>
      <c r="I49" s="344">
        <v>0.83484486873508357</v>
      </c>
      <c r="J49" s="344">
        <v>0.94038748137108796</v>
      </c>
      <c r="K49" s="344">
        <v>0.86044830079537238</v>
      </c>
      <c r="L49" s="344">
        <v>0.76424640511272857</v>
      </c>
      <c r="M49" s="344">
        <v>0.80215419501133789</v>
      </c>
      <c r="N49" s="344">
        <v>0.7788451042462613</v>
      </c>
      <c r="O49" s="344">
        <v>0.47058823529411759</v>
      </c>
      <c r="P49" s="344">
        <v>0.70432692307692313</v>
      </c>
      <c r="Q49" s="344">
        <v>0.53244274809160308</v>
      </c>
      <c r="R49" s="344">
        <v>0.84552845528455289</v>
      </c>
      <c r="S49" s="344">
        <v>0.92500000000000004</v>
      </c>
      <c r="T49" s="344">
        <v>0.87684729064039413</v>
      </c>
      <c r="U49" s="344"/>
      <c r="V49" s="344"/>
      <c r="W49" s="344"/>
      <c r="X49" s="345">
        <v>0.74808020477815695</v>
      </c>
      <c r="Y49" s="345">
        <v>0.82066869300911849</v>
      </c>
      <c r="Z49" s="345">
        <v>0.77311159248130812</v>
      </c>
    </row>
    <row r="50" spans="2:26" hidden="1" outlineLevel="1" x14ac:dyDescent="0.25">
      <c r="B50" s="304">
        <v>40848</v>
      </c>
      <c r="C50" s="344"/>
      <c r="D50" s="344"/>
      <c r="E50" s="344"/>
      <c r="F50" s="344"/>
      <c r="G50" s="344"/>
      <c r="H50" s="344"/>
      <c r="I50" s="344">
        <v>0.85283296541574682</v>
      </c>
      <c r="J50" s="344">
        <v>0.94171428571428573</v>
      </c>
      <c r="K50" s="344">
        <v>0.87447815196214862</v>
      </c>
      <c r="L50" s="344">
        <v>0.7357910906298003</v>
      </c>
      <c r="M50" s="344">
        <v>0.78401506075646077</v>
      </c>
      <c r="N50" s="344">
        <v>0.7564262175027463</v>
      </c>
      <c r="O50" s="344">
        <v>0.46578366445916108</v>
      </c>
      <c r="P50" s="344">
        <v>0.68646080760095007</v>
      </c>
      <c r="Q50" s="344">
        <v>0.51797752808988762</v>
      </c>
      <c r="R50" s="344">
        <v>0.85943060498220636</v>
      </c>
      <c r="S50" s="344">
        <v>0.94252873563218387</v>
      </c>
      <c r="T50" s="344">
        <v>0.89568706118355068</v>
      </c>
      <c r="U50" s="344"/>
      <c r="V50" s="344"/>
      <c r="W50" s="344"/>
      <c r="X50" s="345">
        <v>0.73745080716408318</v>
      </c>
      <c r="Y50" s="345">
        <v>0.80591497227356745</v>
      </c>
      <c r="Z50" s="345">
        <v>0.76334581772784016</v>
      </c>
    </row>
    <row r="51" spans="2:26" collapsed="1" x14ac:dyDescent="0.25">
      <c r="B51" s="304">
        <v>40878</v>
      </c>
      <c r="C51" s="344"/>
      <c r="D51" s="344"/>
      <c r="E51" s="344"/>
      <c r="F51" s="344"/>
      <c r="G51" s="344"/>
      <c r="H51" s="344"/>
      <c r="I51" s="344">
        <v>0.84423076923076923</v>
      </c>
      <c r="J51" s="344">
        <v>0.95632530120481929</v>
      </c>
      <c r="K51" s="344">
        <v>0.87135568513119532</v>
      </c>
      <c r="L51" s="344">
        <v>0.74870017331022531</v>
      </c>
      <c r="M51" s="344">
        <v>0.7865968586387434</v>
      </c>
      <c r="N51" s="344">
        <v>0.76497032907750406</v>
      </c>
      <c r="O51" s="344">
        <v>0.44664031620553363</v>
      </c>
      <c r="P51" s="344">
        <v>0.72872340425531912</v>
      </c>
      <c r="Q51" s="344">
        <v>0.52305475504322763</v>
      </c>
      <c r="R51" s="344">
        <v>0.89130434782608692</v>
      </c>
      <c r="S51" s="344">
        <v>0.92073170731707321</v>
      </c>
      <c r="T51" s="344">
        <v>0.90431266846361191</v>
      </c>
      <c r="U51" s="344"/>
      <c r="V51" s="344"/>
      <c r="W51" s="344"/>
      <c r="X51" s="345">
        <v>0.74383436516796919</v>
      </c>
      <c r="Y51" s="345">
        <v>0.80856259156763799</v>
      </c>
      <c r="Z51" s="345">
        <v>0.76869217304326076</v>
      </c>
    </row>
    <row r="52" spans="2:26" hidden="1" outlineLevel="1" x14ac:dyDescent="0.25">
      <c r="B52" s="304">
        <v>40909</v>
      </c>
      <c r="C52" s="344"/>
      <c r="D52" s="344"/>
      <c r="E52" s="344"/>
      <c r="F52" s="344"/>
      <c r="G52" s="344"/>
      <c r="H52" s="344"/>
      <c r="I52" s="344">
        <v>0.8440931049626702</v>
      </c>
      <c r="J52" s="344">
        <v>0.94327176781002642</v>
      </c>
      <c r="K52" s="344">
        <v>0.86886326194398678</v>
      </c>
      <c r="L52" s="344">
        <v>0.75522388059701495</v>
      </c>
      <c r="M52" s="344">
        <v>0.80244357009732858</v>
      </c>
      <c r="N52" s="344">
        <v>0.77500216844479142</v>
      </c>
      <c r="O52" s="344">
        <v>0.48540145985401462</v>
      </c>
      <c r="P52" s="344">
        <v>0.69682151589242058</v>
      </c>
      <c r="Q52" s="344">
        <v>0.54285714285714282</v>
      </c>
      <c r="R52" s="344">
        <v>0.85652173913043483</v>
      </c>
      <c r="S52" s="344">
        <v>0.91304347826086951</v>
      </c>
      <c r="T52" s="344">
        <v>0.87979539641943738</v>
      </c>
      <c r="U52" s="344"/>
      <c r="V52" s="344"/>
      <c r="W52" s="344"/>
      <c r="X52" s="345">
        <v>0.75078325263457701</v>
      </c>
      <c r="Y52" s="345">
        <v>0.81813865147198483</v>
      </c>
      <c r="Z52" s="345">
        <v>0.77603703044329708</v>
      </c>
    </row>
    <row r="53" spans="2:26" hidden="1" outlineLevel="1" x14ac:dyDescent="0.25">
      <c r="B53" s="304">
        <v>40940</v>
      </c>
      <c r="C53" s="344"/>
      <c r="D53" s="344"/>
      <c r="E53" s="344"/>
      <c r="F53" s="344"/>
      <c r="G53" s="344"/>
      <c r="H53" s="344"/>
      <c r="I53" s="344">
        <v>0.8405405405405405</v>
      </c>
      <c r="J53" s="344">
        <v>0.94336569579288021</v>
      </c>
      <c r="K53" s="344">
        <v>0.8662884927066451</v>
      </c>
      <c r="L53" s="344">
        <v>0.81489476524554771</v>
      </c>
      <c r="M53" s="344">
        <v>0.82339955849889623</v>
      </c>
      <c r="N53" s="344">
        <v>0.81825111619296531</v>
      </c>
      <c r="O53" s="344">
        <v>0.4485294117647059</v>
      </c>
      <c r="P53" s="344">
        <v>0.68206521739130432</v>
      </c>
      <c r="Q53" s="344">
        <v>0.51363636363636367</v>
      </c>
      <c r="R53" s="344">
        <v>0.8523489932885906</v>
      </c>
      <c r="S53" s="344">
        <v>0.93093093093093093</v>
      </c>
      <c r="T53" s="344">
        <v>0.88589743589743586</v>
      </c>
      <c r="U53" s="344"/>
      <c r="V53" s="344"/>
      <c r="W53" s="344"/>
      <c r="X53" s="345">
        <v>0.78258401453224347</v>
      </c>
      <c r="Y53" s="345">
        <v>0.83512037224357683</v>
      </c>
      <c r="Z53" s="345">
        <v>0.80146898407388556</v>
      </c>
    </row>
    <row r="54" spans="2:26" hidden="1" outlineLevel="1" x14ac:dyDescent="0.25">
      <c r="B54" s="304">
        <v>40969</v>
      </c>
      <c r="C54" s="344"/>
      <c r="D54" s="344"/>
      <c r="E54" s="344"/>
      <c r="F54" s="344"/>
      <c r="G54" s="344"/>
      <c r="H54" s="344"/>
      <c r="I54" s="344">
        <v>0.8371764705882353</v>
      </c>
      <c r="J54" s="344">
        <v>0.93934911242603547</v>
      </c>
      <c r="K54" s="344">
        <v>0.86183505890753298</v>
      </c>
      <c r="L54" s="344">
        <v>0.81470137825421129</v>
      </c>
      <c r="M54" s="344">
        <v>0.84821654439666072</v>
      </c>
      <c r="N54" s="344">
        <v>0.82817904374364193</v>
      </c>
      <c r="O54" s="344">
        <v>0.45300592718035559</v>
      </c>
      <c r="P54" s="344">
        <v>0.69750000000000001</v>
      </c>
      <c r="Q54" s="344">
        <v>0.51486401012017713</v>
      </c>
      <c r="R54" s="344">
        <v>0.83445190156599558</v>
      </c>
      <c r="S54" s="344">
        <v>0.92941176470588238</v>
      </c>
      <c r="T54" s="344">
        <v>0.87547649301143582</v>
      </c>
      <c r="U54" s="344"/>
      <c r="V54" s="344"/>
      <c r="W54" s="344"/>
      <c r="X54" s="345">
        <v>0.77622014537902384</v>
      </c>
      <c r="Y54" s="345">
        <v>0.8536040230955485</v>
      </c>
      <c r="Z54" s="345">
        <v>0.80392026135075667</v>
      </c>
    </row>
    <row r="55" spans="2:26" hidden="1" outlineLevel="1" x14ac:dyDescent="0.25">
      <c r="B55" s="304">
        <v>41000</v>
      </c>
      <c r="C55" s="344"/>
      <c r="D55" s="344"/>
      <c r="E55" s="344"/>
      <c r="F55" s="344"/>
      <c r="G55" s="344"/>
      <c r="H55" s="344"/>
      <c r="I55" s="344">
        <v>0.8398169336384439</v>
      </c>
      <c r="J55" s="344">
        <v>0.94668820678513732</v>
      </c>
      <c r="K55" s="344">
        <v>0.86776510350654834</v>
      </c>
      <c r="L55" s="344">
        <v>0.81062500000000004</v>
      </c>
      <c r="M55" s="344">
        <v>0.82327848872638631</v>
      </c>
      <c r="N55" s="344">
        <v>0.815763424894828</v>
      </c>
      <c r="O55" s="344">
        <v>0.4889673433362754</v>
      </c>
      <c r="P55" s="344">
        <v>0.68238213399503722</v>
      </c>
      <c r="Q55" s="344">
        <v>0.53971354166666663</v>
      </c>
      <c r="R55" s="344">
        <v>0.85558583106267028</v>
      </c>
      <c r="S55" s="344">
        <v>0.93165467625899279</v>
      </c>
      <c r="T55" s="344">
        <v>0.88837209302325582</v>
      </c>
      <c r="U55" s="344"/>
      <c r="V55" s="344"/>
      <c r="W55" s="344"/>
      <c r="X55" s="345">
        <v>0.77373260437375746</v>
      </c>
      <c r="Y55" s="345">
        <v>0.83413356612832823</v>
      </c>
      <c r="Z55" s="345">
        <v>0.79564528899445763</v>
      </c>
    </row>
    <row r="56" spans="2:26" hidden="1" outlineLevel="1" x14ac:dyDescent="0.25">
      <c r="B56" s="304">
        <v>41030</v>
      </c>
      <c r="C56" s="344"/>
      <c r="D56" s="344"/>
      <c r="E56" s="344"/>
      <c r="F56" s="344"/>
      <c r="G56" s="344"/>
      <c r="H56" s="344"/>
      <c r="I56" s="344">
        <v>0.84195804195804191</v>
      </c>
      <c r="J56" s="344">
        <v>0.93313953488372092</v>
      </c>
      <c r="K56" s="344">
        <v>0.86410165901870806</v>
      </c>
      <c r="L56" s="344">
        <v>0.75258479956466529</v>
      </c>
      <c r="M56" s="344">
        <v>0.81058853765098948</v>
      </c>
      <c r="N56" s="344">
        <v>0.77658443215652917</v>
      </c>
      <c r="O56" s="344">
        <v>0.48326055312954869</v>
      </c>
      <c r="P56" s="344">
        <v>0.70949720670391059</v>
      </c>
      <c r="Q56" s="344">
        <v>0.54683411826268968</v>
      </c>
      <c r="R56" s="344">
        <v>0.84946236559139787</v>
      </c>
      <c r="S56" s="344">
        <v>0.88659793814432986</v>
      </c>
      <c r="T56" s="344">
        <v>0.86576168929110109</v>
      </c>
      <c r="U56" s="344"/>
      <c r="V56" s="344"/>
      <c r="W56" s="344"/>
      <c r="X56" s="345">
        <v>0.73745214802211823</v>
      </c>
      <c r="Y56" s="345">
        <v>0.82023303125577951</v>
      </c>
      <c r="Z56" s="345">
        <v>0.76767267571399633</v>
      </c>
    </row>
    <row r="57" spans="2:26" hidden="1" outlineLevel="1" x14ac:dyDescent="0.25">
      <c r="B57" s="304">
        <v>41061</v>
      </c>
      <c r="C57" s="344"/>
      <c r="D57" s="344"/>
      <c r="E57" s="344"/>
      <c r="F57" s="344"/>
      <c r="G57" s="344"/>
      <c r="H57" s="344"/>
      <c r="I57" s="344">
        <v>0.83942357179619143</v>
      </c>
      <c r="J57" s="344">
        <v>0.93108728943338437</v>
      </c>
      <c r="K57" s="344">
        <v>0.86248073959938365</v>
      </c>
      <c r="L57" s="344">
        <v>0.76314199395770388</v>
      </c>
      <c r="M57" s="344">
        <v>0.81268087345435414</v>
      </c>
      <c r="N57" s="344">
        <v>0.78462240474560807</v>
      </c>
      <c r="O57" s="344">
        <v>0.50363196125907994</v>
      </c>
      <c r="P57" s="344">
        <v>0.72380952380952379</v>
      </c>
      <c r="Q57" s="344">
        <v>0.56916099773242634</v>
      </c>
      <c r="R57" s="344">
        <v>0.74545454545454548</v>
      </c>
      <c r="S57" s="344">
        <v>0.89763779527559051</v>
      </c>
      <c r="T57" s="344">
        <v>0.81164383561643838</v>
      </c>
      <c r="U57" s="344"/>
      <c r="V57" s="344"/>
      <c r="W57" s="344"/>
      <c r="X57" s="345">
        <v>0.74200778577326887</v>
      </c>
      <c r="Y57" s="345">
        <v>0.82266386394037838</v>
      </c>
      <c r="Z57" s="345">
        <v>0.7727935813274982</v>
      </c>
    </row>
    <row r="58" spans="2:26" hidden="1" outlineLevel="1" x14ac:dyDescent="0.25">
      <c r="B58" s="304">
        <v>41091</v>
      </c>
      <c r="C58" s="344"/>
      <c r="D58" s="344"/>
      <c r="E58" s="344"/>
      <c r="F58" s="344"/>
      <c r="G58" s="344"/>
      <c r="H58" s="344"/>
      <c r="I58" s="344">
        <v>0.867026055705301</v>
      </c>
      <c r="J58" s="344">
        <v>0.93023255813953487</v>
      </c>
      <c r="K58" s="344">
        <v>0.88194921070693211</v>
      </c>
      <c r="L58" s="344">
        <v>0.91173163418290859</v>
      </c>
      <c r="M58" s="344">
        <v>0.92506142506142508</v>
      </c>
      <c r="N58" s="344">
        <v>0.91749946842440999</v>
      </c>
      <c r="O58" s="344">
        <v>0.4962089300758214</v>
      </c>
      <c r="P58" s="344">
        <v>0.72580645161290325</v>
      </c>
      <c r="Q58" s="344">
        <v>0.5638740344622698</v>
      </c>
      <c r="R58" s="344">
        <v>0.79864253393665163</v>
      </c>
      <c r="S58" s="344">
        <v>0.92114695340501795</v>
      </c>
      <c r="T58" s="344">
        <v>0.84604715672676833</v>
      </c>
      <c r="U58" s="344"/>
      <c r="V58" s="344"/>
      <c r="W58" s="344"/>
      <c r="X58" s="345">
        <v>0.84180176259384176</v>
      </c>
      <c r="Y58" s="345">
        <v>0.90764503885776249</v>
      </c>
      <c r="Z58" s="345">
        <v>0.86654441727791365</v>
      </c>
    </row>
    <row r="59" spans="2:26" hidden="1" outlineLevel="1" x14ac:dyDescent="0.25">
      <c r="B59" s="304">
        <v>41122</v>
      </c>
      <c r="C59" s="344"/>
      <c r="D59" s="344"/>
      <c r="E59" s="344"/>
      <c r="F59" s="344"/>
      <c r="G59" s="344"/>
      <c r="H59" s="344"/>
      <c r="I59" s="344">
        <v>0.80098684210526316</v>
      </c>
      <c r="J59" s="344">
        <v>0.91743119266055051</v>
      </c>
      <c r="K59" s="344">
        <v>0.82879499217527386</v>
      </c>
      <c r="L59" s="344">
        <v>0.95063036338595186</v>
      </c>
      <c r="M59" s="344">
        <v>0.95747705829132734</v>
      </c>
      <c r="N59" s="344">
        <v>0.95371448532836511</v>
      </c>
      <c r="O59" s="344">
        <v>0.47844522968197878</v>
      </c>
      <c r="P59" s="344">
        <v>0.73207547169811316</v>
      </c>
      <c r="Q59" s="344">
        <v>0.54755784061696655</v>
      </c>
      <c r="R59" s="344">
        <v>0.81986143187066973</v>
      </c>
      <c r="S59" s="344">
        <v>0.8571428571428571</v>
      </c>
      <c r="T59" s="344">
        <v>0.83556149732620322</v>
      </c>
      <c r="U59" s="344"/>
      <c r="V59" s="344"/>
      <c r="W59" s="344"/>
      <c r="X59" s="345">
        <v>0.87127341642976897</v>
      </c>
      <c r="Y59" s="345">
        <v>0.93804173354735154</v>
      </c>
      <c r="Z59" s="345">
        <v>0.89832639611515785</v>
      </c>
    </row>
    <row r="60" spans="2:26" hidden="1" outlineLevel="1" x14ac:dyDescent="0.25">
      <c r="B60" s="304">
        <v>41153</v>
      </c>
      <c r="C60" s="344"/>
      <c r="D60" s="344"/>
      <c r="E60" s="344"/>
      <c r="F60" s="344"/>
      <c r="G60" s="344"/>
      <c r="H60" s="344"/>
      <c r="I60" s="344">
        <v>0.80931154036651809</v>
      </c>
      <c r="J60" s="344">
        <v>0.93281250000000004</v>
      </c>
      <c r="K60" s="344">
        <v>0.83903723204212111</v>
      </c>
      <c r="L60" s="344">
        <v>0.94831194831194832</v>
      </c>
      <c r="M60" s="344">
        <v>0.94128576737272385</v>
      </c>
      <c r="N60" s="344">
        <v>0.94533627111530794</v>
      </c>
      <c r="O60" s="344">
        <v>0.44176285414480593</v>
      </c>
      <c r="P60" s="344">
        <v>0.75862068965517238</v>
      </c>
      <c r="Q60" s="344">
        <v>0.52651806302843962</v>
      </c>
      <c r="R60" s="344">
        <v>0.82838283828382842</v>
      </c>
      <c r="S60" s="344">
        <v>0.871244635193133</v>
      </c>
      <c r="T60" s="344">
        <v>0.84701492537313428</v>
      </c>
      <c r="U60" s="344"/>
      <c r="V60" s="344"/>
      <c r="W60" s="344"/>
      <c r="X60" s="345">
        <v>0.89224621424565342</v>
      </c>
      <c r="Y60" s="345">
        <v>0.93210673552829781</v>
      </c>
      <c r="Z60" s="345">
        <v>0.90797181424569151</v>
      </c>
    </row>
    <row r="61" spans="2:26" hidden="1" outlineLevel="1" x14ac:dyDescent="0.25">
      <c r="B61" s="304">
        <v>41183</v>
      </c>
      <c r="C61" s="344"/>
      <c r="D61" s="344"/>
      <c r="E61" s="344"/>
      <c r="F61" s="344"/>
      <c r="G61" s="344"/>
      <c r="H61" s="344"/>
      <c r="I61" s="344">
        <v>0.80906836698547646</v>
      </c>
      <c r="J61" s="344">
        <v>0.90522478736330503</v>
      </c>
      <c r="K61" s="344">
        <v>0.83077345035655514</v>
      </c>
      <c r="L61" s="344">
        <v>0.92701606847875051</v>
      </c>
      <c r="M61" s="344">
        <v>0.92600717989629033</v>
      </c>
      <c r="N61" s="344">
        <v>0.92658271224192579</v>
      </c>
      <c r="O61" s="344">
        <v>0.43497109826589597</v>
      </c>
      <c r="P61" s="344">
        <v>0.74285714285714288</v>
      </c>
      <c r="Q61" s="344">
        <v>0.51547491995731054</v>
      </c>
      <c r="R61" s="344">
        <v>0.80851063829787229</v>
      </c>
      <c r="S61" s="344">
        <v>0.88401253918495293</v>
      </c>
      <c r="T61" s="344">
        <v>0.84097035040431267</v>
      </c>
      <c r="U61" s="344"/>
      <c r="V61" s="344"/>
      <c r="W61" s="344"/>
      <c r="X61" s="345">
        <v>0.83275755159890164</v>
      </c>
      <c r="Y61" s="345">
        <v>0.90791453505868192</v>
      </c>
      <c r="Z61" s="345">
        <v>0.86060775020908842</v>
      </c>
    </row>
    <row r="62" spans="2:26" hidden="1" outlineLevel="1" x14ac:dyDescent="0.25">
      <c r="B62" s="304">
        <v>41214</v>
      </c>
      <c r="C62" s="344"/>
      <c r="D62" s="344"/>
      <c r="E62" s="344"/>
      <c r="F62" s="344"/>
      <c r="G62" s="344"/>
      <c r="H62" s="344"/>
      <c r="I62" s="344">
        <v>0.91530797101449279</v>
      </c>
      <c r="J62" s="344">
        <v>0.96387283236994215</v>
      </c>
      <c r="K62" s="344">
        <v>0.92689655172413798</v>
      </c>
      <c r="L62" s="344">
        <v>0.92574964302712992</v>
      </c>
      <c r="M62" s="344">
        <v>0.94218009478672982</v>
      </c>
      <c r="N62" s="344">
        <v>0.9339824269769651</v>
      </c>
      <c r="O62" s="344">
        <v>0.45729537366548051</v>
      </c>
      <c r="P62" s="344">
        <v>0.69465648854961837</v>
      </c>
      <c r="Q62" s="344">
        <v>0.51878707976268956</v>
      </c>
      <c r="R62" s="344">
        <v>0.81534090909090906</v>
      </c>
      <c r="S62" s="344">
        <v>0.88122605363984674</v>
      </c>
      <c r="T62" s="344">
        <v>0.84339314845024471</v>
      </c>
      <c r="U62" s="344"/>
      <c r="V62" s="344"/>
      <c r="W62" s="344"/>
      <c r="X62" s="345">
        <v>0.8511285822977428</v>
      </c>
      <c r="Y62" s="345">
        <v>0.92454186130075455</v>
      </c>
      <c r="Z62" s="345">
        <v>0.88150460898007732</v>
      </c>
    </row>
    <row r="63" spans="2:26" collapsed="1" x14ac:dyDescent="0.25">
      <c r="B63" s="304">
        <v>41244</v>
      </c>
      <c r="C63" s="344"/>
      <c r="D63" s="344"/>
      <c r="E63" s="344"/>
      <c r="F63" s="344"/>
      <c r="G63" s="344"/>
      <c r="H63" s="344"/>
      <c r="I63" s="344">
        <v>0.89963598543941758</v>
      </c>
      <c r="J63" s="344">
        <v>0.93459552495697074</v>
      </c>
      <c r="K63" s="344">
        <v>0.90774760383386577</v>
      </c>
      <c r="L63" s="344">
        <v>0.84679665738161558</v>
      </c>
      <c r="M63" s="344">
        <v>0.87489911218724781</v>
      </c>
      <c r="N63" s="344">
        <v>0.86109210346243326</v>
      </c>
      <c r="O63" s="344">
        <v>0.46646026831785348</v>
      </c>
      <c r="P63" s="344">
        <v>0.69138755980861244</v>
      </c>
      <c r="Q63" s="344">
        <v>0.53424657534246578</v>
      </c>
      <c r="R63" s="344">
        <v>0.88102893890675238</v>
      </c>
      <c r="S63" s="344">
        <v>0.9285714285714286</v>
      </c>
      <c r="T63" s="344">
        <v>0.90163934426229508</v>
      </c>
      <c r="U63" s="344"/>
      <c r="V63" s="344"/>
      <c r="W63" s="344"/>
      <c r="X63" s="345">
        <v>0.80906815839835122</v>
      </c>
      <c r="Y63" s="345">
        <v>0.86899475171578522</v>
      </c>
      <c r="Z63" s="345">
        <v>0.83434068272750495</v>
      </c>
    </row>
    <row r="64" spans="2:26" hidden="1" outlineLevel="1" x14ac:dyDescent="0.25">
      <c r="B64" s="304">
        <v>41275</v>
      </c>
      <c r="C64" s="344"/>
      <c r="D64" s="344"/>
      <c r="E64" s="344"/>
      <c r="F64" s="344"/>
      <c r="G64" s="344"/>
      <c r="H64" s="344"/>
      <c r="I64" s="344">
        <v>0.91429840142095919</v>
      </c>
      <c r="J64" s="344">
        <v>0.94421768707482989</v>
      </c>
      <c r="K64" s="344">
        <v>0.92166052895882156</v>
      </c>
      <c r="L64" s="344">
        <v>0.83967260471834382</v>
      </c>
      <c r="M64" s="344">
        <v>0.84837758112094397</v>
      </c>
      <c r="N64" s="344">
        <v>0.84358430540827145</v>
      </c>
      <c r="O64" s="344">
        <v>0.52611585944919281</v>
      </c>
      <c r="P64" s="344">
        <v>0.73130841121495327</v>
      </c>
      <c r="Q64" s="344">
        <v>0.58541525995948684</v>
      </c>
      <c r="R64" s="344">
        <v>0.86053412462908008</v>
      </c>
      <c r="S64" s="344">
        <v>0.86567164179104472</v>
      </c>
      <c r="T64" s="344">
        <v>0.86280991735537194</v>
      </c>
      <c r="U64" s="344"/>
      <c r="V64" s="344"/>
      <c r="W64" s="344"/>
      <c r="X64" s="345">
        <v>0.81977937403796819</v>
      </c>
      <c r="Y64" s="345">
        <v>0.85355735324621451</v>
      </c>
      <c r="Z64" s="345">
        <v>0.83268605849251009</v>
      </c>
    </row>
    <row r="65" spans="2:26" hidden="1" outlineLevel="1" x14ac:dyDescent="0.25">
      <c r="B65" s="304">
        <v>41306</v>
      </c>
      <c r="C65" s="344"/>
      <c r="D65" s="344"/>
      <c r="E65" s="344"/>
      <c r="F65" s="344"/>
      <c r="G65" s="344"/>
      <c r="H65" s="344"/>
      <c r="I65" s="344">
        <v>0.90548780487804881</v>
      </c>
      <c r="J65" s="344">
        <v>0.92881944444444442</v>
      </c>
      <c r="K65" s="344">
        <v>0.91155234657039708</v>
      </c>
      <c r="L65" s="344">
        <v>0.85602981029810299</v>
      </c>
      <c r="M65" s="344">
        <v>0.88207913110938707</v>
      </c>
      <c r="N65" s="344">
        <v>0.86817359855334542</v>
      </c>
      <c r="O65" s="344">
        <v>0.50163934426229506</v>
      </c>
      <c r="P65" s="344">
        <v>0.70200573065902583</v>
      </c>
      <c r="Q65" s="344">
        <v>0.55696202531645567</v>
      </c>
      <c r="R65" s="344">
        <v>0.85433070866141736</v>
      </c>
      <c r="S65" s="344">
        <v>0.92888888888888888</v>
      </c>
      <c r="T65" s="344">
        <v>0.88935281837160751</v>
      </c>
      <c r="U65" s="344"/>
      <c r="V65" s="344"/>
      <c r="W65" s="344"/>
      <c r="X65" s="345">
        <v>0.81374761326158651</v>
      </c>
      <c r="Y65" s="345">
        <v>0.8752682403433476</v>
      </c>
      <c r="Z65" s="345">
        <v>0.8379175887870165</v>
      </c>
    </row>
    <row r="66" spans="2:26" hidden="1" outlineLevel="1" x14ac:dyDescent="0.25">
      <c r="B66" s="304">
        <v>41334</v>
      </c>
      <c r="C66" s="344"/>
      <c r="D66" s="344"/>
      <c r="E66" s="344"/>
      <c r="F66" s="344"/>
      <c r="G66" s="344"/>
      <c r="H66" s="344"/>
      <c r="I66" s="344">
        <v>0.94162575013638838</v>
      </c>
      <c r="J66" s="344">
        <v>0.95429616087751368</v>
      </c>
      <c r="K66" s="344">
        <v>0.9445378151260504</v>
      </c>
      <c r="L66" s="344">
        <v>0.89214074317658665</v>
      </c>
      <c r="M66" s="344">
        <v>0.88581730769230771</v>
      </c>
      <c r="N66" s="344">
        <v>0.88929022936608271</v>
      </c>
      <c r="O66" s="344">
        <v>0.46292947558770342</v>
      </c>
      <c r="P66" s="344">
        <v>0.71052631578947367</v>
      </c>
      <c r="Q66" s="344">
        <v>0.53083989501312334</v>
      </c>
      <c r="R66" s="344">
        <v>0.82005899705014751</v>
      </c>
      <c r="S66" s="344">
        <v>0.88030888030888033</v>
      </c>
      <c r="T66" s="344">
        <v>0.84615384615384615</v>
      </c>
      <c r="U66" s="344"/>
      <c r="V66" s="344"/>
      <c r="W66" s="344"/>
      <c r="X66" s="345">
        <v>0.82750435195442318</v>
      </c>
      <c r="Y66" s="345">
        <v>0.87580645161290327</v>
      </c>
      <c r="Z66" s="345">
        <v>0.84540292857854371</v>
      </c>
    </row>
    <row r="67" spans="2:26" hidden="1" outlineLevel="1" x14ac:dyDescent="0.25">
      <c r="B67" s="304">
        <v>41365</v>
      </c>
      <c r="C67" s="344"/>
      <c r="D67" s="344"/>
      <c r="E67" s="344"/>
      <c r="F67" s="344"/>
      <c r="G67" s="344"/>
      <c r="H67" s="344"/>
      <c r="I67" s="344">
        <v>0.92982456140350878</v>
      </c>
      <c r="J67" s="344">
        <v>0.95016611295681064</v>
      </c>
      <c r="K67" s="344">
        <v>0.9348722176422094</v>
      </c>
      <c r="L67" s="344">
        <v>0.90902987579724737</v>
      </c>
      <c r="M67" s="344">
        <v>0.91141868512110724</v>
      </c>
      <c r="N67" s="344">
        <v>0.91020616800136311</v>
      </c>
      <c r="O67" s="344">
        <v>0.44979253112033202</v>
      </c>
      <c r="P67" s="344">
        <v>0.67929292929292928</v>
      </c>
      <c r="Q67" s="344">
        <v>0.50655840099937544</v>
      </c>
      <c r="R67" s="344">
        <v>0.82644628099173556</v>
      </c>
      <c r="S67" s="344">
        <v>0.85258964143426297</v>
      </c>
      <c r="T67" s="344">
        <v>0.83713355048859939</v>
      </c>
      <c r="U67" s="344"/>
      <c r="V67" s="344"/>
      <c r="W67" s="344"/>
      <c r="X67" s="345">
        <v>0.82341861560194629</v>
      </c>
      <c r="Y67" s="345">
        <v>0.89127808649432227</v>
      </c>
      <c r="Z67" s="345">
        <v>0.8501427212178877</v>
      </c>
    </row>
    <row r="68" spans="2:26" hidden="1" outlineLevel="1" x14ac:dyDescent="0.25">
      <c r="B68" s="304">
        <v>41395</v>
      </c>
      <c r="C68" s="344"/>
      <c r="D68" s="344"/>
      <c r="E68" s="344"/>
      <c r="F68" s="344"/>
      <c r="G68" s="344"/>
      <c r="H68" s="344"/>
      <c r="I68" s="344">
        <v>0.94546532305868403</v>
      </c>
      <c r="J68" s="344">
        <v>0.93696763202725719</v>
      </c>
      <c r="K68" s="344">
        <v>0.94327176781002642</v>
      </c>
      <c r="L68" s="344">
        <v>0.91218637992831542</v>
      </c>
      <c r="M68" s="344">
        <v>0.89090359625264426</v>
      </c>
      <c r="N68" s="344">
        <v>0.90063944909001481</v>
      </c>
      <c r="O68" s="344">
        <v>0.46403940886699507</v>
      </c>
      <c r="P68" s="344">
        <v>0.75683060109289613</v>
      </c>
      <c r="Q68" s="344">
        <v>0.54163649529326574</v>
      </c>
      <c r="R68" s="344">
        <v>0.79761904761904767</v>
      </c>
      <c r="S68" s="344">
        <v>0.86641221374045807</v>
      </c>
      <c r="T68" s="344">
        <v>0.82775919732441472</v>
      </c>
      <c r="U68" s="344"/>
      <c r="V68" s="344"/>
      <c r="W68" s="344"/>
      <c r="X68" s="345">
        <v>0.83716540837336995</v>
      </c>
      <c r="Y68" s="345">
        <v>0.88461538461538458</v>
      </c>
      <c r="Z68" s="345">
        <v>0.85790185471406488</v>
      </c>
    </row>
    <row r="69" spans="2:26" hidden="1" outlineLevel="1" x14ac:dyDescent="0.25">
      <c r="B69" s="304">
        <v>41426</v>
      </c>
      <c r="C69" s="344"/>
      <c r="D69" s="344"/>
      <c r="E69" s="344"/>
      <c r="F69" s="344"/>
      <c r="G69" s="344"/>
      <c r="H69" s="344"/>
      <c r="I69" s="344">
        <v>0.84994523548740419</v>
      </c>
      <c r="J69" s="344">
        <v>0.88091068301225917</v>
      </c>
      <c r="K69" s="344">
        <v>0.85732165206508137</v>
      </c>
      <c r="L69" s="344">
        <v>0.79467186484730346</v>
      </c>
      <c r="M69" s="344">
        <v>0.82487883683360264</v>
      </c>
      <c r="N69" s="344">
        <v>0.80981694475943622</v>
      </c>
      <c r="O69" s="344">
        <v>0.46255924170616108</v>
      </c>
      <c r="P69" s="344">
        <v>0.68684210526315792</v>
      </c>
      <c r="Q69" s="344">
        <v>0.52195121951219514</v>
      </c>
      <c r="R69" s="344">
        <v>0.75141242937853103</v>
      </c>
      <c r="S69" s="344">
        <v>0.84030418250950567</v>
      </c>
      <c r="T69" s="344">
        <v>0.78930307941653155</v>
      </c>
      <c r="U69" s="344"/>
      <c r="V69" s="344"/>
      <c r="W69" s="344"/>
      <c r="X69" s="345">
        <v>0.75273245683510215</v>
      </c>
      <c r="Y69" s="345">
        <v>0.82107217451844972</v>
      </c>
      <c r="Z69" s="345">
        <v>0.78045565806816042</v>
      </c>
    </row>
    <row r="70" spans="2:26" hidden="1" outlineLevel="1" x14ac:dyDescent="0.25">
      <c r="B70" s="304">
        <v>41456</v>
      </c>
      <c r="C70" s="344"/>
      <c r="D70" s="344"/>
      <c r="E70" s="344"/>
      <c r="F70" s="344"/>
      <c r="G70" s="344"/>
      <c r="H70" s="344"/>
      <c r="I70" s="344">
        <v>0.95972828723920423</v>
      </c>
      <c r="J70" s="344">
        <v>0.9426751592356688</v>
      </c>
      <c r="K70" s="344">
        <v>0.95574563034585347</v>
      </c>
      <c r="L70" s="344">
        <v>0.92961577694661679</v>
      </c>
      <c r="M70" s="344">
        <v>0.92077087794432544</v>
      </c>
      <c r="N70" s="344">
        <v>0.9253003656625457</v>
      </c>
      <c r="O70" s="344">
        <v>0.46718146718146719</v>
      </c>
      <c r="P70" s="344">
        <v>0.72222222222222221</v>
      </c>
      <c r="Q70" s="344">
        <v>0.53536067892503536</v>
      </c>
      <c r="R70" s="344">
        <v>0.84210526315789469</v>
      </c>
      <c r="S70" s="344">
        <v>0.8539325842696629</v>
      </c>
      <c r="T70" s="344">
        <v>0.84729064039408863</v>
      </c>
      <c r="U70" s="344"/>
      <c r="V70" s="344"/>
      <c r="W70" s="344"/>
      <c r="X70" s="345">
        <v>0.85956112852664579</v>
      </c>
      <c r="Y70" s="345">
        <v>0.90134969325153369</v>
      </c>
      <c r="Z70" s="345">
        <v>0.87584887613582019</v>
      </c>
    </row>
    <row r="71" spans="2:26" hidden="1" outlineLevel="1" x14ac:dyDescent="0.25">
      <c r="B71" s="304">
        <v>41487</v>
      </c>
      <c r="C71" s="344"/>
      <c r="D71" s="344"/>
      <c r="E71" s="344"/>
      <c r="F71" s="344"/>
      <c r="G71" s="344"/>
      <c r="H71" s="344"/>
      <c r="I71" s="344">
        <v>0.93828828828828825</v>
      </c>
      <c r="J71" s="344">
        <v>0.94301221166892812</v>
      </c>
      <c r="K71" s="344">
        <v>0.93946567467027398</v>
      </c>
      <c r="L71" s="344">
        <v>0.80278361344537819</v>
      </c>
      <c r="M71" s="344">
        <v>0.82362058276503414</v>
      </c>
      <c r="N71" s="344">
        <v>0.81234006255331248</v>
      </c>
      <c r="O71" s="344">
        <v>0.45683453237410071</v>
      </c>
      <c r="P71" s="344">
        <v>0.69491525423728817</v>
      </c>
      <c r="Q71" s="344">
        <v>0.514324693042292</v>
      </c>
      <c r="R71" s="344">
        <v>0.77777777777777779</v>
      </c>
      <c r="S71" s="344">
        <v>0.86119873817034698</v>
      </c>
      <c r="T71" s="344">
        <v>0.81351351351351353</v>
      </c>
      <c r="U71" s="344"/>
      <c r="V71" s="344"/>
      <c r="W71" s="344"/>
      <c r="X71" s="345">
        <v>0.79029485653841069</v>
      </c>
      <c r="Y71" s="345">
        <v>0.83534743202416917</v>
      </c>
      <c r="Z71" s="345">
        <v>0.80741165860457487</v>
      </c>
    </row>
    <row r="72" spans="2:26" hidden="1" outlineLevel="1" x14ac:dyDescent="0.25">
      <c r="B72" s="304">
        <v>41518</v>
      </c>
      <c r="C72" s="344"/>
      <c r="D72" s="344"/>
      <c r="E72" s="344"/>
      <c r="F72" s="344"/>
      <c r="G72" s="344"/>
      <c r="H72" s="344"/>
      <c r="I72" s="344">
        <v>0.87233096085409256</v>
      </c>
      <c r="J72" s="344">
        <v>0.88433382137628114</v>
      </c>
      <c r="K72" s="344">
        <v>0.87512794268167859</v>
      </c>
      <c r="L72" s="344">
        <v>0.80350772889417366</v>
      </c>
      <c r="M72" s="344">
        <v>0.84237116874368478</v>
      </c>
      <c r="N72" s="344">
        <v>0.82172745933996527</v>
      </c>
      <c r="O72" s="344">
        <v>0.49545454545454548</v>
      </c>
      <c r="P72" s="344">
        <v>0.71381578947368418</v>
      </c>
      <c r="Q72" s="344">
        <v>0.55152027027027029</v>
      </c>
      <c r="R72" s="344">
        <v>0.69706840390879476</v>
      </c>
      <c r="S72" s="344">
        <v>0.88888888888888884</v>
      </c>
      <c r="T72" s="344">
        <v>0.78354203935599287</v>
      </c>
      <c r="U72" s="344"/>
      <c r="V72" s="344"/>
      <c r="W72" s="344"/>
      <c r="X72" s="345">
        <v>0.78158552728342401</v>
      </c>
      <c r="Y72" s="345">
        <v>0.84268060836501901</v>
      </c>
      <c r="Z72" s="345">
        <v>0.80494230943944767</v>
      </c>
    </row>
    <row r="73" spans="2:26" hidden="1" outlineLevel="1" x14ac:dyDescent="0.25">
      <c r="B73" s="304">
        <v>41548</v>
      </c>
      <c r="C73" s="344"/>
      <c r="D73" s="344"/>
      <c r="E73" s="344"/>
      <c r="F73" s="344"/>
      <c r="G73" s="344"/>
      <c r="H73" s="344"/>
      <c r="I73" s="344">
        <v>0.84226646248085757</v>
      </c>
      <c r="J73" s="344">
        <v>0.87136929460580914</v>
      </c>
      <c r="K73" s="344">
        <v>0.84857571214392802</v>
      </c>
      <c r="L73" s="344">
        <v>0.82041373039327115</v>
      </c>
      <c r="M73" s="344">
        <v>0.8586868413942178</v>
      </c>
      <c r="N73" s="344">
        <v>0.83790123456790122</v>
      </c>
      <c r="O73" s="344">
        <v>0.45769230769230768</v>
      </c>
      <c r="P73" s="344">
        <v>0.72864321608040206</v>
      </c>
      <c r="Q73" s="344">
        <v>0.53268428372739918</v>
      </c>
      <c r="R73" s="344">
        <v>0.73671497584541068</v>
      </c>
      <c r="S73" s="344">
        <v>0.86301369863013699</v>
      </c>
      <c r="T73" s="344">
        <v>0.78895184135977336</v>
      </c>
      <c r="U73" s="344"/>
      <c r="V73" s="344"/>
      <c r="W73" s="344"/>
      <c r="X73" s="345">
        <v>0.77849970466627294</v>
      </c>
      <c r="Y73" s="345">
        <v>0.85060617911615177</v>
      </c>
      <c r="Z73" s="345">
        <v>0.80565579203181381</v>
      </c>
    </row>
    <row r="74" spans="2:26" hidden="1" outlineLevel="1" x14ac:dyDescent="0.25">
      <c r="B74" s="304">
        <v>41579</v>
      </c>
      <c r="C74" s="344"/>
      <c r="D74" s="344"/>
      <c r="E74" s="344"/>
      <c r="F74" s="344"/>
      <c r="G74" s="344"/>
      <c r="H74" s="344"/>
      <c r="I74" s="344">
        <v>0.88824551244933414</v>
      </c>
      <c r="J74" s="344">
        <v>0.88478260869565217</v>
      </c>
      <c r="K74" s="344">
        <v>0.88751714677640603</v>
      </c>
      <c r="L74" s="344">
        <v>0.8281021897810219</v>
      </c>
      <c r="M74" s="344">
        <v>0.83215031315240084</v>
      </c>
      <c r="N74" s="344">
        <v>0.82999026290165534</v>
      </c>
      <c r="O74" s="344">
        <v>0.51876019575856447</v>
      </c>
      <c r="P74" s="344">
        <v>0.71484375</v>
      </c>
      <c r="Q74" s="344">
        <v>0.57652474108170315</v>
      </c>
      <c r="R74" s="344">
        <v>0.87777777777777777</v>
      </c>
      <c r="S74" s="344">
        <v>0.95566502463054193</v>
      </c>
      <c r="T74" s="344">
        <v>0.91120507399577166</v>
      </c>
      <c r="U74" s="344"/>
      <c r="V74" s="344"/>
      <c r="W74" s="344"/>
      <c r="X74" s="345">
        <v>0.81457943925233645</v>
      </c>
      <c r="Y74" s="345">
        <v>0.83796016898008452</v>
      </c>
      <c r="Z74" s="345">
        <v>0.82352262234533702</v>
      </c>
    </row>
    <row r="75" spans="2:26" collapsed="1" x14ac:dyDescent="0.25">
      <c r="B75" s="304">
        <v>41609</v>
      </c>
      <c r="C75" s="344"/>
      <c r="D75" s="344"/>
      <c r="E75" s="344"/>
      <c r="F75" s="344"/>
      <c r="G75" s="344"/>
      <c r="H75" s="344"/>
      <c r="I75" s="344">
        <v>0.86581254214430214</v>
      </c>
      <c r="J75" s="344">
        <v>0.87337278106508875</v>
      </c>
      <c r="K75" s="344">
        <v>0.86748884807137239</v>
      </c>
      <c r="L75" s="344">
        <v>0.82773616815655959</v>
      </c>
      <c r="M75" s="344">
        <v>0.82779030439684331</v>
      </c>
      <c r="N75" s="344">
        <v>0.82776115519708604</v>
      </c>
      <c r="O75" s="344">
        <v>0.48634361233480178</v>
      </c>
      <c r="P75" s="344">
        <v>0.71607515657620047</v>
      </c>
      <c r="Q75" s="344">
        <v>0.55452292441140028</v>
      </c>
      <c r="R75" s="344">
        <v>0.82816901408450705</v>
      </c>
      <c r="S75" s="344">
        <v>0.94202898550724634</v>
      </c>
      <c r="T75" s="344">
        <v>0.87797147385103014</v>
      </c>
      <c r="U75" s="344"/>
      <c r="V75" s="344"/>
      <c r="W75" s="344"/>
      <c r="X75" s="345">
        <v>0.79581151832460728</v>
      </c>
      <c r="Y75" s="345">
        <v>0.83100233100233101</v>
      </c>
      <c r="Z75" s="345">
        <v>0.80899366950447504</v>
      </c>
    </row>
    <row r="76" spans="2:26" hidden="1" outlineLevel="1" x14ac:dyDescent="0.25">
      <c r="B76" s="304">
        <v>41640</v>
      </c>
      <c r="C76" s="344"/>
      <c r="D76" s="344"/>
      <c r="E76" s="344"/>
      <c r="F76" s="344"/>
      <c r="G76" s="344"/>
      <c r="H76" s="344"/>
      <c r="I76" s="344">
        <v>0.8363072148952676</v>
      </c>
      <c r="J76" s="344">
        <v>0.88564167725540022</v>
      </c>
      <c r="K76" s="344">
        <v>0.84784546805349181</v>
      </c>
      <c r="L76" s="344">
        <v>0.79699446348536773</v>
      </c>
      <c r="M76" s="344">
        <v>0.82444577591372081</v>
      </c>
      <c r="N76" s="344">
        <v>0.80984434160706775</v>
      </c>
      <c r="O76" s="344">
        <v>0.4916256157635468</v>
      </c>
      <c r="P76" s="344">
        <v>0.74861878453038677</v>
      </c>
      <c r="Q76" s="344">
        <v>0.55918663761801013</v>
      </c>
      <c r="R76" s="344">
        <v>0.87399463806970512</v>
      </c>
      <c r="S76" s="344">
        <v>0.94464944649446492</v>
      </c>
      <c r="T76" s="344">
        <v>0.90372670807453415</v>
      </c>
      <c r="U76" s="344"/>
      <c r="V76" s="344"/>
      <c r="W76" s="344"/>
      <c r="X76" s="345">
        <v>0.77381105812604722</v>
      </c>
      <c r="Y76" s="345">
        <v>0.83564522908785199</v>
      </c>
      <c r="Z76" s="345">
        <v>0.79731565071502752</v>
      </c>
    </row>
    <row r="77" spans="2:26" hidden="1" outlineLevel="1" x14ac:dyDescent="0.25">
      <c r="B77" s="304">
        <v>41671</v>
      </c>
      <c r="C77" s="344"/>
      <c r="D77" s="344"/>
      <c r="E77" s="344"/>
      <c r="F77" s="344"/>
      <c r="G77" s="344"/>
      <c r="H77" s="344"/>
      <c r="I77" s="344">
        <v>0.77537796976241902</v>
      </c>
      <c r="J77" s="344">
        <v>0.84977908689248893</v>
      </c>
      <c r="K77" s="344">
        <v>0.79225116900467607</v>
      </c>
      <c r="L77" s="344">
        <v>0.77890724269377387</v>
      </c>
      <c r="M77" s="344">
        <v>0.81055240793201133</v>
      </c>
      <c r="N77" s="344">
        <v>0.79387139986604149</v>
      </c>
      <c r="O77" s="344">
        <v>0.53106682297772567</v>
      </c>
      <c r="P77" s="344">
        <v>0.7190332326283988</v>
      </c>
      <c r="Q77" s="344">
        <v>0.58361486486486491</v>
      </c>
      <c r="R77" s="344">
        <v>0.85767790262172283</v>
      </c>
      <c r="S77" s="344">
        <v>0.91866028708133973</v>
      </c>
      <c r="T77" s="344">
        <v>0.88445378151260501</v>
      </c>
      <c r="U77" s="344"/>
      <c r="V77" s="344"/>
      <c r="W77" s="344"/>
      <c r="X77" s="345">
        <v>0.74874677198845507</v>
      </c>
      <c r="Y77" s="345">
        <v>0.81523621073460306</v>
      </c>
      <c r="Z77" s="345">
        <v>0.77404479578392626</v>
      </c>
    </row>
    <row r="78" spans="2:26" hidden="1" outlineLevel="1" x14ac:dyDescent="0.25">
      <c r="B78" s="304">
        <v>41699</v>
      </c>
      <c r="C78" s="344"/>
      <c r="D78" s="344"/>
      <c r="E78" s="344"/>
      <c r="F78" s="344"/>
      <c r="G78" s="344"/>
      <c r="H78" s="344"/>
      <c r="I78" s="344">
        <v>0.77629781420765032</v>
      </c>
      <c r="J78" s="344">
        <v>0.85679012345679018</v>
      </c>
      <c r="K78" s="344">
        <v>0.7937399678972713</v>
      </c>
      <c r="L78" s="344">
        <v>0.7509706045479756</v>
      </c>
      <c r="M78" s="344">
        <v>0.81060373889059145</v>
      </c>
      <c r="N78" s="344">
        <v>0.77929829669529771</v>
      </c>
      <c r="O78" s="344">
        <v>0.50568678915135612</v>
      </c>
      <c r="P78" s="344">
        <v>0.7203579418344519</v>
      </c>
      <c r="Q78" s="344">
        <v>0.56603773584905659</v>
      </c>
      <c r="R78" s="344">
        <v>0.81863979848866497</v>
      </c>
      <c r="S78" s="344">
        <v>0.91935483870967738</v>
      </c>
      <c r="T78" s="344">
        <v>0.85736434108527126</v>
      </c>
      <c r="U78" s="344"/>
      <c r="V78" s="344"/>
      <c r="W78" s="344"/>
      <c r="X78" s="345">
        <v>0.72875897944017831</v>
      </c>
      <c r="Y78" s="345">
        <v>0.81564597315436238</v>
      </c>
      <c r="Z78" s="345">
        <v>0.76101853293879462</v>
      </c>
    </row>
    <row r="79" spans="2:26" hidden="1" outlineLevel="1" x14ac:dyDescent="0.25">
      <c r="B79" s="304">
        <v>41730</v>
      </c>
      <c r="C79" s="344"/>
      <c r="D79" s="344"/>
      <c r="E79" s="344"/>
      <c r="F79" s="344"/>
      <c r="G79" s="344"/>
      <c r="H79" s="344"/>
      <c r="I79" s="344">
        <v>0.75499600319744209</v>
      </c>
      <c r="J79" s="344">
        <v>0.86407766990291257</v>
      </c>
      <c r="K79" s="344">
        <v>0.77939807632640401</v>
      </c>
      <c r="L79" s="344">
        <v>0.74349775784753358</v>
      </c>
      <c r="M79" s="344">
        <v>0.79028132992327371</v>
      </c>
      <c r="N79" s="344">
        <v>0.76610536072918278</v>
      </c>
      <c r="O79" s="344">
        <v>0.49858088930936612</v>
      </c>
      <c r="P79" s="344">
        <v>0.70418848167539272</v>
      </c>
      <c r="Q79" s="344">
        <v>0.55316191799861014</v>
      </c>
      <c r="R79" s="344">
        <v>0.8644986449864499</v>
      </c>
      <c r="S79" s="344">
        <v>0.91814946619217086</v>
      </c>
      <c r="T79" s="344">
        <v>0.88769230769230767</v>
      </c>
      <c r="U79" s="344"/>
      <c r="V79" s="344"/>
      <c r="W79" s="344"/>
      <c r="X79" s="345">
        <v>0.71799807507218483</v>
      </c>
      <c r="Y79" s="345">
        <v>0.80274822695035464</v>
      </c>
      <c r="Z79" s="345">
        <v>0.75044548154433599</v>
      </c>
    </row>
    <row r="80" spans="2:26" hidden="1" outlineLevel="1" x14ac:dyDescent="0.25">
      <c r="B80" s="304">
        <v>41760</v>
      </c>
      <c r="C80" s="344"/>
      <c r="D80" s="344"/>
      <c r="E80" s="344"/>
      <c r="F80" s="344"/>
      <c r="G80" s="344"/>
      <c r="H80" s="344"/>
      <c r="I80" s="344">
        <v>0.79589743589743589</v>
      </c>
      <c r="J80" s="344">
        <v>0.85024752475247523</v>
      </c>
      <c r="K80" s="344">
        <v>0.80766139833913742</v>
      </c>
      <c r="L80" s="344">
        <v>0.73955533838260445</v>
      </c>
      <c r="M80" s="344">
        <v>0.78033515041389057</v>
      </c>
      <c r="N80" s="344">
        <v>0.76188370550519569</v>
      </c>
      <c r="O80" s="344">
        <v>0.48613678373382618</v>
      </c>
      <c r="P80" s="344">
        <v>0.75452196382428938</v>
      </c>
      <c r="Q80" s="344">
        <v>0.55684138869979583</v>
      </c>
      <c r="R80" s="344">
        <v>0.80441640378548895</v>
      </c>
      <c r="S80" s="344">
        <v>0.93442622950819676</v>
      </c>
      <c r="T80" s="344">
        <v>0.86096256684491979</v>
      </c>
      <c r="U80" s="344"/>
      <c r="V80" s="344"/>
      <c r="W80" s="344"/>
      <c r="X80" s="345">
        <v>0.72900083165023166</v>
      </c>
      <c r="Y80" s="345">
        <v>0.79349186483103884</v>
      </c>
      <c r="Z80" s="345">
        <v>0.75683705854547911</v>
      </c>
    </row>
    <row r="81" spans="2:26" hidden="1" outlineLevel="1" x14ac:dyDescent="0.25">
      <c r="B81" s="304">
        <v>41791</v>
      </c>
      <c r="C81" s="344"/>
      <c r="D81" s="344"/>
      <c r="E81" s="344"/>
      <c r="F81" s="344"/>
      <c r="G81" s="344"/>
      <c r="H81" s="344"/>
      <c r="I81" s="344">
        <v>0.81265611990008324</v>
      </c>
      <c r="J81" s="344">
        <v>0.84952120383036933</v>
      </c>
      <c r="K81" s="344">
        <v>0.82125758059368015</v>
      </c>
      <c r="L81" s="344">
        <v>0.77275204359673022</v>
      </c>
      <c r="M81" s="344">
        <v>0.79931794333683104</v>
      </c>
      <c r="N81" s="344">
        <v>0.78628708901363276</v>
      </c>
      <c r="O81" s="344">
        <v>0.49595959595959588</v>
      </c>
      <c r="P81" s="344">
        <v>0.7439613526570048</v>
      </c>
      <c r="Q81" s="344">
        <v>0.56908831908831914</v>
      </c>
      <c r="R81" s="344">
        <v>0.78545454545454541</v>
      </c>
      <c r="S81" s="344">
        <v>0.86363636363636365</v>
      </c>
      <c r="T81" s="344">
        <v>0.82020202020202015</v>
      </c>
      <c r="U81" s="344"/>
      <c r="V81" s="344"/>
      <c r="W81" s="344"/>
      <c r="X81" s="345">
        <v>0.74894370996320025</v>
      </c>
      <c r="Y81" s="345">
        <v>0.80471315433648827</v>
      </c>
      <c r="Z81" s="345">
        <v>0.772015342816046</v>
      </c>
    </row>
    <row r="82" spans="2:26" hidden="1" outlineLevel="1" x14ac:dyDescent="0.25">
      <c r="B82" s="304">
        <v>41821</v>
      </c>
      <c r="C82" s="344"/>
      <c r="D82" s="344"/>
      <c r="E82" s="344"/>
      <c r="F82" s="344"/>
      <c r="G82" s="344"/>
      <c r="H82" s="344"/>
      <c r="I82" s="344">
        <v>0.79651398459667611</v>
      </c>
      <c r="J82" s="344">
        <v>0.87142857142857144</v>
      </c>
      <c r="K82" s="344">
        <v>0.81307230817808651</v>
      </c>
      <c r="L82" s="344">
        <v>0.79119779944986246</v>
      </c>
      <c r="M82" s="344">
        <v>0.79659549913444894</v>
      </c>
      <c r="N82" s="344">
        <v>0.79370395177494979</v>
      </c>
      <c r="O82" s="344">
        <v>0.50266903914590744</v>
      </c>
      <c r="P82" s="344">
        <v>0.76279069767441865</v>
      </c>
      <c r="Q82" s="344">
        <v>0.57464607464607464</v>
      </c>
      <c r="R82" s="344">
        <v>0.82170542635658916</v>
      </c>
      <c r="S82" s="344">
        <v>0.92270531400966183</v>
      </c>
      <c r="T82" s="344">
        <v>0.8666666666666667</v>
      </c>
      <c r="U82" s="344"/>
      <c r="V82" s="344"/>
      <c r="W82" s="344"/>
      <c r="X82" s="345">
        <v>0.75254841997961264</v>
      </c>
      <c r="Y82" s="345">
        <v>0.80991047262127835</v>
      </c>
      <c r="Z82" s="345">
        <v>0.77432614022606905</v>
      </c>
    </row>
    <row r="83" spans="2:26" hidden="1" outlineLevel="1" x14ac:dyDescent="0.25">
      <c r="B83" s="304">
        <v>41852</v>
      </c>
      <c r="C83" s="344"/>
      <c r="D83" s="344"/>
      <c r="E83" s="344"/>
      <c r="F83" s="344"/>
      <c r="G83" s="344"/>
      <c r="H83" s="344"/>
      <c r="I83" s="344">
        <v>0.80429246998908699</v>
      </c>
      <c r="J83" s="344">
        <v>0.85865724381625441</v>
      </c>
      <c r="K83" s="344">
        <v>0.81712062256809337</v>
      </c>
      <c r="L83" s="344">
        <v>0.78360121127416726</v>
      </c>
      <c r="M83" s="344">
        <v>0.78465279654147524</v>
      </c>
      <c r="N83" s="344">
        <v>0.78408806604953718</v>
      </c>
      <c r="O83" s="344">
        <v>0.48272884283246981</v>
      </c>
      <c r="P83" s="344">
        <v>0.75106382978723407</v>
      </c>
      <c r="Q83" s="344">
        <v>0.56019656019656017</v>
      </c>
      <c r="R83" s="344">
        <v>0.81132075471698117</v>
      </c>
      <c r="S83" s="344">
        <v>0.93913043478260871</v>
      </c>
      <c r="T83" s="344">
        <v>0.87070707070707065</v>
      </c>
      <c r="U83" s="344"/>
      <c r="V83" s="344"/>
      <c r="W83" s="344"/>
      <c r="X83" s="345">
        <v>0.75002953337271117</v>
      </c>
      <c r="Y83" s="345">
        <v>0.80038095238095242</v>
      </c>
      <c r="Z83" s="345">
        <v>0.76930368209989064</v>
      </c>
    </row>
    <row r="84" spans="2:26" hidden="1" outlineLevel="1" x14ac:dyDescent="0.25">
      <c r="B84" s="304">
        <v>41883</v>
      </c>
      <c r="C84" s="344"/>
      <c r="D84" s="344"/>
      <c r="E84" s="344"/>
      <c r="F84" s="344"/>
      <c r="G84" s="344"/>
      <c r="H84" s="344"/>
      <c r="I84" s="344">
        <v>0.85808853951179143</v>
      </c>
      <c r="J84" s="344">
        <v>0.88859060402684564</v>
      </c>
      <c r="K84" s="344">
        <v>0.86527514231499048</v>
      </c>
      <c r="L84" s="344">
        <v>0.80606505258009298</v>
      </c>
      <c r="M84" s="344">
        <v>0.82129387873513204</v>
      </c>
      <c r="N84" s="344">
        <v>0.81303078556263275</v>
      </c>
      <c r="O84" s="344">
        <v>0.48886532343584299</v>
      </c>
      <c r="P84" s="344">
        <v>0.75777777777777777</v>
      </c>
      <c r="Q84" s="344">
        <v>0.5757358219669777</v>
      </c>
      <c r="R84" s="344">
        <v>0.88349514563106801</v>
      </c>
      <c r="S84" s="344">
        <v>0.93048128342245995</v>
      </c>
      <c r="T84" s="344">
        <v>0.90585241730279897</v>
      </c>
      <c r="U84" s="344"/>
      <c r="V84" s="344"/>
      <c r="W84" s="344"/>
      <c r="X84" s="345">
        <v>0.78549967341606797</v>
      </c>
      <c r="Y84" s="345">
        <v>0.82998550424518536</v>
      </c>
      <c r="Z84" s="345">
        <v>0.80270746555591155</v>
      </c>
    </row>
    <row r="85" spans="2:26" hidden="1" outlineLevel="1" x14ac:dyDescent="0.25">
      <c r="B85" s="304">
        <v>41913</v>
      </c>
      <c r="C85" s="344"/>
      <c r="D85" s="344"/>
      <c r="E85" s="344"/>
      <c r="F85" s="344"/>
      <c r="G85" s="344"/>
      <c r="H85" s="344"/>
      <c r="I85" s="344">
        <v>0.8325233644859813</v>
      </c>
      <c r="J85" s="344">
        <v>0.88485607008760947</v>
      </c>
      <c r="K85" s="344">
        <v>0.84455958549222798</v>
      </c>
      <c r="L85" s="344">
        <v>0.7712512926577042</v>
      </c>
      <c r="M85" s="344">
        <v>0.81836179163573375</v>
      </c>
      <c r="N85" s="344">
        <v>0.79269941415051826</v>
      </c>
      <c r="O85" s="344">
        <v>0.51615575807787906</v>
      </c>
      <c r="P85" s="344">
        <v>0.74838709677419357</v>
      </c>
      <c r="Q85" s="344">
        <v>0.58074162679425834</v>
      </c>
      <c r="R85" s="344">
        <v>0.83127572016460904</v>
      </c>
      <c r="S85" s="344">
        <v>0.92972972972972978</v>
      </c>
      <c r="T85" s="344">
        <v>0.87383177570093462</v>
      </c>
      <c r="U85" s="344"/>
      <c r="V85" s="344"/>
      <c r="W85" s="344"/>
      <c r="X85" s="345">
        <v>0.75680803571428568</v>
      </c>
      <c r="Y85" s="345">
        <v>0.82586520947176689</v>
      </c>
      <c r="Z85" s="345">
        <v>0.78304498269896194</v>
      </c>
    </row>
    <row r="86" spans="2:26" hidden="1" outlineLevel="1" x14ac:dyDescent="0.25">
      <c r="B86" s="304">
        <v>41944</v>
      </c>
      <c r="C86" s="344"/>
      <c r="D86" s="344"/>
      <c r="E86" s="344"/>
      <c r="F86" s="344"/>
      <c r="G86" s="344"/>
      <c r="H86" s="344"/>
      <c r="I86" s="344">
        <v>0.86304347826086958</v>
      </c>
      <c r="J86" s="344">
        <v>0.88128491620111726</v>
      </c>
      <c r="K86" s="344">
        <v>0.86737400530503983</v>
      </c>
      <c r="L86" s="344">
        <v>0.79391490373187545</v>
      </c>
      <c r="M86" s="344">
        <v>0.83323226197695577</v>
      </c>
      <c r="N86" s="344">
        <v>0.81119253830779481</v>
      </c>
      <c r="O86" s="344">
        <v>0.4947569113441373</v>
      </c>
      <c r="P86" s="344">
        <v>0.73242630385487528</v>
      </c>
      <c r="Q86" s="344">
        <v>0.56510067114093965</v>
      </c>
      <c r="R86" s="344">
        <v>0.87068965517241381</v>
      </c>
      <c r="S86" s="344">
        <v>0.9</v>
      </c>
      <c r="T86" s="344">
        <v>0.88308457711442789</v>
      </c>
      <c r="U86" s="344"/>
      <c r="V86" s="344"/>
      <c r="W86" s="344"/>
      <c r="X86" s="345">
        <v>0.77632254750898821</v>
      </c>
      <c r="Y86" s="345">
        <v>0.83351351351351355</v>
      </c>
      <c r="Z86" s="345">
        <v>0.79763151534681387</v>
      </c>
    </row>
    <row r="87" spans="2:26" collapsed="1" x14ac:dyDescent="0.25">
      <c r="B87" s="304">
        <v>41974</v>
      </c>
      <c r="C87" s="344"/>
      <c r="D87" s="344"/>
      <c r="E87" s="344"/>
      <c r="F87" s="344"/>
      <c r="G87" s="344"/>
      <c r="H87" s="344"/>
      <c r="I87" s="344">
        <v>0.89882352941176469</v>
      </c>
      <c r="J87" s="344">
        <v>0.92006525285481244</v>
      </c>
      <c r="K87" s="344">
        <v>0.90357925493060631</v>
      </c>
      <c r="L87" s="344">
        <v>0.80749471139317019</v>
      </c>
      <c r="M87" s="344">
        <v>0.84696092619392183</v>
      </c>
      <c r="N87" s="344">
        <v>0.82545694055656182</v>
      </c>
      <c r="O87" s="344">
        <v>0.529989094874591</v>
      </c>
      <c r="P87" s="344">
        <v>0.77581863979848864</v>
      </c>
      <c r="Q87" s="344">
        <v>0.60426179604261798</v>
      </c>
      <c r="R87" s="344">
        <v>0.890625</v>
      </c>
      <c r="S87" s="344">
        <v>0.92941176470588238</v>
      </c>
      <c r="T87" s="344">
        <v>0.90883977900552482</v>
      </c>
      <c r="U87" s="344"/>
      <c r="V87" s="344"/>
      <c r="W87" s="344"/>
      <c r="X87" s="345">
        <v>0.80070304141830961</v>
      </c>
      <c r="Y87" s="345">
        <v>0.85471602434077076</v>
      </c>
      <c r="Z87" s="345">
        <v>0.82101649661485654</v>
      </c>
    </row>
    <row r="88" spans="2:26" hidden="1" outlineLevel="1" x14ac:dyDescent="0.25">
      <c r="B88" s="304">
        <v>42005</v>
      </c>
      <c r="C88" s="344"/>
      <c r="D88" s="344"/>
      <c r="E88" s="344"/>
      <c r="F88" s="344"/>
      <c r="G88" s="344"/>
      <c r="H88" s="344"/>
      <c r="I88" s="344">
        <v>0.83214603739982196</v>
      </c>
      <c r="J88" s="344">
        <v>0.86757990867579904</v>
      </c>
      <c r="K88" s="344">
        <v>0.84016534619359284</v>
      </c>
      <c r="L88" s="344">
        <v>0.75776231263383298</v>
      </c>
      <c r="M88" s="344">
        <v>0.78524646673560838</v>
      </c>
      <c r="N88" s="344">
        <v>0.7697755009793581</v>
      </c>
      <c r="O88" s="344">
        <v>0.5655502392344498</v>
      </c>
      <c r="P88" s="344">
        <v>0.81855670103092781</v>
      </c>
      <c r="Q88" s="344">
        <v>0.64575163398692814</v>
      </c>
      <c r="R88" s="344">
        <v>0.75213675213675213</v>
      </c>
      <c r="S88" s="344">
        <v>0.85858585858585856</v>
      </c>
      <c r="T88" s="344">
        <v>0.80092592592592593</v>
      </c>
      <c r="U88" s="344"/>
      <c r="V88" s="344"/>
      <c r="W88" s="344"/>
      <c r="X88" s="345">
        <v>0.75293952967525191</v>
      </c>
      <c r="Y88" s="345">
        <v>0.803959439884114</v>
      </c>
      <c r="Z88" s="345">
        <v>0.77166400850611372</v>
      </c>
    </row>
    <row r="89" spans="2:26" hidden="1" outlineLevel="1" x14ac:dyDescent="0.25">
      <c r="B89" s="304">
        <v>42036</v>
      </c>
      <c r="C89" s="344"/>
      <c r="D89" s="344"/>
      <c r="E89" s="344"/>
      <c r="F89" s="344"/>
      <c r="G89" s="344"/>
      <c r="H89" s="344"/>
      <c r="I89" s="344">
        <v>0.86051282051282052</v>
      </c>
      <c r="J89" s="344">
        <v>0.87478260869565216</v>
      </c>
      <c r="K89" s="344">
        <v>0.86376237623762375</v>
      </c>
      <c r="L89" s="344">
        <v>0.79779198140615926</v>
      </c>
      <c r="M89" s="344">
        <v>0.82126457082303073</v>
      </c>
      <c r="N89" s="344">
        <v>0.8083851426749562</v>
      </c>
      <c r="O89" s="344">
        <v>0.54742268041237119</v>
      </c>
      <c r="P89" s="344">
        <v>0.78060046189376442</v>
      </c>
      <c r="Q89" s="344">
        <v>0.61938702779757659</v>
      </c>
      <c r="R89" s="344">
        <v>0.75824175824175821</v>
      </c>
      <c r="S89" s="344">
        <v>0.89411764705882357</v>
      </c>
      <c r="T89" s="344">
        <v>0.82386363636363635</v>
      </c>
      <c r="U89" s="344"/>
      <c r="V89" s="344"/>
      <c r="W89" s="344"/>
      <c r="X89" s="345">
        <v>0.77855261118859442</v>
      </c>
      <c r="Y89" s="345">
        <v>0.8261977573904179</v>
      </c>
      <c r="Z89" s="345">
        <v>0.7965693360316084</v>
      </c>
    </row>
    <row r="90" spans="2:26" hidden="1" outlineLevel="1" x14ac:dyDescent="0.25">
      <c r="B90" s="304">
        <v>42064</v>
      </c>
      <c r="C90" s="344"/>
      <c r="D90" s="344"/>
      <c r="E90" s="344"/>
      <c r="F90" s="344"/>
      <c r="G90" s="344"/>
      <c r="H90" s="344"/>
      <c r="I90" s="344">
        <v>0.84406165004533096</v>
      </c>
      <c r="J90" s="344">
        <v>0.8693009118541033</v>
      </c>
      <c r="K90" s="344">
        <v>0.84986033519553073</v>
      </c>
      <c r="L90" s="344">
        <v>0.77246653919694075</v>
      </c>
      <c r="M90" s="344">
        <v>0.81291059697229362</v>
      </c>
      <c r="N90" s="344">
        <v>0.79089134677944051</v>
      </c>
      <c r="O90" s="344">
        <v>0.5499194847020934</v>
      </c>
      <c r="P90" s="344">
        <v>0.8044692737430168</v>
      </c>
      <c r="Q90" s="344">
        <v>0.6267566048341765</v>
      </c>
      <c r="R90" s="344">
        <v>0.79130434782608694</v>
      </c>
      <c r="S90" s="344">
        <v>0.84745762711864403</v>
      </c>
      <c r="T90" s="344">
        <v>0.81974248927038629</v>
      </c>
      <c r="U90" s="344"/>
      <c r="V90" s="344"/>
      <c r="W90" s="344"/>
      <c r="X90" s="345">
        <v>0.75745449851555435</v>
      </c>
      <c r="Y90" s="345">
        <v>0.82052347320315744</v>
      </c>
      <c r="Z90" s="345">
        <v>0.7816256667462782</v>
      </c>
    </row>
    <row r="91" spans="2:26" hidden="1" outlineLevel="1" x14ac:dyDescent="0.25">
      <c r="B91" s="304">
        <v>42095</v>
      </c>
      <c r="C91" s="344"/>
      <c r="D91" s="344"/>
      <c r="E91" s="344"/>
      <c r="F91" s="344"/>
      <c r="G91" s="344"/>
      <c r="H91" s="344"/>
      <c r="I91" s="344">
        <v>0.8378812199036918</v>
      </c>
      <c r="J91" s="344">
        <v>0.89455184534270649</v>
      </c>
      <c r="K91" s="344">
        <v>0.85110746513535684</v>
      </c>
      <c r="L91" s="344">
        <v>0.77515766383328766</v>
      </c>
      <c r="M91" s="344">
        <v>0.81708577333792631</v>
      </c>
      <c r="N91" s="344">
        <v>0.79374045801526716</v>
      </c>
      <c r="O91" s="344">
        <v>0.55082284607938048</v>
      </c>
      <c r="P91" s="344">
        <v>0.80125523012552302</v>
      </c>
      <c r="Q91" s="344">
        <v>0.63004632693580409</v>
      </c>
      <c r="R91" s="344">
        <v>0.75257731958762886</v>
      </c>
      <c r="S91" s="344">
        <v>0.88043478260869568</v>
      </c>
      <c r="T91" s="344">
        <v>0.81481481481481477</v>
      </c>
      <c r="U91" s="344"/>
      <c r="V91" s="344"/>
      <c r="W91" s="344"/>
      <c r="X91" s="345">
        <v>0.75759855552211852</v>
      </c>
      <c r="Y91" s="345">
        <v>0.82756061355764476</v>
      </c>
      <c r="Z91" s="345">
        <v>0.78405688622754488</v>
      </c>
    </row>
    <row r="92" spans="2:26" hidden="1" outlineLevel="1" x14ac:dyDescent="0.25">
      <c r="B92" s="304">
        <v>42125</v>
      </c>
      <c r="C92" s="344"/>
      <c r="D92" s="344"/>
      <c r="E92" s="344"/>
      <c r="F92" s="344"/>
      <c r="G92" s="344"/>
      <c r="H92" s="344"/>
      <c r="I92" s="344">
        <v>0.86129223473621819</v>
      </c>
      <c r="J92" s="344">
        <v>0.893719806763285</v>
      </c>
      <c r="K92" s="344">
        <v>0.87001733102253032</v>
      </c>
      <c r="L92" s="344">
        <v>0.81589856132650573</v>
      </c>
      <c r="M92" s="344">
        <v>0.86002632733655116</v>
      </c>
      <c r="N92" s="344">
        <v>0.83912691996766375</v>
      </c>
      <c r="O92" s="344">
        <v>0.57773109243697474</v>
      </c>
      <c r="P92" s="344">
        <v>0.80205655526992292</v>
      </c>
      <c r="Q92" s="344">
        <v>0.64280387770320657</v>
      </c>
      <c r="R92" s="344">
        <v>0.91129032258064513</v>
      </c>
      <c r="S92" s="344">
        <v>0.91891891891891897</v>
      </c>
      <c r="T92" s="344">
        <v>0.91489361702127658</v>
      </c>
      <c r="U92" s="344"/>
      <c r="V92" s="344"/>
      <c r="W92" s="344"/>
      <c r="X92" s="345">
        <v>0.79574592074592077</v>
      </c>
      <c r="Y92" s="345">
        <v>0.86089100193696078</v>
      </c>
      <c r="Z92" s="345">
        <v>0.82524117037391376</v>
      </c>
    </row>
    <row r="93" spans="2:26" hidden="1" outlineLevel="1" x14ac:dyDescent="0.25">
      <c r="B93" s="304">
        <v>42156</v>
      </c>
      <c r="C93" s="344"/>
      <c r="D93" s="344"/>
      <c r="E93" s="344"/>
      <c r="F93" s="344"/>
      <c r="G93" s="344"/>
      <c r="H93" s="344"/>
      <c r="I93" s="344">
        <v>0.83846153846153848</v>
      </c>
      <c r="J93" s="344">
        <v>0.8479338842975207</v>
      </c>
      <c r="K93" s="344">
        <v>0.84082474226804127</v>
      </c>
      <c r="L93" s="344">
        <v>0.79171741778319127</v>
      </c>
      <c r="M93" s="344">
        <v>0.83315334773218142</v>
      </c>
      <c r="N93" s="344">
        <v>0.8113714944295044</v>
      </c>
      <c r="O93" s="344">
        <v>0.56114398422090728</v>
      </c>
      <c r="P93" s="344">
        <v>0.8</v>
      </c>
      <c r="Q93" s="344">
        <v>0.6345628415300546</v>
      </c>
      <c r="R93" s="344">
        <v>0.80180180180180183</v>
      </c>
      <c r="S93" s="344">
        <v>0.85</v>
      </c>
      <c r="T93" s="344">
        <v>0.82683982683982682</v>
      </c>
      <c r="U93" s="344"/>
      <c r="V93" s="344"/>
      <c r="W93" s="344"/>
      <c r="X93" s="345">
        <v>0.77078014184397159</v>
      </c>
      <c r="Y93" s="345">
        <v>0.83234269317483089</v>
      </c>
      <c r="Z93" s="345">
        <v>0.79595942660742725</v>
      </c>
    </row>
    <row r="94" spans="2:26" hidden="1" outlineLevel="1" x14ac:dyDescent="0.25">
      <c r="B94" s="304">
        <v>42186</v>
      </c>
      <c r="C94" s="344"/>
      <c r="D94" s="344"/>
      <c r="E94" s="344"/>
      <c r="F94" s="344"/>
      <c r="G94" s="344"/>
      <c r="H94" s="344"/>
      <c r="I94" s="344">
        <v>0.82071713147410363</v>
      </c>
      <c r="J94" s="344">
        <v>0.87553648068669532</v>
      </c>
      <c r="K94" s="344">
        <v>0.83487255264130034</v>
      </c>
      <c r="L94" s="344">
        <v>0.77832937621411613</v>
      </c>
      <c r="M94" s="344">
        <v>0.81195335276967928</v>
      </c>
      <c r="N94" s="344">
        <v>0.79263301500682126</v>
      </c>
      <c r="O94" s="344">
        <v>0.54272727272727272</v>
      </c>
      <c r="P94" s="344">
        <v>0.7831325301204819</v>
      </c>
      <c r="Q94" s="344">
        <v>0.61764705882352944</v>
      </c>
      <c r="R94" s="344">
        <v>0.72566371681415931</v>
      </c>
      <c r="S94" s="344">
        <v>0.84848484848484851</v>
      </c>
      <c r="T94" s="344">
        <v>0.78301886792452835</v>
      </c>
      <c r="U94" s="344"/>
      <c r="V94" s="344"/>
      <c r="W94" s="344"/>
      <c r="X94" s="345">
        <v>0.75541125541125542</v>
      </c>
      <c r="Y94" s="345">
        <v>0.81908590774439272</v>
      </c>
      <c r="Z94" s="345">
        <v>0.77933227344992051</v>
      </c>
    </row>
    <row r="95" spans="2:26" hidden="1" outlineLevel="1" x14ac:dyDescent="0.25">
      <c r="B95" s="304">
        <v>42217</v>
      </c>
      <c r="C95" s="344"/>
      <c r="D95" s="344"/>
      <c r="E95" s="344"/>
      <c r="F95" s="344"/>
      <c r="G95" s="344"/>
      <c r="H95" s="344"/>
      <c r="I95" s="344">
        <v>0.85353785254824344</v>
      </c>
      <c r="J95" s="344">
        <v>0.88226299694189603</v>
      </c>
      <c r="K95" s="344">
        <v>0.8605607476635514</v>
      </c>
      <c r="L95" s="344">
        <v>0.79460966542750933</v>
      </c>
      <c r="M95" s="344">
        <v>0.83816930900388875</v>
      </c>
      <c r="N95" s="344">
        <v>0.81365241271086697</v>
      </c>
      <c r="O95" s="344">
        <v>0.55275022542831376</v>
      </c>
      <c r="P95" s="344">
        <v>0.77385892116182575</v>
      </c>
      <c r="Q95" s="344">
        <v>0.61973601508485232</v>
      </c>
      <c r="R95" s="344">
        <v>0.85185185185185186</v>
      </c>
      <c r="S95" s="344">
        <v>0.88659793814432986</v>
      </c>
      <c r="T95" s="344">
        <v>0.86829268292682926</v>
      </c>
      <c r="U95" s="344"/>
      <c r="V95" s="344"/>
      <c r="W95" s="344"/>
      <c r="X95" s="345">
        <v>0.77565632458233891</v>
      </c>
      <c r="Y95" s="345">
        <v>0.83872377622377625</v>
      </c>
      <c r="Z95" s="345">
        <v>0.79947186004291138</v>
      </c>
    </row>
    <row r="96" spans="2:26" hidden="1" outlineLevel="1" x14ac:dyDescent="0.25">
      <c r="B96" s="304">
        <v>42248</v>
      </c>
      <c r="C96" s="344"/>
      <c r="D96" s="344"/>
      <c r="E96" s="344"/>
      <c r="F96" s="344"/>
      <c r="G96" s="344"/>
      <c r="H96" s="344"/>
      <c r="I96" s="344">
        <v>0.83671399594320484</v>
      </c>
      <c r="J96" s="344">
        <v>0.87878787878787878</v>
      </c>
      <c r="K96" s="344">
        <v>0.8468641785302039</v>
      </c>
      <c r="L96" s="344">
        <v>0.78653022370299852</v>
      </c>
      <c r="M96" s="344">
        <v>0.82845061914829354</v>
      </c>
      <c r="N96" s="344">
        <v>0.80500465859177428</v>
      </c>
      <c r="O96" s="344">
        <v>0.57972350230414749</v>
      </c>
      <c r="P96" s="344">
        <v>0.77532228360957645</v>
      </c>
      <c r="Q96" s="344">
        <v>0.644963144963145</v>
      </c>
      <c r="R96" s="344">
        <v>0.86250000000000004</v>
      </c>
      <c r="S96" s="344">
        <v>0.80952380952380953</v>
      </c>
      <c r="T96" s="344">
        <v>0.83536585365853655</v>
      </c>
      <c r="U96" s="344"/>
      <c r="V96" s="344"/>
      <c r="W96" s="344"/>
      <c r="X96" s="345">
        <v>0.77026842894127268</v>
      </c>
      <c r="Y96" s="345">
        <v>0.8286966046002191</v>
      </c>
      <c r="Z96" s="345">
        <v>0.79267473118279574</v>
      </c>
    </row>
    <row r="97" spans="2:26" hidden="1" outlineLevel="1" x14ac:dyDescent="0.25">
      <c r="B97" s="304">
        <v>42278</v>
      </c>
      <c r="C97" s="344"/>
      <c r="D97" s="344"/>
      <c r="E97" s="344"/>
      <c r="F97" s="344"/>
      <c r="G97" s="344"/>
      <c r="H97" s="344"/>
      <c r="I97" s="344">
        <v>0.82332845290385559</v>
      </c>
      <c r="J97" s="344">
        <v>0.87031700288184433</v>
      </c>
      <c r="K97" s="344">
        <v>0.83521691578563617</v>
      </c>
      <c r="L97" s="344">
        <v>0.76614228692181263</v>
      </c>
      <c r="M97" s="344">
        <v>0.82447466007416559</v>
      </c>
      <c r="N97" s="344">
        <v>0.79132755170113411</v>
      </c>
      <c r="O97" s="344">
        <v>0.55824372759856633</v>
      </c>
      <c r="P97" s="344">
        <v>0.80434782608695654</v>
      </c>
      <c r="Q97" s="344">
        <v>0.63007614213197971</v>
      </c>
      <c r="R97" s="344">
        <v>0.84210526315789469</v>
      </c>
      <c r="S97" s="344">
        <v>0.82692307692307687</v>
      </c>
      <c r="T97" s="344">
        <v>0.83486238532110091</v>
      </c>
      <c r="U97" s="344"/>
      <c r="V97" s="344"/>
      <c r="W97" s="344"/>
      <c r="X97" s="345">
        <v>0.75205624834173523</v>
      </c>
      <c r="Y97" s="345">
        <v>0.82955051179350248</v>
      </c>
      <c r="Z97" s="345">
        <v>0.78100066489361697</v>
      </c>
    </row>
    <row r="98" spans="2:26" hidden="1" outlineLevel="1" x14ac:dyDescent="0.25">
      <c r="B98" s="304">
        <v>42309</v>
      </c>
      <c r="C98" s="344"/>
      <c r="D98" s="344"/>
      <c r="E98" s="344"/>
      <c r="F98" s="344"/>
      <c r="G98" s="344"/>
      <c r="H98" s="344"/>
      <c r="I98" s="344">
        <v>0.85305039787798409</v>
      </c>
      <c r="J98" s="344">
        <v>0.8900144717800289</v>
      </c>
      <c r="K98" s="344">
        <v>0.86296583850931674</v>
      </c>
      <c r="L98" s="344">
        <v>0.79711451758340846</v>
      </c>
      <c r="M98" s="344">
        <v>0.84173864586235725</v>
      </c>
      <c r="N98" s="344">
        <v>0.81707165109034263</v>
      </c>
      <c r="O98" s="344">
        <v>0.55877192982456136</v>
      </c>
      <c r="P98" s="344">
        <v>0.77551020408163263</v>
      </c>
      <c r="Q98" s="344">
        <v>0.62392638036809811</v>
      </c>
      <c r="R98" s="344">
        <v>0.81308411214953269</v>
      </c>
      <c r="S98" s="344">
        <v>0.90825688073394495</v>
      </c>
      <c r="T98" s="344">
        <v>0.86111111111111116</v>
      </c>
      <c r="U98" s="344"/>
      <c r="V98" s="344"/>
      <c r="W98" s="344"/>
      <c r="X98" s="345">
        <v>0.77536997885835091</v>
      </c>
      <c r="Y98" s="345">
        <v>0.84341053494568563</v>
      </c>
      <c r="Z98" s="345">
        <v>0.80204065236603195</v>
      </c>
    </row>
    <row r="99" spans="2:26" collapsed="1" x14ac:dyDescent="0.25">
      <c r="B99" s="304">
        <v>42339</v>
      </c>
      <c r="C99" s="344"/>
      <c r="D99" s="344"/>
      <c r="E99" s="344"/>
      <c r="F99" s="344"/>
      <c r="G99" s="344"/>
      <c r="H99" s="344"/>
      <c r="I99" s="344">
        <v>0.84789067142008323</v>
      </c>
      <c r="J99" s="344">
        <v>0.8994413407821229</v>
      </c>
      <c r="K99" s="344">
        <v>0.86036036036036034</v>
      </c>
      <c r="L99" s="344">
        <v>0.76129032258064511</v>
      </c>
      <c r="M99" s="344">
        <v>0.79467414155571126</v>
      </c>
      <c r="N99" s="344">
        <v>0.77613335410500073</v>
      </c>
      <c r="O99" s="344">
        <v>0.59334006054490418</v>
      </c>
      <c r="P99" s="344">
        <v>0.80993520518358531</v>
      </c>
      <c r="Q99" s="344">
        <v>0.66231086657496563</v>
      </c>
      <c r="R99" s="344">
        <v>0.79629629629629628</v>
      </c>
      <c r="S99" s="344">
        <v>0.875</v>
      </c>
      <c r="T99" s="344">
        <v>0.83163265306122447</v>
      </c>
      <c r="U99" s="344"/>
      <c r="V99" s="344"/>
      <c r="W99" s="344"/>
      <c r="X99" s="345">
        <v>0.75862612257759576</v>
      </c>
      <c r="Y99" s="345">
        <v>0.81253170979198375</v>
      </c>
      <c r="Z99" s="345">
        <v>0.77927884148119353</v>
      </c>
    </row>
    <row r="100" spans="2:26" hidden="1" outlineLevel="1" x14ac:dyDescent="0.25">
      <c r="B100" s="304">
        <v>42370</v>
      </c>
      <c r="C100" s="344"/>
      <c r="D100" s="344"/>
      <c r="E100" s="344"/>
      <c r="F100" s="344"/>
      <c r="G100" s="344"/>
      <c r="H100" s="344"/>
      <c r="I100" s="344">
        <v>0.81085918854415273</v>
      </c>
      <c r="J100" s="344">
        <v>0.84242424242424241</v>
      </c>
      <c r="K100" s="344">
        <v>0.81805619530170426</v>
      </c>
      <c r="L100" s="344">
        <v>0.71681664791901012</v>
      </c>
      <c r="M100" s="344">
        <v>0.78166102968808715</v>
      </c>
      <c r="N100" s="344">
        <v>0.74457133665755182</v>
      </c>
      <c r="O100" s="344">
        <v>0.60019646365422397</v>
      </c>
      <c r="P100" s="344">
        <v>0.79002079002079006</v>
      </c>
      <c r="Q100" s="344">
        <v>0.66110740493662445</v>
      </c>
      <c r="R100" s="344">
        <v>0.82758620689655171</v>
      </c>
      <c r="S100" s="344">
        <v>0.82242990654205606</v>
      </c>
      <c r="T100" s="344">
        <v>0.82511210762331844</v>
      </c>
      <c r="U100" s="344"/>
      <c r="V100" s="344"/>
      <c r="W100" s="344"/>
      <c r="X100" s="345">
        <v>0.72494502042098652</v>
      </c>
      <c r="Y100" s="345">
        <v>0.79193376068376065</v>
      </c>
      <c r="Z100" s="345">
        <v>0.74975272007912952</v>
      </c>
    </row>
    <row r="101" spans="2:26" hidden="1" outlineLevel="1" x14ac:dyDescent="0.25">
      <c r="B101" s="304">
        <v>42401</v>
      </c>
      <c r="C101" s="344"/>
      <c r="D101" s="344"/>
      <c r="E101" s="344"/>
      <c r="F101" s="344"/>
      <c r="G101" s="344"/>
      <c r="H101" s="344"/>
      <c r="I101" s="344">
        <v>0.78123167155425222</v>
      </c>
      <c r="J101" s="344">
        <v>0.85964912280701755</v>
      </c>
      <c r="K101" s="344">
        <v>0.79936880072137062</v>
      </c>
      <c r="L101" s="344">
        <v>0.72315096251266464</v>
      </c>
      <c r="M101" s="344">
        <v>0.7661516853932584</v>
      </c>
      <c r="N101" s="344">
        <v>0.74117127722189524</v>
      </c>
      <c r="O101" s="344">
        <v>0.57260556127703399</v>
      </c>
      <c r="P101" s="344">
        <v>0.77030162412993042</v>
      </c>
      <c r="Q101" s="344">
        <v>0.63338088445078455</v>
      </c>
      <c r="R101" s="344">
        <v>0.84552845528455289</v>
      </c>
      <c r="S101" s="344">
        <v>0.88043478260869568</v>
      </c>
      <c r="T101" s="344">
        <v>0.86046511627906974</v>
      </c>
      <c r="U101" s="344"/>
      <c r="V101" s="344"/>
      <c r="W101" s="344"/>
      <c r="X101" s="345">
        <v>0.71839336001185716</v>
      </c>
      <c r="Y101" s="345">
        <v>0.78166838311019571</v>
      </c>
      <c r="Z101" s="345">
        <v>0.74151067632395828</v>
      </c>
    </row>
    <row r="102" spans="2:26" hidden="1" outlineLevel="1" x14ac:dyDescent="0.25">
      <c r="B102" s="304">
        <v>42430</v>
      </c>
      <c r="C102" s="344"/>
      <c r="D102" s="344"/>
      <c r="E102" s="344"/>
      <c r="F102" s="344"/>
      <c r="G102" s="344"/>
      <c r="H102" s="344"/>
      <c r="I102" s="344">
        <v>0.79779614325068871</v>
      </c>
      <c r="J102" s="344">
        <v>0.87992495309568475</v>
      </c>
      <c r="K102" s="344">
        <v>0.81643952299829647</v>
      </c>
      <c r="L102" s="344">
        <v>0.76124305204648812</v>
      </c>
      <c r="M102" s="344">
        <v>0.80783519081391419</v>
      </c>
      <c r="N102" s="344">
        <v>0.78118225177048706</v>
      </c>
      <c r="O102" s="344">
        <v>0.61545293072824159</v>
      </c>
      <c r="P102" s="344">
        <v>0.81355932203389836</v>
      </c>
      <c r="Q102" s="344">
        <v>0.67396745932415525</v>
      </c>
      <c r="R102" s="344">
        <v>0.87387387387387383</v>
      </c>
      <c r="S102" s="344">
        <v>0.85416666666666663</v>
      </c>
      <c r="T102" s="344">
        <v>0.86473429951690817</v>
      </c>
      <c r="U102" s="344"/>
      <c r="V102" s="344"/>
      <c r="W102" s="344"/>
      <c r="X102" s="345">
        <v>0.74907275320970046</v>
      </c>
      <c r="Y102" s="345">
        <v>0.81905465288035451</v>
      </c>
      <c r="Z102" s="345">
        <v>0.77474710982658956</v>
      </c>
    </row>
    <row r="103" spans="2:26" hidden="1" outlineLevel="1" x14ac:dyDescent="0.25">
      <c r="B103" s="304">
        <v>42461</v>
      </c>
      <c r="C103" s="344"/>
      <c r="D103" s="344"/>
      <c r="E103" s="344"/>
      <c r="F103" s="344"/>
      <c r="G103" s="344"/>
      <c r="H103" s="344"/>
      <c r="I103" s="344">
        <v>0.8285949732179646</v>
      </c>
      <c r="J103" s="344">
        <v>0.8699763593380615</v>
      </c>
      <c r="K103" s="344">
        <v>0.83929117018026278</v>
      </c>
      <c r="L103" s="344">
        <v>0.75082508250825086</v>
      </c>
      <c r="M103" s="344">
        <v>0.80387334767906549</v>
      </c>
      <c r="N103" s="344">
        <v>0.77384923282188123</v>
      </c>
      <c r="O103" s="344">
        <v>0.54269449715370022</v>
      </c>
      <c r="P103" s="344">
        <v>0.80720338983050843</v>
      </c>
      <c r="Q103" s="344">
        <v>0.62450851900393189</v>
      </c>
      <c r="R103" s="344">
        <v>0.83168316831683164</v>
      </c>
      <c r="S103" s="344">
        <v>0.83653846153846156</v>
      </c>
      <c r="T103" s="344">
        <v>0.8341463414634146</v>
      </c>
      <c r="U103" s="344"/>
      <c r="V103" s="344"/>
      <c r="W103" s="344"/>
      <c r="X103" s="345">
        <v>0.74795501022494892</v>
      </c>
      <c r="Y103" s="345">
        <v>0.81689839572192513</v>
      </c>
      <c r="Z103" s="345">
        <v>0.77374189935194815</v>
      </c>
    </row>
    <row r="104" spans="2:26" hidden="1" outlineLevel="1" x14ac:dyDescent="0.25">
      <c r="B104" s="304">
        <v>42491</v>
      </c>
      <c r="C104" s="344"/>
      <c r="D104" s="344"/>
      <c r="E104" s="344"/>
      <c r="F104" s="344"/>
      <c r="G104" s="344"/>
      <c r="H104" s="344"/>
      <c r="I104" s="344">
        <v>0.78237843042850264</v>
      </c>
      <c r="J104" s="344">
        <v>0.84558823529411764</v>
      </c>
      <c r="K104" s="344">
        <v>0.79796880667392089</v>
      </c>
      <c r="L104" s="344">
        <v>0.75016056518946694</v>
      </c>
      <c r="M104" s="344">
        <v>0.79202092871157614</v>
      </c>
      <c r="N104" s="344">
        <v>0.77090084251458202</v>
      </c>
      <c r="O104" s="344">
        <v>0.57716894977168953</v>
      </c>
      <c r="P104" s="344">
        <v>0.77500000000000002</v>
      </c>
      <c r="Q104" s="344">
        <v>0.6374603174603175</v>
      </c>
      <c r="R104" s="344">
        <v>0.85245901639344257</v>
      </c>
      <c r="S104" s="344">
        <v>0.92</v>
      </c>
      <c r="T104" s="344">
        <v>0.88288288288288286</v>
      </c>
      <c r="U104" s="344"/>
      <c r="V104" s="344"/>
      <c r="W104" s="344"/>
      <c r="X104" s="345">
        <v>0.73634651600753298</v>
      </c>
      <c r="Y104" s="345">
        <v>0.7990422438857534</v>
      </c>
      <c r="Z104" s="345">
        <v>0.76288734433825656</v>
      </c>
    </row>
    <row r="105" spans="2:26" hidden="1" outlineLevel="1" x14ac:dyDescent="0.25">
      <c r="B105" s="304">
        <v>42522</v>
      </c>
      <c r="C105" s="344"/>
      <c r="D105" s="344"/>
      <c r="E105" s="344"/>
      <c r="F105" s="344"/>
      <c r="G105" s="344"/>
      <c r="H105" s="344"/>
      <c r="I105" s="344">
        <v>0.77173913043478259</v>
      </c>
      <c r="J105" s="344">
        <v>0.87278582930756843</v>
      </c>
      <c r="K105" s="344">
        <v>0.79723689557090616</v>
      </c>
      <c r="L105" s="344">
        <v>0.74609274916730717</v>
      </c>
      <c r="M105" s="344">
        <v>0.76470588235294112</v>
      </c>
      <c r="N105" s="344">
        <v>0.75419560185185186</v>
      </c>
      <c r="O105" s="344">
        <v>0.56346749226006188</v>
      </c>
      <c r="P105" s="344">
        <v>0.7932489451476793</v>
      </c>
      <c r="Q105" s="344">
        <v>0.63894663894663895</v>
      </c>
      <c r="R105" s="344">
        <v>0.71084337349397586</v>
      </c>
      <c r="S105" s="344">
        <v>0.84444444444444444</v>
      </c>
      <c r="T105" s="344">
        <v>0.78034682080924855</v>
      </c>
      <c r="U105" s="344"/>
      <c r="V105" s="344"/>
      <c r="W105" s="344"/>
      <c r="X105" s="345">
        <v>0.72656364974245768</v>
      </c>
      <c r="Y105" s="345">
        <v>0.78564616118264186</v>
      </c>
      <c r="Z105" s="345">
        <v>0.74911274911274917</v>
      </c>
    </row>
    <row r="106" spans="2:26" hidden="1" outlineLevel="1" x14ac:dyDescent="0.25">
      <c r="B106" s="304">
        <v>42552</v>
      </c>
      <c r="C106" s="344"/>
      <c r="D106" s="344"/>
      <c r="E106" s="344"/>
      <c r="F106" s="344"/>
      <c r="G106" s="344"/>
      <c r="H106" s="344"/>
      <c r="I106" s="344">
        <v>0.76001979218208804</v>
      </c>
      <c r="J106" s="344">
        <v>0.86363636363636365</v>
      </c>
      <c r="K106" s="344">
        <v>0.78422449753507772</v>
      </c>
      <c r="L106" s="344">
        <v>0.77713129268909686</v>
      </c>
      <c r="M106" s="344">
        <v>0.79611330698287219</v>
      </c>
      <c r="N106" s="344">
        <v>0.78537702103305196</v>
      </c>
      <c r="O106" s="344">
        <v>0.60495049504950493</v>
      </c>
      <c r="P106" s="344">
        <v>0.81037924151696605</v>
      </c>
      <c r="Q106" s="344">
        <v>0.67306419589675714</v>
      </c>
      <c r="R106" s="344">
        <v>0.87368421052631584</v>
      </c>
      <c r="S106" s="344">
        <v>0.90291262135922334</v>
      </c>
      <c r="T106" s="344">
        <v>0.88888888888888884</v>
      </c>
      <c r="U106" s="344"/>
      <c r="V106" s="344"/>
      <c r="W106" s="344"/>
      <c r="X106" s="345">
        <v>0.74897584404576922</v>
      </c>
      <c r="Y106" s="345">
        <v>0.81015037593984962</v>
      </c>
      <c r="Z106" s="345">
        <v>0.77194530216144686</v>
      </c>
    </row>
    <row r="107" spans="2:26" hidden="1" outlineLevel="1" x14ac:dyDescent="0.25">
      <c r="B107" s="304">
        <v>42583</v>
      </c>
      <c r="C107" s="344"/>
      <c r="D107" s="344"/>
      <c r="E107" s="344"/>
      <c r="F107" s="344"/>
      <c r="G107" s="344"/>
      <c r="H107" s="344"/>
      <c r="I107" s="344">
        <v>0.75812274368231047</v>
      </c>
      <c r="J107" s="344">
        <v>0.84078212290502796</v>
      </c>
      <c r="K107" s="344">
        <v>0.77830832196452937</v>
      </c>
      <c r="L107" s="344">
        <v>0.76504128981517894</v>
      </c>
      <c r="M107" s="344">
        <v>0.78063190341638844</v>
      </c>
      <c r="N107" s="344">
        <v>0.77180086869361841</v>
      </c>
      <c r="O107" s="344">
        <v>0.54153354632587858</v>
      </c>
      <c r="P107" s="344">
        <v>0.82203389830508478</v>
      </c>
      <c r="Q107" s="344">
        <v>0.63137893593919647</v>
      </c>
      <c r="R107" s="344">
        <v>0.82442748091603058</v>
      </c>
      <c r="S107" s="344">
        <v>0.84955752212389379</v>
      </c>
      <c r="T107" s="344">
        <v>0.83606557377049184</v>
      </c>
      <c r="U107" s="344"/>
      <c r="V107" s="344"/>
      <c r="W107" s="344"/>
      <c r="X107" s="345">
        <v>0.73195164075993091</v>
      </c>
      <c r="Y107" s="345">
        <v>0.79480421686746983</v>
      </c>
      <c r="Z107" s="345">
        <v>0.75580481531756805</v>
      </c>
    </row>
    <row r="108" spans="2:26" hidden="1" outlineLevel="1" x14ac:dyDescent="0.25">
      <c r="B108" s="304">
        <v>42614</v>
      </c>
      <c r="C108" s="344"/>
      <c r="D108" s="344"/>
      <c r="E108" s="344"/>
      <c r="F108" s="344"/>
      <c r="G108" s="344"/>
      <c r="H108" s="344"/>
      <c r="I108" s="344">
        <v>0.81782566111655242</v>
      </c>
      <c r="J108" s="344">
        <v>0.88350983358547652</v>
      </c>
      <c r="K108" s="344">
        <v>0.83388827229004814</v>
      </c>
      <c r="L108" s="344">
        <v>0.78475730287722378</v>
      </c>
      <c r="M108" s="344">
        <v>0.78744693753790174</v>
      </c>
      <c r="N108" s="344">
        <v>0.78588714813399563</v>
      </c>
      <c r="O108" s="344">
        <v>0.57339449541284404</v>
      </c>
      <c r="P108" s="344">
        <v>0.81695568400770713</v>
      </c>
      <c r="Q108" s="344">
        <v>0.65195773772529519</v>
      </c>
      <c r="R108" s="344">
        <v>0.82727272727272727</v>
      </c>
      <c r="S108" s="344">
        <v>0.94174757281553401</v>
      </c>
      <c r="T108" s="344">
        <v>0.88262910798122063</v>
      </c>
      <c r="U108" s="344"/>
      <c r="V108" s="344"/>
      <c r="W108" s="344"/>
      <c r="X108" s="345">
        <v>0.76446440025657469</v>
      </c>
      <c r="Y108" s="345">
        <v>0.80812049770792405</v>
      </c>
      <c r="Z108" s="345">
        <v>0.78062378797672916</v>
      </c>
    </row>
    <row r="109" spans="2:26" hidden="1" outlineLevel="1" x14ac:dyDescent="0.25">
      <c r="B109" s="304">
        <v>42644</v>
      </c>
      <c r="C109" s="344"/>
      <c r="D109" s="344"/>
      <c r="E109" s="344"/>
      <c r="F109" s="344"/>
      <c r="G109" s="344"/>
      <c r="H109" s="344"/>
      <c r="I109" s="344">
        <v>0.82300884955752207</v>
      </c>
      <c r="J109" s="344">
        <v>0.88028169014084512</v>
      </c>
      <c r="K109" s="344">
        <v>0.83738400353513032</v>
      </c>
      <c r="L109" s="344">
        <v>0.78309203722854193</v>
      </c>
      <c r="M109" s="344">
        <v>0.82822523164647188</v>
      </c>
      <c r="N109" s="344">
        <v>0.80206772550194783</v>
      </c>
      <c r="O109" s="344">
        <v>0.61366181410974241</v>
      </c>
      <c r="P109" s="344">
        <v>0.83758700696055688</v>
      </c>
      <c r="Q109" s="344">
        <v>0.68655589123867067</v>
      </c>
      <c r="R109" s="344">
        <v>0.87619047619047619</v>
      </c>
      <c r="S109" s="344">
        <v>0.91818181818181821</v>
      </c>
      <c r="T109" s="344">
        <v>0.89767441860465114</v>
      </c>
      <c r="U109" s="344"/>
      <c r="V109" s="344"/>
      <c r="W109" s="344"/>
      <c r="X109" s="345">
        <v>0.7718335619570188</v>
      </c>
      <c r="Y109" s="345">
        <v>0.83933588761174971</v>
      </c>
      <c r="Z109" s="345">
        <v>0.79705994654448264</v>
      </c>
    </row>
    <row r="110" spans="2:26" hidden="1" outlineLevel="1" x14ac:dyDescent="0.25">
      <c r="B110" s="304">
        <v>42675</v>
      </c>
      <c r="C110" s="344"/>
      <c r="D110" s="344"/>
      <c r="E110" s="344"/>
      <c r="F110" s="344"/>
      <c r="G110" s="344"/>
      <c r="H110" s="344"/>
      <c r="I110" s="344">
        <v>0.83743315508021388</v>
      </c>
      <c r="J110" s="344">
        <v>0.88747731397459162</v>
      </c>
      <c r="K110" s="344">
        <v>0.84882280049566294</v>
      </c>
      <c r="L110" s="344">
        <v>0.813971340839304</v>
      </c>
      <c r="M110" s="344">
        <v>0.82079488999290273</v>
      </c>
      <c r="N110" s="344">
        <v>0.81683021112102294</v>
      </c>
      <c r="O110" s="344">
        <v>0.60869565217391308</v>
      </c>
      <c r="P110" s="344">
        <v>0.83098591549295775</v>
      </c>
      <c r="Q110" s="344">
        <v>0.68421052631578949</v>
      </c>
      <c r="R110" s="344">
        <v>0.93693693693693691</v>
      </c>
      <c r="S110" s="344">
        <v>0.97938144329896903</v>
      </c>
      <c r="T110" s="344">
        <v>0.95673076923076927</v>
      </c>
      <c r="U110" s="344"/>
      <c r="V110" s="344"/>
      <c r="W110" s="344"/>
      <c r="X110" s="345">
        <v>0.7972309066547566</v>
      </c>
      <c r="Y110" s="345">
        <v>0.83530318602261044</v>
      </c>
      <c r="Z110" s="345">
        <v>0.81119803940050905</v>
      </c>
    </row>
    <row r="111" spans="2:26" collapsed="1" x14ac:dyDescent="0.25">
      <c r="B111" s="304">
        <v>42705</v>
      </c>
      <c r="C111" s="344"/>
      <c r="D111" s="344"/>
      <c r="E111" s="344"/>
      <c r="F111" s="344"/>
      <c r="G111" s="344"/>
      <c r="H111" s="344"/>
      <c r="I111" s="344">
        <v>0.82705946535733765</v>
      </c>
      <c r="J111" s="344">
        <v>0.87692307692307692</v>
      </c>
      <c r="K111" s="344">
        <v>0.83912324234904878</v>
      </c>
      <c r="L111" s="344">
        <v>0.778740157480315</v>
      </c>
      <c r="M111" s="344">
        <v>0.78456014362657089</v>
      </c>
      <c r="N111" s="344">
        <v>0.78119787717968159</v>
      </c>
      <c r="O111" s="344">
        <v>0.59959959959959963</v>
      </c>
      <c r="P111" s="344">
        <v>0.8137044967880086</v>
      </c>
      <c r="Q111" s="344">
        <v>0.66780354706684852</v>
      </c>
      <c r="R111" s="344">
        <v>0.83620689655172409</v>
      </c>
      <c r="S111" s="344">
        <v>0.84732824427480913</v>
      </c>
      <c r="T111" s="344">
        <v>0.84210526315789469</v>
      </c>
      <c r="U111" s="344"/>
      <c r="V111" s="344"/>
      <c r="W111" s="344"/>
      <c r="X111" s="345">
        <v>0.76635099141757912</v>
      </c>
      <c r="Y111" s="345">
        <v>0.803679435483871</v>
      </c>
      <c r="Z111" s="345">
        <v>0.7801603580085773</v>
      </c>
    </row>
    <row r="112" spans="2:26" hidden="1" outlineLevel="1" x14ac:dyDescent="0.25">
      <c r="B112" s="304">
        <v>42736</v>
      </c>
      <c r="C112" s="344"/>
      <c r="D112" s="344"/>
      <c r="E112" s="344"/>
      <c r="F112" s="344"/>
      <c r="G112" s="344"/>
      <c r="H112" s="344"/>
      <c r="I112" s="344">
        <v>0.8419711129991504</v>
      </c>
      <c r="J112" s="344">
        <v>0.87747035573122534</v>
      </c>
      <c r="K112" s="344">
        <v>0.85062640539672341</v>
      </c>
      <c r="L112" s="344">
        <v>0.78445229681978801</v>
      </c>
      <c r="M112" s="344">
        <v>0.80662020905923348</v>
      </c>
      <c r="N112" s="344">
        <v>0.79402910185649778</v>
      </c>
      <c r="O112" s="344">
        <v>0.58483033932135731</v>
      </c>
      <c r="P112" s="344">
        <v>0.81673306772908372</v>
      </c>
      <c r="Q112" s="344">
        <v>0.66223404255319152</v>
      </c>
      <c r="R112" s="344">
        <v>0.82638888888888884</v>
      </c>
      <c r="S112" s="344">
        <v>0.85483870967741937</v>
      </c>
      <c r="T112" s="344">
        <v>0.83955223880597019</v>
      </c>
      <c r="U112" s="344"/>
      <c r="V112" s="344"/>
      <c r="W112" s="344"/>
      <c r="X112" s="345">
        <v>0.77715495764823117</v>
      </c>
      <c r="Y112" s="345">
        <v>0.82004555808656032</v>
      </c>
      <c r="Z112" s="345">
        <v>0.79326436960410673</v>
      </c>
    </row>
    <row r="113" spans="2:26" hidden="1" outlineLevel="1" x14ac:dyDescent="0.25">
      <c r="B113" s="304">
        <v>42767</v>
      </c>
      <c r="C113" s="344"/>
      <c r="D113" s="344"/>
      <c r="E113" s="344"/>
      <c r="F113" s="344"/>
      <c r="G113" s="344"/>
      <c r="H113" s="344"/>
      <c r="I113" s="344">
        <v>0.79528883903533376</v>
      </c>
      <c r="J113" s="344">
        <v>0.85982905982905988</v>
      </c>
      <c r="K113" s="344">
        <v>0.81123310810810811</v>
      </c>
      <c r="L113" s="344">
        <v>0.77532499386804021</v>
      </c>
      <c r="M113" s="344">
        <v>0.7889965614254455</v>
      </c>
      <c r="N113" s="344">
        <v>0.78133589884551946</v>
      </c>
      <c r="O113" s="344">
        <v>0.5787234042553191</v>
      </c>
      <c r="P113" s="344">
        <v>0.84331797235023043</v>
      </c>
      <c r="Q113" s="344">
        <v>0.66229985443959238</v>
      </c>
      <c r="R113" s="344">
        <v>0.88118811881188119</v>
      </c>
      <c r="S113" s="344">
        <v>0.85585585585585588</v>
      </c>
      <c r="T113" s="344">
        <v>0.86792452830188682</v>
      </c>
      <c r="U113" s="344"/>
      <c r="V113" s="344"/>
      <c r="W113" s="344"/>
      <c r="X113" s="345">
        <v>0.75525286190407193</v>
      </c>
      <c r="Y113" s="345">
        <v>0.80572880572880567</v>
      </c>
      <c r="Z113" s="345">
        <v>0.77471059661620656</v>
      </c>
    </row>
    <row r="114" spans="2:26" hidden="1" outlineLevel="1" x14ac:dyDescent="0.25">
      <c r="B114" s="304">
        <v>42795</v>
      </c>
      <c r="C114" s="344"/>
      <c r="D114" s="344"/>
      <c r="E114" s="344"/>
      <c r="F114" s="344"/>
      <c r="G114" s="344"/>
      <c r="H114" s="344"/>
      <c r="I114" s="344">
        <v>0.75551684088269455</v>
      </c>
      <c r="J114" s="344">
        <v>0.84832451499118167</v>
      </c>
      <c r="K114" s="344">
        <v>0.77850589777195278</v>
      </c>
      <c r="L114" s="344">
        <v>0.75719750352325343</v>
      </c>
      <c r="M114" s="344">
        <v>0.81324536919563561</v>
      </c>
      <c r="N114" s="344">
        <v>0.78199371351594071</v>
      </c>
      <c r="O114" s="344">
        <v>0.58175842235004105</v>
      </c>
      <c r="P114" s="344">
        <v>0.81343283582089554</v>
      </c>
      <c r="Q114" s="344">
        <v>0.65259555048488305</v>
      </c>
      <c r="R114" s="344">
        <v>0.84615384615384615</v>
      </c>
      <c r="S114" s="344">
        <v>0.89719626168224298</v>
      </c>
      <c r="T114" s="344">
        <v>0.8705357142857143</v>
      </c>
      <c r="U114" s="344"/>
      <c r="V114" s="344"/>
      <c r="W114" s="344"/>
      <c r="X114" s="345">
        <v>0.73152187461049478</v>
      </c>
      <c r="Y114" s="345">
        <v>0.81887012230634826</v>
      </c>
      <c r="Z114" s="345">
        <v>0.76567481402763016</v>
      </c>
    </row>
    <row r="115" spans="2:26" hidden="1" outlineLevel="1" x14ac:dyDescent="0.25">
      <c r="B115" s="304">
        <v>42826</v>
      </c>
      <c r="C115" s="344"/>
      <c r="D115" s="344"/>
      <c r="E115" s="344"/>
      <c r="F115" s="344"/>
      <c r="G115" s="344"/>
      <c r="H115" s="344"/>
      <c r="I115" s="344">
        <v>0.80160550458715596</v>
      </c>
      <c r="J115" s="344">
        <v>0.85185185185185186</v>
      </c>
      <c r="K115" s="344">
        <v>0.81393336218087409</v>
      </c>
      <c r="L115" s="344">
        <v>0.77017678708685622</v>
      </c>
      <c r="M115" s="344">
        <v>0.8093247588424437</v>
      </c>
      <c r="N115" s="344">
        <v>0.78753743048623981</v>
      </c>
      <c r="O115" s="344">
        <v>0.5856410256410256</v>
      </c>
      <c r="P115" s="344">
        <v>0.82086167800453513</v>
      </c>
      <c r="Q115" s="344">
        <v>0.65889830508474578</v>
      </c>
      <c r="R115" s="344">
        <v>0.87850467289719625</v>
      </c>
      <c r="S115" s="344">
        <v>0.93333333333333335</v>
      </c>
      <c r="T115" s="344">
        <v>0.90566037735849059</v>
      </c>
      <c r="U115" s="344"/>
      <c r="V115" s="344"/>
      <c r="W115" s="344"/>
      <c r="X115" s="345">
        <v>0.75330658344479118</v>
      </c>
      <c r="Y115" s="345">
        <v>0.81932275633435947</v>
      </c>
      <c r="Z115" s="345">
        <v>0.77876186997808616</v>
      </c>
    </row>
    <row r="116" spans="2:26" hidden="1" outlineLevel="1" x14ac:dyDescent="0.25">
      <c r="B116" s="304">
        <v>42856</v>
      </c>
      <c r="C116" s="344"/>
      <c r="D116" s="344"/>
      <c r="E116" s="344"/>
      <c r="F116" s="344"/>
      <c r="G116" s="344"/>
      <c r="H116" s="344"/>
      <c r="I116" s="344">
        <v>0.81189083820662766</v>
      </c>
      <c r="J116" s="344">
        <v>0.85606060606060608</v>
      </c>
      <c r="K116" s="344">
        <v>0.82264011799410031</v>
      </c>
      <c r="L116" s="344">
        <v>0.76567255021302494</v>
      </c>
      <c r="M116" s="344">
        <v>0.80871136089923723</v>
      </c>
      <c r="N116" s="344">
        <v>0.78730703259005141</v>
      </c>
      <c r="O116" s="344">
        <v>0.552491103202847</v>
      </c>
      <c r="P116" s="344">
        <v>0.8</v>
      </c>
      <c r="Q116" s="344">
        <v>0.62381253958201388</v>
      </c>
      <c r="R116" s="344">
        <v>0.82786885245901642</v>
      </c>
      <c r="S116" s="344">
        <v>0.89795918367346939</v>
      </c>
      <c r="T116" s="344">
        <v>0.86617100371747213</v>
      </c>
      <c r="U116" s="344"/>
      <c r="V116" s="344"/>
      <c r="W116" s="344"/>
      <c r="X116" s="345">
        <v>0.74899720432721528</v>
      </c>
      <c r="Y116" s="345">
        <v>0.81518257527226134</v>
      </c>
      <c r="Z116" s="345">
        <v>0.77755511022044088</v>
      </c>
    </row>
    <row r="117" spans="2:26" hidden="1" outlineLevel="1" x14ac:dyDescent="0.25">
      <c r="B117" s="304">
        <v>42887</v>
      </c>
      <c r="C117" s="344"/>
      <c r="D117" s="344"/>
      <c r="E117" s="344"/>
      <c r="F117" s="344"/>
      <c r="G117" s="344"/>
      <c r="H117" s="344"/>
      <c r="I117" s="344">
        <v>0.80400649702219817</v>
      </c>
      <c r="J117" s="344">
        <v>0.84908789386401329</v>
      </c>
      <c r="K117" s="344">
        <v>0.81510204081632653</v>
      </c>
      <c r="L117" s="344">
        <v>0.75076058974959048</v>
      </c>
      <c r="M117" s="344">
        <v>0.7880508245471749</v>
      </c>
      <c r="N117" s="344">
        <v>0.76806322127446058</v>
      </c>
      <c r="O117" s="344">
        <v>0.53131313131313129</v>
      </c>
      <c r="P117" s="344">
        <v>0.80497925311203322</v>
      </c>
      <c r="Q117" s="344">
        <v>0.62092391304347827</v>
      </c>
      <c r="R117" s="344">
        <v>0.79047619047619044</v>
      </c>
      <c r="S117" s="344">
        <v>0.96460176991150437</v>
      </c>
      <c r="T117" s="344">
        <v>0.88073394495412849</v>
      </c>
      <c r="U117" s="344"/>
      <c r="V117" s="344"/>
      <c r="W117" s="344"/>
      <c r="X117" s="345">
        <v>0.73485793485793482</v>
      </c>
      <c r="Y117" s="345">
        <v>0.80130692260567693</v>
      </c>
      <c r="Z117" s="345">
        <v>0.76172391017173047</v>
      </c>
    </row>
    <row r="118" spans="2:26" hidden="1" outlineLevel="1" x14ac:dyDescent="0.25">
      <c r="B118" s="304">
        <v>42917</v>
      </c>
      <c r="C118" s="344"/>
      <c r="D118" s="344"/>
      <c r="E118" s="344"/>
      <c r="F118" s="344"/>
      <c r="G118" s="344"/>
      <c r="H118" s="344"/>
      <c r="I118" s="344">
        <v>0.79235237173281703</v>
      </c>
      <c r="J118" s="344">
        <v>0.84499314128943759</v>
      </c>
      <c r="K118" s="344">
        <v>0.80608228980322005</v>
      </c>
      <c r="L118" s="344">
        <v>0.76846829998129795</v>
      </c>
      <c r="M118" s="344">
        <v>0.81299448573483579</v>
      </c>
      <c r="N118" s="344">
        <v>0.78798066820760659</v>
      </c>
      <c r="O118" s="344">
        <v>0.5691347011596789</v>
      </c>
      <c r="P118" s="344">
        <v>0.8176352705410822</v>
      </c>
      <c r="Q118" s="344">
        <v>0.64567901234567904</v>
      </c>
      <c r="R118" s="344">
        <v>0.8571428571428571</v>
      </c>
      <c r="S118" s="344">
        <v>0.90476190476190477</v>
      </c>
      <c r="T118" s="344">
        <v>0.87755102040816324</v>
      </c>
      <c r="U118" s="344"/>
      <c r="V118" s="344"/>
      <c r="W118" s="344"/>
      <c r="X118" s="345">
        <v>0.75017237416685822</v>
      </c>
      <c r="Y118" s="345">
        <v>0.81972850678733034</v>
      </c>
      <c r="Z118" s="345">
        <v>0.77718422717368385</v>
      </c>
    </row>
    <row r="119" spans="2:26" hidden="1" outlineLevel="1" x14ac:dyDescent="0.25">
      <c r="B119" s="304">
        <v>42948</v>
      </c>
      <c r="C119" s="344"/>
      <c r="D119" s="344"/>
      <c r="E119" s="344"/>
      <c r="F119" s="344"/>
      <c r="G119" s="344"/>
      <c r="H119" s="344"/>
      <c r="I119" s="344">
        <v>0.77088830255057172</v>
      </c>
      <c r="J119" s="344">
        <v>0.85148514851485146</v>
      </c>
      <c r="K119" s="344">
        <v>0.79000335457900028</v>
      </c>
      <c r="L119" s="344">
        <v>0.7595461095100865</v>
      </c>
      <c r="M119" s="344">
        <v>0.78973774230330673</v>
      </c>
      <c r="N119" s="344">
        <v>0.7728690751735936</v>
      </c>
      <c r="O119" s="344">
        <v>0.59965337954939346</v>
      </c>
      <c r="P119" s="344">
        <v>0.79223300970873789</v>
      </c>
      <c r="Q119" s="344">
        <v>0.65907729179149188</v>
      </c>
      <c r="R119" s="344">
        <v>0.88111888111888115</v>
      </c>
      <c r="S119" s="344">
        <v>0.90740740740740744</v>
      </c>
      <c r="T119" s="344">
        <v>0.89508196721311473</v>
      </c>
      <c r="U119" s="344"/>
      <c r="V119" s="344"/>
      <c r="W119" s="344"/>
      <c r="X119" s="345">
        <v>0.74405349117614816</v>
      </c>
      <c r="Y119" s="345">
        <v>0.80083203328133123</v>
      </c>
      <c r="Z119" s="345">
        <v>0.76604888530754767</v>
      </c>
    </row>
    <row r="120" spans="2:26" hidden="1" outlineLevel="1" x14ac:dyDescent="0.25">
      <c r="B120" s="304">
        <v>42979</v>
      </c>
      <c r="C120" s="344"/>
      <c r="D120" s="344"/>
      <c r="E120" s="344"/>
      <c r="F120" s="344"/>
      <c r="G120" s="344"/>
      <c r="H120" s="344"/>
      <c r="I120" s="344">
        <v>0.81040520260130067</v>
      </c>
      <c r="J120" s="344">
        <v>0.85351270553064273</v>
      </c>
      <c r="K120" s="344">
        <v>0.8212143928035982</v>
      </c>
      <c r="L120" s="344">
        <v>0.76357267950963226</v>
      </c>
      <c r="M120" s="344">
        <v>0.80048926338678994</v>
      </c>
      <c r="N120" s="344">
        <v>0.78004122711288959</v>
      </c>
      <c r="O120" s="344">
        <v>0.59259259259259256</v>
      </c>
      <c r="P120" s="344">
        <v>0.81111111111111112</v>
      </c>
      <c r="Q120" s="344">
        <v>0.66447368421052633</v>
      </c>
      <c r="R120" s="344">
        <v>0.875</v>
      </c>
      <c r="S120" s="344">
        <v>0.95121951219512191</v>
      </c>
      <c r="T120" s="344">
        <v>0.91119691119691115</v>
      </c>
      <c r="U120" s="344"/>
      <c r="V120" s="344"/>
      <c r="W120" s="344"/>
      <c r="X120" s="345">
        <v>0.75724970476315445</v>
      </c>
      <c r="Y120" s="345">
        <v>0.812436496647023</v>
      </c>
      <c r="Z120" s="345">
        <v>0.7789028863020252</v>
      </c>
    </row>
    <row r="121" spans="2:26" hidden="1" outlineLevel="1" x14ac:dyDescent="0.25">
      <c r="B121" s="304">
        <v>43009</v>
      </c>
      <c r="C121" s="344"/>
      <c r="D121" s="344"/>
      <c r="E121" s="344"/>
      <c r="F121" s="344"/>
      <c r="G121" s="344"/>
      <c r="H121" s="344"/>
      <c r="I121" s="344">
        <v>0.79529914529914525</v>
      </c>
      <c r="J121" s="344">
        <v>0.84963503649635042</v>
      </c>
      <c r="K121" s="344">
        <v>0.80760330578512396</v>
      </c>
      <c r="L121" s="344">
        <v>0.79345603271983645</v>
      </c>
      <c r="M121" s="344">
        <v>0.81621243885394834</v>
      </c>
      <c r="N121" s="344">
        <v>0.80355665839536805</v>
      </c>
      <c r="O121" s="344">
        <v>0.54485981308411213</v>
      </c>
      <c r="P121" s="344">
        <v>0.783203125</v>
      </c>
      <c r="Q121" s="344">
        <v>0.62199747155499363</v>
      </c>
      <c r="R121" s="344">
        <v>0.84756097560975607</v>
      </c>
      <c r="S121" s="344">
        <v>0.91836734693877553</v>
      </c>
      <c r="T121" s="344">
        <v>0.88102893890675238</v>
      </c>
      <c r="U121" s="344"/>
      <c r="V121" s="344"/>
      <c r="W121" s="344"/>
      <c r="X121" s="345">
        <v>0.76521836256003573</v>
      </c>
      <c r="Y121" s="345">
        <v>0.81993968422919994</v>
      </c>
      <c r="Z121" s="345">
        <v>0.7863605209047293</v>
      </c>
    </row>
    <row r="122" spans="2:26" hidden="1" outlineLevel="1" x14ac:dyDescent="0.25">
      <c r="B122" s="304">
        <v>43040</v>
      </c>
      <c r="C122" s="344"/>
      <c r="D122" s="344"/>
      <c r="E122" s="344"/>
      <c r="F122" s="344"/>
      <c r="G122" s="344"/>
      <c r="H122" s="344"/>
      <c r="I122" s="344">
        <v>0.79791765262659731</v>
      </c>
      <c r="J122" s="344">
        <v>0.863849765258216</v>
      </c>
      <c r="K122" s="344">
        <v>0.81322674418604646</v>
      </c>
      <c r="L122" s="344">
        <v>0.7852388410336727</v>
      </c>
      <c r="M122" s="344">
        <v>0.83240223463687146</v>
      </c>
      <c r="N122" s="344">
        <v>0.80577050630112756</v>
      </c>
      <c r="O122" s="344">
        <v>0.59475982532751093</v>
      </c>
      <c r="P122" s="344">
        <v>0.82239382239382242</v>
      </c>
      <c r="Q122" s="344">
        <v>0.66566446181599515</v>
      </c>
      <c r="R122" s="344">
        <v>0.85333333333333339</v>
      </c>
      <c r="S122" s="344">
        <v>0.96385542168674698</v>
      </c>
      <c r="T122" s="344">
        <v>0.91139240506329111</v>
      </c>
      <c r="U122" s="344"/>
      <c r="V122" s="344"/>
      <c r="W122" s="344"/>
      <c r="X122" s="345">
        <v>0.76397369657116021</v>
      </c>
      <c r="Y122" s="345">
        <v>0.83938414750047519</v>
      </c>
      <c r="Z122" s="345">
        <v>0.79277055962836607</v>
      </c>
    </row>
    <row r="123" spans="2:26" collapsed="1" x14ac:dyDescent="0.25">
      <c r="B123" s="304">
        <v>43070</v>
      </c>
      <c r="C123" s="344"/>
      <c r="D123" s="344"/>
      <c r="E123" s="344"/>
      <c r="F123" s="344"/>
      <c r="G123" s="344"/>
      <c r="H123" s="344"/>
      <c r="I123" s="344">
        <v>0.8970917225950783</v>
      </c>
      <c r="J123" s="344">
        <v>0.94389438943894388</v>
      </c>
      <c r="K123" s="344">
        <v>0.90893901420217205</v>
      </c>
      <c r="L123" s="344">
        <v>0.87653157398680492</v>
      </c>
      <c r="M123" s="344">
        <v>0.9213483146067416</v>
      </c>
      <c r="N123" s="344">
        <v>0.89725072849360188</v>
      </c>
      <c r="O123" s="344">
        <v>0.6194196428571429</v>
      </c>
      <c r="P123" s="344">
        <v>0.83631713554987208</v>
      </c>
      <c r="Q123" s="344">
        <v>0.68531468531468531</v>
      </c>
      <c r="R123" s="344">
        <v>0.89629629629629626</v>
      </c>
      <c r="S123" s="344">
        <v>0.93571428571428572</v>
      </c>
      <c r="T123" s="344">
        <v>0.91636363636363638</v>
      </c>
      <c r="U123" s="344"/>
      <c r="V123" s="344"/>
      <c r="W123" s="344"/>
      <c r="X123" s="345">
        <v>0.84949738071640946</v>
      </c>
      <c r="Y123" s="345">
        <v>0.91767655662348513</v>
      </c>
      <c r="Z123" s="345">
        <v>0.87703603679635411</v>
      </c>
    </row>
    <row r="124" spans="2:26" hidden="1" outlineLevel="1" x14ac:dyDescent="0.25">
      <c r="B124" s="304">
        <v>43101</v>
      </c>
      <c r="C124" s="344"/>
      <c r="D124" s="344"/>
      <c r="E124" s="344"/>
      <c r="F124" s="344"/>
      <c r="G124" s="344"/>
      <c r="H124" s="344"/>
      <c r="I124" s="344">
        <v>0.89486317810849736</v>
      </c>
      <c r="J124" s="344">
        <v>0.94803149606299209</v>
      </c>
      <c r="K124" s="344">
        <v>0.9072847682119205</v>
      </c>
      <c r="L124" s="344">
        <v>0.90009410288582181</v>
      </c>
      <c r="M124" s="344">
        <v>0.93613902847571184</v>
      </c>
      <c r="N124" s="344">
        <v>0.91553084648493543</v>
      </c>
      <c r="O124" s="344">
        <v>0.57664974619289344</v>
      </c>
      <c r="P124" s="344">
        <v>0.81505376344086022</v>
      </c>
      <c r="Q124" s="344">
        <v>0.65310344827586209</v>
      </c>
      <c r="R124" s="344">
        <v>0.89268292682926831</v>
      </c>
      <c r="S124" s="344">
        <v>0.91794871794871791</v>
      </c>
      <c r="T124" s="344">
        <v>0.90500000000000003</v>
      </c>
      <c r="U124" s="344"/>
      <c r="V124" s="344"/>
      <c r="W124" s="344"/>
      <c r="X124" s="345">
        <v>0.86578920095346668</v>
      </c>
      <c r="Y124" s="345">
        <v>0.92752429583264706</v>
      </c>
      <c r="Z124" s="345">
        <v>0.88963104325699749</v>
      </c>
    </row>
    <row r="125" spans="2:26" hidden="1" outlineLevel="1" x14ac:dyDescent="0.25">
      <c r="B125" s="304">
        <v>43132</v>
      </c>
      <c r="C125" s="344"/>
      <c r="D125" s="344"/>
      <c r="E125" s="344"/>
      <c r="F125" s="344"/>
      <c r="G125" s="344"/>
      <c r="H125" s="344"/>
      <c r="I125" s="344">
        <v>0.90214244354371742</v>
      </c>
      <c r="J125" s="344">
        <v>0.96289752650176674</v>
      </c>
      <c r="K125" s="344">
        <v>0.91713911905800261</v>
      </c>
      <c r="L125" s="344">
        <v>0.91241770019905066</v>
      </c>
      <c r="M125" s="344">
        <v>0.93127909554422528</v>
      </c>
      <c r="N125" s="344">
        <v>0.92012316609309908</v>
      </c>
      <c r="O125" s="344">
        <v>0.53980099502487566</v>
      </c>
      <c r="P125" s="344">
        <v>0.81967213114754101</v>
      </c>
      <c r="Q125" s="344">
        <v>0.62735042735042734</v>
      </c>
      <c r="R125" s="344">
        <v>0.95928753180661575</v>
      </c>
      <c r="S125" s="344">
        <v>0.98816568047337283</v>
      </c>
      <c r="T125" s="344">
        <v>0.97264021887824892</v>
      </c>
      <c r="U125" s="344"/>
      <c r="V125" s="344"/>
      <c r="W125" s="344"/>
      <c r="X125" s="345">
        <v>0.88080380750925436</v>
      </c>
      <c r="Y125" s="345">
        <v>0.9306348382632762</v>
      </c>
      <c r="Z125" s="345">
        <v>0.8997112102914151</v>
      </c>
    </row>
    <row r="126" spans="2:26" hidden="1" outlineLevel="1" x14ac:dyDescent="0.25">
      <c r="B126" s="304">
        <v>43160</v>
      </c>
      <c r="C126" s="344"/>
      <c r="D126" s="344"/>
      <c r="E126" s="344"/>
      <c r="F126" s="344"/>
      <c r="G126" s="344"/>
      <c r="H126" s="344"/>
      <c r="I126" s="344">
        <v>0.87150837988826813</v>
      </c>
      <c r="J126" s="344">
        <v>0.94761171032357472</v>
      </c>
      <c r="K126" s="344">
        <v>0.89037433155080214</v>
      </c>
      <c r="L126" s="344">
        <v>0.90063826116957046</v>
      </c>
      <c r="M126" s="344">
        <v>0.91999127970350991</v>
      </c>
      <c r="N126" s="344">
        <v>0.90918721109399081</v>
      </c>
      <c r="O126" s="344">
        <v>0.57745098039215681</v>
      </c>
      <c r="P126" s="344">
        <v>0.79128440366972475</v>
      </c>
      <c r="Q126" s="344">
        <v>0.64148351648351654</v>
      </c>
      <c r="R126" s="344">
        <v>0.95474137931034486</v>
      </c>
      <c r="S126" s="344">
        <v>0.98030634573304154</v>
      </c>
      <c r="T126" s="344">
        <v>0.96742671009771986</v>
      </c>
      <c r="U126" s="344"/>
      <c r="V126" s="344"/>
      <c r="W126" s="344"/>
      <c r="X126" s="345">
        <v>0.86151351351351346</v>
      </c>
      <c r="Y126" s="345">
        <v>0.91825746451297108</v>
      </c>
      <c r="Z126" s="345">
        <v>0.88412770661291373</v>
      </c>
    </row>
    <row r="127" spans="2:26" hidden="1" outlineLevel="1" x14ac:dyDescent="0.25">
      <c r="B127" s="304">
        <v>43191</v>
      </c>
      <c r="C127" s="344"/>
      <c r="D127" s="344"/>
      <c r="E127" s="344"/>
      <c r="F127" s="344"/>
      <c r="G127" s="344"/>
      <c r="H127" s="344"/>
      <c r="I127" s="344">
        <v>0.89667519181585675</v>
      </c>
      <c r="J127" s="344">
        <v>0.94186046511627908</v>
      </c>
      <c r="K127" s="344">
        <v>0.90731325772389515</v>
      </c>
      <c r="L127" s="344">
        <v>0.88350066300435692</v>
      </c>
      <c r="M127" s="344">
        <v>0.93069528280795888</v>
      </c>
      <c r="N127" s="344">
        <v>0.90514766201804753</v>
      </c>
      <c r="O127" s="344">
        <v>0.56851311953352768</v>
      </c>
      <c r="P127" s="344">
        <v>0.81779661016949157</v>
      </c>
      <c r="Q127" s="344">
        <v>0.64690206528980676</v>
      </c>
      <c r="R127" s="344">
        <v>0.94392523364485981</v>
      </c>
      <c r="S127" s="344">
        <v>0.96332518337408313</v>
      </c>
      <c r="T127" s="344">
        <v>0.95340501792114696</v>
      </c>
      <c r="U127" s="344"/>
      <c r="V127" s="344"/>
      <c r="W127" s="344"/>
      <c r="X127" s="345">
        <v>0.85214589805545971</v>
      </c>
      <c r="Y127" s="345">
        <v>0.92511752854264606</v>
      </c>
      <c r="Z127" s="345">
        <v>0.88181880248515054</v>
      </c>
    </row>
    <row r="128" spans="2:26" hidden="1" outlineLevel="1" x14ac:dyDescent="0.25">
      <c r="B128" s="304">
        <v>43221</v>
      </c>
      <c r="C128" s="344"/>
      <c r="D128" s="344"/>
      <c r="E128" s="344"/>
      <c r="F128" s="344"/>
      <c r="G128" s="344"/>
      <c r="H128" s="344"/>
      <c r="I128" s="344">
        <v>0.88836104513064129</v>
      </c>
      <c r="J128" s="344">
        <v>0.91503267973856206</v>
      </c>
      <c r="K128" s="344">
        <v>0.89436878910563122</v>
      </c>
      <c r="L128" s="344">
        <v>0.87311601822642837</v>
      </c>
      <c r="M128" s="344">
        <v>0.9297278064401352</v>
      </c>
      <c r="N128" s="344">
        <v>0.90120949942614992</v>
      </c>
      <c r="O128" s="344">
        <v>0.61145833333333333</v>
      </c>
      <c r="P128" s="344">
        <v>0.82439024390243898</v>
      </c>
      <c r="Q128" s="344">
        <v>0.67518248175182483</v>
      </c>
      <c r="R128" s="344">
        <v>0.93675889328063244</v>
      </c>
      <c r="S128" s="344">
        <v>0.9375</v>
      </c>
      <c r="T128" s="344">
        <v>0.93716337522441651</v>
      </c>
      <c r="U128" s="344"/>
      <c r="V128" s="344"/>
      <c r="W128" s="344"/>
      <c r="X128" s="345">
        <v>0.85062056737588654</v>
      </c>
      <c r="Y128" s="345">
        <v>0.9225564992082913</v>
      </c>
      <c r="Z128" s="345">
        <v>0.88191096362156407</v>
      </c>
    </row>
    <row r="129" spans="2:26" hidden="1" outlineLevel="1" x14ac:dyDescent="0.25">
      <c r="B129" s="304">
        <v>43252</v>
      </c>
      <c r="C129" s="344"/>
      <c r="D129" s="344"/>
      <c r="E129" s="344"/>
      <c r="F129" s="344"/>
      <c r="G129" s="344"/>
      <c r="H129" s="344"/>
      <c r="I129" s="344">
        <v>0.88894681960375388</v>
      </c>
      <c r="J129" s="344">
        <v>0.93264248704663211</v>
      </c>
      <c r="K129" s="344">
        <v>0.89907889467360835</v>
      </c>
      <c r="L129" s="344">
        <v>0.88130112231310631</v>
      </c>
      <c r="M129" s="344">
        <v>0.9316089434458571</v>
      </c>
      <c r="N129" s="344">
        <v>0.90467461044912922</v>
      </c>
      <c r="O129" s="344">
        <v>0.56908904810644834</v>
      </c>
      <c r="P129" s="344">
        <v>0.81481481481481477</v>
      </c>
      <c r="Q129" s="344">
        <v>0.64442867281760119</v>
      </c>
      <c r="R129" s="344">
        <v>0.90717299578059074</v>
      </c>
      <c r="S129" s="344">
        <v>0.965034965034965</v>
      </c>
      <c r="T129" s="344">
        <v>0.93881453154875716</v>
      </c>
      <c r="U129" s="344"/>
      <c r="V129" s="344"/>
      <c r="W129" s="344"/>
      <c r="X129" s="345">
        <v>0.84741923948027176</v>
      </c>
      <c r="Y129" s="345">
        <v>0.92473118279569888</v>
      </c>
      <c r="Z129" s="345">
        <v>0.87921111734980351</v>
      </c>
    </row>
    <row r="130" spans="2:26" hidden="1" outlineLevel="1" x14ac:dyDescent="0.25">
      <c r="B130" s="304">
        <v>43282</v>
      </c>
      <c r="C130" s="344"/>
      <c r="D130" s="344"/>
      <c r="E130" s="344"/>
      <c r="F130" s="344"/>
      <c r="G130" s="344"/>
      <c r="H130" s="344"/>
      <c r="I130" s="344">
        <v>0.88762446657183502</v>
      </c>
      <c r="J130" s="344">
        <v>0.93498452012383904</v>
      </c>
      <c r="K130" s="344">
        <v>0.89872958257713254</v>
      </c>
      <c r="L130" s="344">
        <v>0.88462897526501771</v>
      </c>
      <c r="M130" s="344">
        <v>0.93077900084674003</v>
      </c>
      <c r="N130" s="344">
        <v>0.90562403697996918</v>
      </c>
      <c r="O130" s="344">
        <v>0.60662525879917184</v>
      </c>
      <c r="P130" s="344">
        <v>0.81481481481481477</v>
      </c>
      <c r="Q130" s="344">
        <v>0.67630853994490359</v>
      </c>
      <c r="R130" s="344">
        <v>0.90909090909090906</v>
      </c>
      <c r="S130" s="344">
        <v>0.94758064516129037</v>
      </c>
      <c r="T130" s="344">
        <v>0.92901878914405012</v>
      </c>
      <c r="U130" s="344"/>
      <c r="V130" s="344"/>
      <c r="W130" s="344"/>
      <c r="X130" s="345">
        <v>0.85601159937541826</v>
      </c>
      <c r="Y130" s="345">
        <v>0.92267365661861078</v>
      </c>
      <c r="Z130" s="345">
        <v>0.88301260783012603</v>
      </c>
    </row>
    <row r="131" spans="2:26" hidden="1" outlineLevel="1" x14ac:dyDescent="0.25">
      <c r="B131" s="304">
        <v>43313</v>
      </c>
      <c r="C131" s="344"/>
      <c r="D131" s="344"/>
      <c r="E131" s="344"/>
      <c r="F131" s="344"/>
      <c r="G131" s="344"/>
      <c r="H131" s="344"/>
      <c r="I131" s="344">
        <v>0.87269609944277748</v>
      </c>
      <c r="J131" s="344">
        <v>0.9316860465116279</v>
      </c>
      <c r="K131" s="344">
        <v>0.88613042039059919</v>
      </c>
      <c r="L131" s="344">
        <v>0.88872596937113069</v>
      </c>
      <c r="M131" s="344">
        <v>0.92634386540828884</v>
      </c>
      <c r="N131" s="344">
        <v>0.90537595350526701</v>
      </c>
      <c r="O131" s="344">
        <v>0.54812834224598928</v>
      </c>
      <c r="P131" s="344">
        <v>0.77996070726915523</v>
      </c>
      <c r="Q131" s="344">
        <v>0.62047823421213977</v>
      </c>
      <c r="R131" s="344">
        <v>0.88571428571428568</v>
      </c>
      <c r="S131" s="344">
        <v>0.93953488372093019</v>
      </c>
      <c r="T131" s="344">
        <v>0.91294117647058826</v>
      </c>
      <c r="U131" s="344"/>
      <c r="V131" s="344"/>
      <c r="W131" s="344"/>
      <c r="X131" s="345">
        <v>0.84586351117004999</v>
      </c>
      <c r="Y131" s="345">
        <v>0.91552656697422841</v>
      </c>
      <c r="Z131" s="345">
        <v>0.87308098700975822</v>
      </c>
    </row>
    <row r="132" spans="2:26" hidden="1" outlineLevel="1" x14ac:dyDescent="0.25">
      <c r="B132" s="304">
        <v>43344</v>
      </c>
      <c r="C132" s="344"/>
      <c r="D132" s="344"/>
      <c r="E132" s="344"/>
      <c r="F132" s="344"/>
      <c r="G132" s="344"/>
      <c r="H132" s="344"/>
      <c r="I132" s="344">
        <v>0.88179104477611936</v>
      </c>
      <c r="J132" s="344">
        <v>0.94831460674157309</v>
      </c>
      <c r="K132" s="344">
        <v>0.89575471698113207</v>
      </c>
      <c r="L132" s="344">
        <v>0.88163014540241658</v>
      </c>
      <c r="M132" s="344">
        <v>0.91861096039066736</v>
      </c>
      <c r="N132" s="344">
        <v>0.89753763566343803</v>
      </c>
      <c r="O132" s="344">
        <v>0.61600928074245942</v>
      </c>
      <c r="P132" s="344">
        <v>0.77979274611398963</v>
      </c>
      <c r="Q132" s="344">
        <v>0.66666666666666663</v>
      </c>
      <c r="R132" s="344">
        <v>0.89308176100628933</v>
      </c>
      <c r="S132" s="344">
        <v>0.93888888888888888</v>
      </c>
      <c r="T132" s="344">
        <v>0.91740412979351027</v>
      </c>
      <c r="U132" s="344"/>
      <c r="V132" s="344"/>
      <c r="W132" s="344"/>
      <c r="X132" s="345">
        <v>0.85169547433698378</v>
      </c>
      <c r="Y132" s="345">
        <v>0.91079412390887804</v>
      </c>
      <c r="Z132" s="345">
        <v>0.87430759204952757</v>
      </c>
    </row>
    <row r="133" spans="2:26" hidden="1" outlineLevel="1" x14ac:dyDescent="0.25">
      <c r="B133" s="304">
        <v>43374</v>
      </c>
      <c r="C133" s="344"/>
      <c r="D133" s="344"/>
      <c r="E133" s="344"/>
      <c r="F133" s="344"/>
      <c r="G133" s="344"/>
      <c r="H133" s="344"/>
      <c r="I133" s="344">
        <v>0.88143908421913331</v>
      </c>
      <c r="J133" s="344">
        <v>0.94182825484764543</v>
      </c>
      <c r="K133" s="344">
        <v>0.89520202020202022</v>
      </c>
      <c r="L133" s="344">
        <v>0.88278712725125474</v>
      </c>
      <c r="M133" s="344">
        <v>0.92460239544472811</v>
      </c>
      <c r="N133" s="344">
        <v>0.90073312547400353</v>
      </c>
      <c r="O133" s="344">
        <v>0.57729007633587781</v>
      </c>
      <c r="P133" s="344">
        <v>0.76068376068376065</v>
      </c>
      <c r="Q133" s="344">
        <v>0.63390501319261217</v>
      </c>
      <c r="R133" s="344">
        <v>0.85128205128205126</v>
      </c>
      <c r="S133" s="344">
        <v>0.9285714285714286</v>
      </c>
      <c r="T133" s="344">
        <v>0.89260143198090691</v>
      </c>
      <c r="U133" s="344"/>
      <c r="V133" s="344"/>
      <c r="W133" s="344"/>
      <c r="X133" s="345">
        <v>0.85128548217528432</v>
      </c>
      <c r="Y133" s="345">
        <v>0.91486091901029665</v>
      </c>
      <c r="Z133" s="345">
        <v>0.87566293459045375</v>
      </c>
    </row>
    <row r="134" spans="2:26" hidden="1" outlineLevel="1" x14ac:dyDescent="0.25">
      <c r="B134" s="304">
        <v>43405</v>
      </c>
      <c r="C134" s="344"/>
      <c r="D134" s="344"/>
      <c r="E134" s="344"/>
      <c r="F134" s="344"/>
      <c r="G134" s="344"/>
      <c r="H134" s="344"/>
      <c r="I134" s="344">
        <v>0.90200000000000002</v>
      </c>
      <c r="J134" s="344">
        <v>0.93408360128617363</v>
      </c>
      <c r="K134" s="344">
        <v>0.90961098398169338</v>
      </c>
      <c r="L134" s="344">
        <v>0.88557493903582818</v>
      </c>
      <c r="M134" s="344">
        <v>0.9408369408369408</v>
      </c>
      <c r="N134" s="344">
        <v>0.90979028348614188</v>
      </c>
      <c r="O134" s="344">
        <v>0.53954496208017333</v>
      </c>
      <c r="P134" s="344">
        <v>0.79704016913319242</v>
      </c>
      <c r="Q134" s="344">
        <v>0.62679083094555876</v>
      </c>
      <c r="R134" s="344">
        <v>0.88435374149659862</v>
      </c>
      <c r="S134" s="344">
        <v>0.90062111801242239</v>
      </c>
      <c r="T134" s="344">
        <v>0.8928571428571429</v>
      </c>
      <c r="U134" s="344"/>
      <c r="V134" s="344"/>
      <c r="W134" s="344"/>
      <c r="X134" s="345">
        <v>0.85144625639804783</v>
      </c>
      <c r="Y134" s="345">
        <v>0.92630217953454008</v>
      </c>
      <c r="Z134" s="345">
        <v>0.88078175895765476</v>
      </c>
    </row>
    <row r="135" spans="2:26" collapsed="1" x14ac:dyDescent="0.25">
      <c r="B135" s="304">
        <v>43435</v>
      </c>
      <c r="C135" s="344"/>
      <c r="D135" s="344"/>
      <c r="E135" s="344"/>
      <c r="F135" s="344"/>
      <c r="G135" s="344"/>
      <c r="H135" s="344"/>
      <c r="I135" s="344">
        <v>0.91202185792349721</v>
      </c>
      <c r="J135" s="344">
        <v>0.96074766355140184</v>
      </c>
      <c r="K135" s="344">
        <v>0.92304439746300215</v>
      </c>
      <c r="L135" s="344">
        <v>0.88550442860228995</v>
      </c>
      <c r="M135" s="344">
        <v>0.93178410794602695</v>
      </c>
      <c r="N135" s="344">
        <v>0.90696327192677562</v>
      </c>
      <c r="O135" s="344">
        <v>0.62105263157894741</v>
      </c>
      <c r="P135" s="344">
        <v>0.80084745762711862</v>
      </c>
      <c r="Q135" s="344">
        <v>0.68500376789751316</v>
      </c>
      <c r="R135" s="344">
        <v>0.875</v>
      </c>
      <c r="S135" s="344">
        <v>0.93710691823899372</v>
      </c>
      <c r="T135" s="344">
        <v>0.90519877675840976</v>
      </c>
      <c r="U135" s="344"/>
      <c r="V135" s="344"/>
      <c r="W135" s="344"/>
      <c r="X135" s="345">
        <v>0.86153434910451754</v>
      </c>
      <c r="Y135" s="345">
        <v>0.92298761609907121</v>
      </c>
      <c r="Z135" s="345">
        <v>0.88664031620553363</v>
      </c>
    </row>
    <row r="136" spans="2:26" hidden="1" outlineLevel="1" x14ac:dyDescent="0.25">
      <c r="B136" s="304">
        <v>43466</v>
      </c>
      <c r="C136" s="344"/>
      <c r="D136" s="344"/>
      <c r="E136" s="344"/>
      <c r="F136" s="344"/>
      <c r="G136" s="344"/>
      <c r="H136" s="344"/>
      <c r="I136" s="344">
        <v>0.89316239316239321</v>
      </c>
      <c r="J136" s="344">
        <v>0.95133437990580849</v>
      </c>
      <c r="K136" s="344">
        <v>0.90667152752460811</v>
      </c>
      <c r="L136" s="344">
        <v>0.88358473824312334</v>
      </c>
      <c r="M136" s="344">
        <v>0.94197802197802194</v>
      </c>
      <c r="N136" s="344">
        <v>0.90967108492881688</v>
      </c>
      <c r="O136" s="344">
        <v>0.5882956878850103</v>
      </c>
      <c r="P136" s="344">
        <v>0.80042016806722693</v>
      </c>
      <c r="Q136" s="344">
        <v>0.65793103448275858</v>
      </c>
      <c r="R136" s="344">
        <v>0.90774907749077494</v>
      </c>
      <c r="S136" s="344">
        <v>0.92517006802721091</v>
      </c>
      <c r="T136" s="344">
        <v>0.91681415929203536</v>
      </c>
      <c r="U136" s="344"/>
      <c r="V136" s="344"/>
      <c r="W136" s="344"/>
      <c r="X136" s="345">
        <v>0.85455152459381256</v>
      </c>
      <c r="Y136" s="345">
        <v>0.9308376699681048</v>
      </c>
      <c r="Z136" s="345">
        <v>0.88496285886368198</v>
      </c>
    </row>
    <row r="137" spans="2:26" hidden="1" outlineLevel="1" x14ac:dyDescent="0.25">
      <c r="B137" s="304">
        <v>43497</v>
      </c>
      <c r="C137" s="344"/>
      <c r="D137" s="344"/>
      <c r="E137" s="344"/>
      <c r="F137" s="344"/>
      <c r="G137" s="344"/>
      <c r="H137" s="344"/>
      <c r="I137" s="344">
        <v>0.88581730769230771</v>
      </c>
      <c r="J137" s="344">
        <v>0.94390715667311409</v>
      </c>
      <c r="K137" s="344">
        <v>0.89958734525447037</v>
      </c>
      <c r="L137" s="344">
        <v>0.88377568493150682</v>
      </c>
      <c r="M137" s="344">
        <v>0.93554987212276219</v>
      </c>
      <c r="N137" s="344">
        <v>0.90736425075739924</v>
      </c>
      <c r="O137" s="344">
        <v>0.58983451536643028</v>
      </c>
      <c r="P137" s="344">
        <v>0.8</v>
      </c>
      <c r="Q137" s="344">
        <v>0.66065830721003138</v>
      </c>
      <c r="R137" s="344">
        <v>0.92307692307692313</v>
      </c>
      <c r="S137" s="344">
        <v>0.97068403908794787</v>
      </c>
      <c r="T137" s="344">
        <v>0.94444444444444442</v>
      </c>
      <c r="U137" s="344"/>
      <c r="V137" s="344"/>
      <c r="W137" s="344"/>
      <c r="X137" s="345">
        <v>0.85328747188781584</v>
      </c>
      <c r="Y137" s="345">
        <v>0.92718822618125485</v>
      </c>
      <c r="Z137" s="345">
        <v>0.88328224475359585</v>
      </c>
    </row>
    <row r="138" spans="2:26" hidden="1" outlineLevel="1" x14ac:dyDescent="0.25">
      <c r="B138" s="304">
        <v>43525</v>
      </c>
      <c r="C138" s="344"/>
      <c r="D138" s="344"/>
      <c r="E138" s="344"/>
      <c r="F138" s="344"/>
      <c r="G138" s="344"/>
      <c r="H138" s="344"/>
      <c r="I138" s="344">
        <v>0.87552966101694918</v>
      </c>
      <c r="J138" s="344">
        <v>0.95325542570951582</v>
      </c>
      <c r="K138" s="344">
        <v>0.89425010052271814</v>
      </c>
      <c r="L138" s="344">
        <v>0.8721267143133089</v>
      </c>
      <c r="M138" s="344">
        <v>0.93667296786389409</v>
      </c>
      <c r="N138" s="344">
        <v>0.90115846529918164</v>
      </c>
      <c r="O138" s="344">
        <v>0.58243902439024386</v>
      </c>
      <c r="P138" s="344">
        <v>0.83599088838268798</v>
      </c>
      <c r="Q138" s="344">
        <v>0.65846994535519121</v>
      </c>
      <c r="R138" s="344">
        <v>0.92073170731707321</v>
      </c>
      <c r="S138" s="344">
        <v>0.95806451612903221</v>
      </c>
      <c r="T138" s="344">
        <v>0.93887147335423193</v>
      </c>
      <c r="U138" s="344"/>
      <c r="V138" s="344"/>
      <c r="W138" s="344"/>
      <c r="X138" s="345">
        <v>0.83951057258256123</v>
      </c>
      <c r="Y138" s="345">
        <v>0.93172043010752692</v>
      </c>
      <c r="Z138" s="345">
        <v>0.87626803829118449</v>
      </c>
    </row>
    <row r="139" spans="2:26" hidden="1" outlineLevel="1" x14ac:dyDescent="0.25">
      <c r="B139" s="304">
        <v>43556</v>
      </c>
      <c r="C139" s="344"/>
      <c r="D139" s="344"/>
      <c r="E139" s="344"/>
      <c r="F139" s="344"/>
      <c r="G139" s="344"/>
      <c r="H139" s="344"/>
      <c r="I139" s="344">
        <v>0.88523676880222846</v>
      </c>
      <c r="J139" s="344">
        <v>0.94947735191637628</v>
      </c>
      <c r="K139" s="344">
        <v>0.90080202617138028</v>
      </c>
      <c r="L139" s="344">
        <v>0.87730923694779117</v>
      </c>
      <c r="M139" s="344">
        <v>0.93736603953322217</v>
      </c>
      <c r="N139" s="344">
        <v>0.90478265606275199</v>
      </c>
      <c r="O139" s="344">
        <v>0.58440366972477065</v>
      </c>
      <c r="P139" s="344">
        <v>0.78222222222222226</v>
      </c>
      <c r="Q139" s="344">
        <v>0.64220779220779223</v>
      </c>
      <c r="R139" s="344">
        <v>0.90974729241877261</v>
      </c>
      <c r="S139" s="344">
        <v>0.93485342019543971</v>
      </c>
      <c r="T139" s="344">
        <v>0.92294520547945202</v>
      </c>
      <c r="U139" s="344"/>
      <c r="V139" s="344"/>
      <c r="W139" s="344"/>
      <c r="X139" s="345">
        <v>0.84094816998280519</v>
      </c>
      <c r="Y139" s="345">
        <v>0.92585895117540684</v>
      </c>
      <c r="Z139" s="345">
        <v>0.87529256875365713</v>
      </c>
    </row>
    <row r="140" spans="2:26" hidden="1" outlineLevel="1" x14ac:dyDescent="0.25">
      <c r="B140" s="304">
        <v>43586</v>
      </c>
      <c r="C140" s="344"/>
      <c r="D140" s="344"/>
      <c r="E140" s="344"/>
      <c r="F140" s="344"/>
      <c r="G140" s="344"/>
      <c r="H140" s="344"/>
      <c r="I140" s="344">
        <v>0.89148128052088982</v>
      </c>
      <c r="J140" s="344">
        <v>0.96006944444444442</v>
      </c>
      <c r="K140" s="344">
        <v>0.9078131459280695</v>
      </c>
      <c r="L140" s="344">
        <v>0.87684124386252049</v>
      </c>
      <c r="M140" s="344">
        <v>0.93198771390960944</v>
      </c>
      <c r="N140" s="344">
        <v>0.90345119627355497</v>
      </c>
      <c r="O140" s="344">
        <v>0.5608974358974359</v>
      </c>
      <c r="P140" s="344">
        <v>0.7981220657276995</v>
      </c>
      <c r="Q140" s="344">
        <v>0.63509544787077832</v>
      </c>
      <c r="R140" s="344">
        <v>0.93073593073593075</v>
      </c>
      <c r="S140" s="344">
        <v>0.93625498007968122</v>
      </c>
      <c r="T140" s="344">
        <v>0.93360995850622408</v>
      </c>
      <c r="U140" s="344"/>
      <c r="V140" s="344"/>
      <c r="W140" s="344"/>
      <c r="X140" s="345">
        <v>0.84439098505950871</v>
      </c>
      <c r="Y140" s="345">
        <v>0.92514197212183791</v>
      </c>
      <c r="Z140" s="345">
        <v>0.87861988474724628</v>
      </c>
    </row>
    <row r="141" spans="2:26" hidden="1" outlineLevel="1" x14ac:dyDescent="0.25">
      <c r="B141" s="304">
        <v>43617</v>
      </c>
      <c r="C141" s="344"/>
      <c r="D141" s="344"/>
      <c r="E141" s="344"/>
      <c r="F141" s="344"/>
      <c r="G141" s="344"/>
      <c r="H141" s="344"/>
      <c r="I141" s="344">
        <v>0.879127358490566</v>
      </c>
      <c r="J141" s="344">
        <v>0.94573643410852715</v>
      </c>
      <c r="K141" s="344">
        <v>0.8946654611211573</v>
      </c>
      <c r="L141" s="344">
        <v>0.87673488590919779</v>
      </c>
      <c r="M141" s="344">
        <v>0.93844121532364599</v>
      </c>
      <c r="N141" s="344">
        <v>0.90579890492782478</v>
      </c>
      <c r="O141" s="344">
        <v>0.5957446808510638</v>
      </c>
      <c r="P141" s="344">
        <v>0.83974358974358976</v>
      </c>
      <c r="Q141" s="344">
        <v>0.67964731814842028</v>
      </c>
      <c r="R141" s="344">
        <v>0.8910891089108911</v>
      </c>
      <c r="S141" s="344">
        <v>0.92964824120603018</v>
      </c>
      <c r="T141" s="344">
        <v>0.91022443890274318</v>
      </c>
      <c r="U141" s="344"/>
      <c r="V141" s="344"/>
      <c r="W141" s="344"/>
      <c r="X141" s="345">
        <v>0.84209031525134903</v>
      </c>
      <c r="Y141" s="345">
        <v>0.92954911433172305</v>
      </c>
      <c r="Z141" s="345">
        <v>0.87826810990840964</v>
      </c>
    </row>
    <row r="142" spans="2:26" hidden="1" outlineLevel="1" x14ac:dyDescent="0.25">
      <c r="B142" s="304">
        <v>43647</v>
      </c>
      <c r="C142" s="344"/>
      <c r="D142" s="344"/>
      <c r="E142" s="344"/>
      <c r="F142" s="344"/>
      <c r="G142" s="344"/>
      <c r="H142" s="344"/>
      <c r="I142" s="344">
        <v>0.89278557114228452</v>
      </c>
      <c r="J142" s="344">
        <v>0.95182724252491691</v>
      </c>
      <c r="K142" s="344">
        <v>0.90646651270207856</v>
      </c>
      <c r="L142" s="344">
        <v>0.88840262582056895</v>
      </c>
      <c r="M142" s="344">
        <v>0.94100106496272629</v>
      </c>
      <c r="N142" s="344">
        <v>0.91266332645642989</v>
      </c>
      <c r="O142" s="344">
        <v>0.60398860398860399</v>
      </c>
      <c r="P142" s="344">
        <v>0.77058823529411768</v>
      </c>
      <c r="Q142" s="344">
        <v>0.65834932821497116</v>
      </c>
      <c r="R142" s="344">
        <v>0.9327731092436975</v>
      </c>
      <c r="S142" s="344">
        <v>0.97413793103448276</v>
      </c>
      <c r="T142" s="344">
        <v>0.95319148936170217</v>
      </c>
      <c r="U142" s="344"/>
      <c r="V142" s="344"/>
      <c r="W142" s="344"/>
      <c r="X142" s="345">
        <v>0.85645878463117087</v>
      </c>
      <c r="Y142" s="345">
        <v>0.92896174863387981</v>
      </c>
      <c r="Z142" s="345">
        <v>0.88602295746117488</v>
      </c>
    </row>
    <row r="143" spans="2:26" hidden="1" outlineLevel="1" x14ac:dyDescent="0.25">
      <c r="B143" s="304">
        <v>43678</v>
      </c>
      <c r="C143" s="344"/>
      <c r="D143" s="344"/>
      <c r="E143" s="344"/>
      <c r="F143" s="344"/>
      <c r="G143" s="344"/>
      <c r="H143" s="344"/>
      <c r="I143" s="344">
        <v>0.88839063278525165</v>
      </c>
      <c r="J143" s="344">
        <v>0.94128113879003561</v>
      </c>
      <c r="K143" s="344">
        <v>0.89996107434799533</v>
      </c>
      <c r="L143" s="344">
        <v>0.87167976056864949</v>
      </c>
      <c r="M143" s="344">
        <v>0.92945772058823528</v>
      </c>
      <c r="N143" s="344">
        <v>0.89760775417611882</v>
      </c>
      <c r="O143" s="344">
        <v>0.58702064896755157</v>
      </c>
      <c r="P143" s="344">
        <v>0.77682403433476399</v>
      </c>
      <c r="Q143" s="344">
        <v>0.6466621712744437</v>
      </c>
      <c r="R143" s="344">
        <v>0.90430622009569372</v>
      </c>
      <c r="S143" s="344">
        <v>0.92990654205607481</v>
      </c>
      <c r="T143" s="344">
        <v>0.91725768321513002</v>
      </c>
      <c r="U143" s="344"/>
      <c r="V143" s="344"/>
      <c r="W143" s="344"/>
      <c r="X143" s="345">
        <v>0.84263900221471033</v>
      </c>
      <c r="Y143" s="345">
        <v>0.91794780121558817</v>
      </c>
      <c r="Z143" s="345">
        <v>0.87236294362520284</v>
      </c>
    </row>
    <row r="144" spans="2:26" hidden="1" outlineLevel="1" x14ac:dyDescent="0.25">
      <c r="B144" s="304">
        <v>43709</v>
      </c>
      <c r="C144" s="344"/>
      <c r="D144" s="344"/>
      <c r="E144" s="344"/>
      <c r="F144" s="344"/>
      <c r="G144" s="344"/>
      <c r="H144" s="344"/>
      <c r="I144" s="344">
        <v>0.9040953862104717</v>
      </c>
      <c r="J144" s="344">
        <v>0.95238095238095233</v>
      </c>
      <c r="K144" s="344">
        <v>0.91442542787286063</v>
      </c>
      <c r="L144" s="344">
        <v>0.88389358630645498</v>
      </c>
      <c r="M144" s="344">
        <v>0.92935196950444732</v>
      </c>
      <c r="N144" s="344">
        <v>0.90425774134790526</v>
      </c>
      <c r="O144" s="344">
        <v>0.56625000000000003</v>
      </c>
      <c r="P144" s="344">
        <v>0.79418886198547212</v>
      </c>
      <c r="Q144" s="344">
        <v>0.64385820280296779</v>
      </c>
      <c r="R144" s="344">
        <v>0.90783410138248843</v>
      </c>
      <c r="S144" s="344">
        <v>0.94537815126050417</v>
      </c>
      <c r="T144" s="344">
        <v>0.92747252747252751</v>
      </c>
      <c r="U144" s="344"/>
      <c r="V144" s="344"/>
      <c r="W144" s="344"/>
      <c r="X144" s="345">
        <v>0.85695958948043616</v>
      </c>
      <c r="Y144" s="345">
        <v>0.92154177264723147</v>
      </c>
      <c r="Z144" s="345">
        <v>0.88253525492019214</v>
      </c>
    </row>
    <row r="145" spans="2:26" hidden="1" outlineLevel="1" x14ac:dyDescent="0.25">
      <c r="B145" s="304">
        <v>43739</v>
      </c>
      <c r="C145" s="344"/>
      <c r="D145" s="344"/>
      <c r="E145" s="344"/>
      <c r="F145" s="344"/>
      <c r="G145" s="344"/>
      <c r="H145" s="344"/>
      <c r="I145" s="344">
        <v>0.90172786177105835</v>
      </c>
      <c r="J145" s="344">
        <v>0.94390715667311409</v>
      </c>
      <c r="K145" s="344">
        <v>0.91093288307302656</v>
      </c>
      <c r="L145" s="344">
        <v>0.88398287902680783</v>
      </c>
      <c r="M145" s="344">
        <v>0.9333137485311398</v>
      </c>
      <c r="N145" s="344">
        <v>0.9053933443835267</v>
      </c>
      <c r="O145" s="344">
        <v>0.56662665066026408</v>
      </c>
      <c r="P145" s="344">
        <v>0.77448071216617209</v>
      </c>
      <c r="Q145" s="344">
        <v>0.62649572649572649</v>
      </c>
      <c r="R145" s="344">
        <v>0.91847826086956519</v>
      </c>
      <c r="S145" s="344">
        <v>0.94886363636363635</v>
      </c>
      <c r="T145" s="344">
        <v>0.93333333333333335</v>
      </c>
      <c r="U145" s="344"/>
      <c r="V145" s="344"/>
      <c r="W145" s="344"/>
      <c r="X145" s="345">
        <v>0.85317460317460314</v>
      </c>
      <c r="Y145" s="345">
        <v>0.92309427153811452</v>
      </c>
      <c r="Z145" s="345">
        <v>0.87957758473854541</v>
      </c>
    </row>
    <row r="146" spans="2:26" hidden="1" outlineLevel="1" x14ac:dyDescent="0.25">
      <c r="B146" s="304">
        <v>43770</v>
      </c>
      <c r="C146" s="344"/>
      <c r="D146" s="344"/>
      <c r="E146" s="344"/>
      <c r="F146" s="344"/>
      <c r="G146" s="344"/>
      <c r="H146" s="344"/>
      <c r="I146" s="344">
        <v>0.91455509723040662</v>
      </c>
      <c r="J146" s="344">
        <v>0.97142857142857142</v>
      </c>
      <c r="K146" s="344">
        <v>0.92866637128932206</v>
      </c>
      <c r="L146" s="344">
        <v>0.90568181818181814</v>
      </c>
      <c r="M146" s="344">
        <v>0.93402477672140594</v>
      </c>
      <c r="N146" s="344">
        <v>0.91818066319400327</v>
      </c>
      <c r="O146" s="344">
        <v>0.64046579330422126</v>
      </c>
      <c r="P146" s="344">
        <v>0.80573248407643316</v>
      </c>
      <c r="Q146" s="344">
        <v>0.69230769230769229</v>
      </c>
      <c r="R146" s="344">
        <v>0.91878172588832485</v>
      </c>
      <c r="S146" s="344">
        <v>0.94240837696335078</v>
      </c>
      <c r="T146" s="344">
        <v>0.93041237113402064</v>
      </c>
      <c r="U146" s="344"/>
      <c r="V146" s="344"/>
      <c r="W146" s="344"/>
      <c r="X146" s="345">
        <v>0.88210858043260276</v>
      </c>
      <c r="Y146" s="345">
        <v>0.93011463844797182</v>
      </c>
      <c r="Z146" s="345">
        <v>0.90101588955457146</v>
      </c>
    </row>
    <row r="147" spans="2:26" collapsed="1" x14ac:dyDescent="0.25">
      <c r="B147" s="304">
        <v>43800</v>
      </c>
      <c r="C147" s="344"/>
      <c r="D147" s="344"/>
      <c r="E147" s="344"/>
      <c r="F147" s="344"/>
      <c r="G147" s="344"/>
      <c r="H147" s="344"/>
      <c r="I147" s="344">
        <v>0.87505460899956311</v>
      </c>
      <c r="J147" s="344">
        <v>0.93518518518518523</v>
      </c>
      <c r="K147" s="344">
        <v>0.88832141641130402</v>
      </c>
      <c r="L147" s="344">
        <v>0.87255172413793103</v>
      </c>
      <c r="M147" s="344">
        <v>0.92259814873922763</v>
      </c>
      <c r="N147" s="344">
        <v>0.89575318141461968</v>
      </c>
      <c r="O147" s="344">
        <v>0.5808695652173913</v>
      </c>
      <c r="P147" s="344">
        <v>0.78543307086614178</v>
      </c>
      <c r="Q147" s="344">
        <v>0.643546441495778</v>
      </c>
      <c r="R147" s="344">
        <v>0.88275862068965516</v>
      </c>
      <c r="S147" s="344">
        <v>0.91212121212121211</v>
      </c>
      <c r="T147" s="344">
        <v>0.89838709677419359</v>
      </c>
      <c r="U147" s="344"/>
      <c r="V147" s="344"/>
      <c r="W147" s="344"/>
      <c r="X147" s="345">
        <v>0.84279078240276895</v>
      </c>
      <c r="Y147" s="345">
        <v>0.91421568627450978</v>
      </c>
      <c r="Z147" s="345">
        <v>0.87235064865730605</v>
      </c>
    </row>
    <row r="148" spans="2:26" hidden="1" outlineLevel="1" x14ac:dyDescent="0.25">
      <c r="B148" s="304">
        <v>43831</v>
      </c>
      <c r="C148" s="344"/>
      <c r="D148" s="344"/>
      <c r="E148" s="344"/>
      <c r="F148" s="344"/>
      <c r="G148" s="344"/>
      <c r="H148" s="344"/>
      <c r="I148" s="344">
        <v>0.88503253796095449</v>
      </c>
      <c r="J148" s="344">
        <v>0.92496392496392499</v>
      </c>
      <c r="K148" s="344">
        <v>0.89426284189459637</v>
      </c>
      <c r="L148" s="344">
        <v>0.86930209858467544</v>
      </c>
      <c r="M148" s="344">
        <v>0.93840880764437062</v>
      </c>
      <c r="N148" s="344">
        <v>0.90278266995420919</v>
      </c>
      <c r="O148" s="344">
        <v>0.56208053691275173</v>
      </c>
      <c r="P148" s="344">
        <v>0.79241877256317694</v>
      </c>
      <c r="Q148" s="344">
        <v>0.63516609392898049</v>
      </c>
      <c r="R148" s="344">
        <v>0.9</v>
      </c>
      <c r="S148" s="344">
        <v>0.89459459459459456</v>
      </c>
      <c r="T148" s="344">
        <v>0.89729729729729735</v>
      </c>
      <c r="U148" s="344"/>
      <c r="V148" s="344"/>
      <c r="W148" s="344"/>
      <c r="X148" s="345">
        <v>0.84672619047619047</v>
      </c>
      <c r="Y148" s="345">
        <v>0.92894619831036018</v>
      </c>
      <c r="Z148" s="345">
        <v>0.88318807429901014</v>
      </c>
    </row>
    <row r="149" spans="2:26" hidden="1" outlineLevel="1" x14ac:dyDescent="0.25">
      <c r="B149" s="304">
        <v>43862</v>
      </c>
      <c r="C149" s="344"/>
      <c r="D149" s="344"/>
      <c r="E149" s="344"/>
      <c r="F149" s="344"/>
      <c r="G149" s="344"/>
      <c r="H149" s="344"/>
      <c r="I149" s="344">
        <v>0.85721676151060533</v>
      </c>
      <c r="J149" s="344">
        <v>0.94260869565217387</v>
      </c>
      <c r="K149" s="344">
        <v>0.87679425837320579</v>
      </c>
      <c r="L149" s="344">
        <v>0.84889854173130619</v>
      </c>
      <c r="M149" s="344">
        <v>0.92685744756487731</v>
      </c>
      <c r="N149" s="344">
        <v>0.88523028495692513</v>
      </c>
      <c r="O149" s="344">
        <v>0.58522727272727271</v>
      </c>
      <c r="P149" s="344">
        <v>0.78915662650602414</v>
      </c>
      <c r="Q149" s="344">
        <v>0.65057915057915061</v>
      </c>
      <c r="R149" s="344">
        <v>0.90909090909090906</v>
      </c>
      <c r="S149" s="344">
        <v>0.95768374164810688</v>
      </c>
      <c r="T149" s="344">
        <v>0.9349112426035503</v>
      </c>
      <c r="U149" s="344"/>
      <c r="V149" s="344"/>
      <c r="W149" s="344"/>
      <c r="X149" s="345">
        <v>0.83424463967561591</v>
      </c>
      <c r="Y149" s="345">
        <v>0.92328166588382654</v>
      </c>
      <c r="Z149" s="345">
        <v>0.87339506385322363</v>
      </c>
    </row>
    <row r="150" spans="2:26" hidden="1" outlineLevel="1" x14ac:dyDescent="0.25">
      <c r="B150" s="304">
        <v>43891</v>
      </c>
      <c r="C150" s="344"/>
      <c r="D150" s="344"/>
      <c r="E150" s="344"/>
      <c r="F150" s="344"/>
      <c r="G150" s="344"/>
      <c r="H150" s="344"/>
      <c r="I150" s="344">
        <v>0.89765886287625418</v>
      </c>
      <c r="J150" s="344">
        <v>0.92653061224489797</v>
      </c>
      <c r="K150" s="344">
        <v>0.90478589420654909</v>
      </c>
      <c r="L150" s="344">
        <v>0.8806861693980701</v>
      </c>
      <c r="M150" s="344">
        <v>0.91646191646191644</v>
      </c>
      <c r="N150" s="344">
        <v>0.89797372170334022</v>
      </c>
      <c r="O150" s="344">
        <v>0.58625525946704071</v>
      </c>
      <c r="P150" s="344">
        <v>0.8040201005025126</v>
      </c>
      <c r="Q150" s="344">
        <v>0.66426642664266422</v>
      </c>
      <c r="R150" s="344">
        <v>0.90114068441064643</v>
      </c>
      <c r="S150" s="344">
        <v>0.9242424242424242</v>
      </c>
      <c r="T150" s="344">
        <v>0.91271347248576851</v>
      </c>
      <c r="U150" s="344"/>
      <c r="V150" s="344"/>
      <c r="W150" s="344"/>
      <c r="X150" s="345">
        <v>0.86077777777777775</v>
      </c>
      <c r="Y150" s="345">
        <v>0.91125809563180382</v>
      </c>
      <c r="Z150" s="345">
        <v>0.88331180414590638</v>
      </c>
    </row>
    <row r="151" spans="2:26" hidden="1" outlineLevel="1" x14ac:dyDescent="0.25">
      <c r="B151" s="304">
        <v>43922</v>
      </c>
      <c r="C151" s="344"/>
      <c r="D151" s="344"/>
      <c r="E151" s="344"/>
      <c r="F151" s="344"/>
      <c r="G151" s="344"/>
      <c r="H151" s="344"/>
      <c r="I151" s="344">
        <v>0.93700000000000006</v>
      </c>
      <c r="J151" s="344">
        <v>0.95810055865921784</v>
      </c>
      <c r="K151" s="344">
        <v>0.94256259204712811</v>
      </c>
      <c r="L151" s="344">
        <v>0.91309488619568435</v>
      </c>
      <c r="M151" s="344">
        <v>0.94157172071282502</v>
      </c>
      <c r="N151" s="344">
        <v>0.92741698501322367</v>
      </c>
      <c r="O151" s="344">
        <v>0.7363344051446945</v>
      </c>
      <c r="P151" s="344">
        <v>0.93377483443708609</v>
      </c>
      <c r="Q151" s="344">
        <v>0.80086580086580084</v>
      </c>
      <c r="R151" s="344">
        <v>0.9606986899563319</v>
      </c>
      <c r="S151" s="344">
        <v>0.97285067873303166</v>
      </c>
      <c r="T151" s="344">
        <v>0.96666666666666667</v>
      </c>
      <c r="U151" s="344"/>
      <c r="V151" s="344"/>
      <c r="W151" s="344"/>
      <c r="X151" s="345">
        <v>0.90899857810278284</v>
      </c>
      <c r="Y151" s="345">
        <v>0.94437755839152415</v>
      </c>
      <c r="Z151" s="345">
        <v>0.92518730718378139</v>
      </c>
    </row>
    <row r="152" spans="2:26" hidden="1" outlineLevel="1" x14ac:dyDescent="0.25">
      <c r="B152" s="304">
        <v>43952</v>
      </c>
      <c r="C152" s="344"/>
      <c r="D152" s="344"/>
      <c r="E152" s="344"/>
      <c r="F152" s="344"/>
      <c r="G152" s="344"/>
      <c r="H152" s="344"/>
      <c r="I152" s="344">
        <v>0.91279439847231059</v>
      </c>
      <c r="J152" s="344">
        <v>0.92569002123142252</v>
      </c>
      <c r="K152" s="344">
        <v>0.91576885406464248</v>
      </c>
      <c r="L152" s="344">
        <v>0.91715976331360949</v>
      </c>
      <c r="M152" s="344">
        <v>0.935546875</v>
      </c>
      <c r="N152" s="344">
        <v>0.92668567749057129</v>
      </c>
      <c r="O152" s="344">
        <v>0.66841186736474689</v>
      </c>
      <c r="P152" s="344">
        <v>0.81040892193308545</v>
      </c>
      <c r="Q152" s="344">
        <v>0.71377672209026133</v>
      </c>
      <c r="R152" s="344">
        <v>0.94722955145118737</v>
      </c>
      <c r="S152" s="344">
        <v>0.97928994082840237</v>
      </c>
      <c r="T152" s="344">
        <v>0.96234309623430958</v>
      </c>
      <c r="U152" s="344"/>
      <c r="V152" s="344"/>
      <c r="W152" s="344"/>
      <c r="X152" s="345">
        <v>0.89938160267972167</v>
      </c>
      <c r="Y152" s="345">
        <v>0.93204172876304026</v>
      </c>
      <c r="Z152" s="345">
        <v>0.91452459922609175</v>
      </c>
    </row>
    <row r="153" spans="2:26" hidden="1" outlineLevel="1" x14ac:dyDescent="0.25">
      <c r="B153" s="304">
        <v>43983</v>
      </c>
      <c r="C153" s="344"/>
      <c r="D153" s="344"/>
      <c r="E153" s="344"/>
      <c r="F153" s="344"/>
      <c r="G153" s="344"/>
      <c r="H153" s="344"/>
      <c r="I153" s="344">
        <v>0.91258741258741261</v>
      </c>
      <c r="J153" s="344">
        <v>0.93939393939393945</v>
      </c>
      <c r="K153" s="344">
        <v>0.91913319238900637</v>
      </c>
      <c r="L153" s="344">
        <v>0.89057624297898896</v>
      </c>
      <c r="M153" s="344">
        <v>0.9299134473295334</v>
      </c>
      <c r="N153" s="344">
        <v>0.91010058675607708</v>
      </c>
      <c r="O153" s="344">
        <v>0.65668662674650702</v>
      </c>
      <c r="P153" s="344">
        <v>0.83396226415094343</v>
      </c>
      <c r="Q153" s="344">
        <v>0.71801566579634468</v>
      </c>
      <c r="R153" s="344">
        <v>0.95723684210526316</v>
      </c>
      <c r="S153" s="344">
        <v>0.9546827794561934</v>
      </c>
      <c r="T153" s="344">
        <v>0.95590551181102357</v>
      </c>
      <c r="U153" s="344"/>
      <c r="V153" s="344"/>
      <c r="W153" s="344"/>
      <c r="X153" s="345">
        <v>0.88128372621414375</v>
      </c>
      <c r="Y153" s="345">
        <v>0.92769628990509057</v>
      </c>
      <c r="Z153" s="345">
        <v>0.90223572485783288</v>
      </c>
    </row>
    <row r="154" spans="2:26" hidden="1" outlineLevel="1" x14ac:dyDescent="0.25">
      <c r="B154" s="304">
        <v>44013</v>
      </c>
      <c r="C154" s="344"/>
      <c r="D154" s="344"/>
      <c r="E154" s="344"/>
      <c r="F154" s="344"/>
      <c r="G154" s="344"/>
      <c r="H154" s="344"/>
      <c r="I154" s="344">
        <v>0.90325625294950451</v>
      </c>
      <c r="J154" s="344">
        <v>0.92042042042042038</v>
      </c>
      <c r="K154" s="344">
        <v>0.90736086175942554</v>
      </c>
      <c r="L154" s="344">
        <v>0.88654650788542</v>
      </c>
      <c r="M154" s="344">
        <v>0.92268940127882193</v>
      </c>
      <c r="N154" s="344">
        <v>0.90294505494505495</v>
      </c>
      <c r="O154" s="344">
        <v>0.61764705882352944</v>
      </c>
      <c r="P154" s="344">
        <v>0.84423676012461057</v>
      </c>
      <c r="Q154" s="344">
        <v>0.69560557341907825</v>
      </c>
      <c r="R154" s="344">
        <v>0.91967871485943775</v>
      </c>
      <c r="S154" s="344">
        <v>0.95714285714285718</v>
      </c>
      <c r="T154" s="344">
        <v>0.93950850661625707</v>
      </c>
      <c r="U154" s="344"/>
      <c r="V154" s="344"/>
      <c r="W154" s="344"/>
      <c r="X154" s="345">
        <v>0.87339569284315854</v>
      </c>
      <c r="Y154" s="345">
        <v>0.92003733665214682</v>
      </c>
      <c r="Z154" s="345">
        <v>0.89258737677634103</v>
      </c>
    </row>
    <row r="155" spans="2:26" hidden="1" outlineLevel="1" x14ac:dyDescent="0.25">
      <c r="B155" s="304">
        <v>44044</v>
      </c>
      <c r="C155" s="344"/>
      <c r="D155" s="344"/>
      <c r="E155" s="344"/>
      <c r="F155" s="344"/>
      <c r="G155" s="344"/>
      <c r="H155" s="344"/>
      <c r="I155" s="344">
        <v>0.87414675767918093</v>
      </c>
      <c r="J155" s="344">
        <v>0.94571428571428573</v>
      </c>
      <c r="K155" s="344">
        <v>0.89060446780551905</v>
      </c>
      <c r="L155" s="344">
        <v>0.86065983504123966</v>
      </c>
      <c r="M155" s="344">
        <v>0.91309471203417292</v>
      </c>
      <c r="N155" s="344">
        <v>0.88472719897234808</v>
      </c>
      <c r="O155" s="344">
        <v>0.60617760617760619</v>
      </c>
      <c r="P155" s="344">
        <v>0.79800498753117211</v>
      </c>
      <c r="Q155" s="344">
        <v>0.67147707979626481</v>
      </c>
      <c r="R155" s="344">
        <v>0.92333333333333334</v>
      </c>
      <c r="S155" s="344">
        <v>0.96636085626911317</v>
      </c>
      <c r="T155" s="344">
        <v>0.94577352472089316</v>
      </c>
      <c r="U155" s="344"/>
      <c r="V155" s="344"/>
      <c r="W155" s="344"/>
      <c r="X155" s="345">
        <v>0.84776328460124306</v>
      </c>
      <c r="Y155" s="345">
        <v>0.91237677984665932</v>
      </c>
      <c r="Z155" s="345">
        <v>0.87479633401222001</v>
      </c>
    </row>
    <row r="156" spans="2:26" hidden="1" outlineLevel="1" x14ac:dyDescent="0.25">
      <c r="B156" s="304">
        <v>44075</v>
      </c>
      <c r="C156" s="344"/>
      <c r="D156" s="344"/>
      <c r="E156" s="344"/>
      <c r="F156" s="344"/>
      <c r="G156" s="344"/>
      <c r="H156" s="344"/>
      <c r="I156" s="344">
        <v>0.87957446808510642</v>
      </c>
      <c r="J156" s="344">
        <v>0.92175273865414709</v>
      </c>
      <c r="K156" s="344">
        <v>0.88859150217464034</v>
      </c>
      <c r="L156" s="344">
        <v>0.87560975609756098</v>
      </c>
      <c r="M156" s="344">
        <v>0.9158200290275762</v>
      </c>
      <c r="N156" s="344">
        <v>0.89292410249288245</v>
      </c>
      <c r="O156" s="344">
        <v>0.5602678571428571</v>
      </c>
      <c r="P156" s="344">
        <v>0.79922779922779918</v>
      </c>
      <c r="Q156" s="344">
        <v>0.64780763790664786</v>
      </c>
      <c r="R156" s="344">
        <v>0.91891891891891897</v>
      </c>
      <c r="S156" s="344">
        <v>0.914572864321608</v>
      </c>
      <c r="T156" s="344">
        <v>0.91655266757865939</v>
      </c>
      <c r="U156" s="344"/>
      <c r="V156" s="344"/>
      <c r="W156" s="344"/>
      <c r="X156" s="345">
        <v>0.85363783003650562</v>
      </c>
      <c r="Y156" s="345">
        <v>0.90845796802475498</v>
      </c>
      <c r="Z156" s="345">
        <v>0.87540312260046071</v>
      </c>
    </row>
    <row r="157" spans="2:26" hidden="1" outlineLevel="1" x14ac:dyDescent="0.25">
      <c r="B157" s="304">
        <v>44105</v>
      </c>
      <c r="C157" s="344"/>
      <c r="D157" s="344"/>
      <c r="E157" s="344"/>
      <c r="F157" s="344"/>
      <c r="G157" s="344"/>
      <c r="H157" s="344"/>
      <c r="I157" s="344">
        <v>0.87260106165781948</v>
      </c>
      <c r="J157" s="344">
        <v>0.92689295039164488</v>
      </c>
      <c r="K157" s="344">
        <v>0.88553654743390353</v>
      </c>
      <c r="L157" s="344">
        <v>0.88861246183421916</v>
      </c>
      <c r="M157" s="344">
        <v>0.92978982637831253</v>
      </c>
      <c r="N157" s="344">
        <v>0.90615873839963657</v>
      </c>
      <c r="O157" s="344">
        <v>0.54991816693944351</v>
      </c>
      <c r="P157" s="344">
        <v>0.8232235701906413</v>
      </c>
      <c r="Q157" s="344">
        <v>0.63757643135075037</v>
      </c>
      <c r="R157" s="344">
        <v>0.88186813186813184</v>
      </c>
      <c r="S157" s="344">
        <v>0.9382978723404255</v>
      </c>
      <c r="T157" s="344">
        <v>0.91366906474820142</v>
      </c>
      <c r="U157" s="344"/>
      <c r="V157" s="344"/>
      <c r="W157" s="344"/>
      <c r="X157" s="345">
        <v>0.85323808044727445</v>
      </c>
      <c r="Y157" s="345">
        <v>0.92266380236305046</v>
      </c>
      <c r="Z157" s="345">
        <v>0.88060403631744832</v>
      </c>
    </row>
    <row r="158" spans="2:26" hidden="1" outlineLevel="1" x14ac:dyDescent="0.25">
      <c r="B158" s="304">
        <v>44136</v>
      </c>
      <c r="C158" s="344"/>
      <c r="D158" s="344"/>
      <c r="E158" s="344"/>
      <c r="F158" s="344"/>
      <c r="G158" s="344"/>
      <c r="H158" s="344"/>
      <c r="I158" s="344">
        <v>0.87083333333333335</v>
      </c>
      <c r="J158" s="344">
        <v>0.94606413994169092</v>
      </c>
      <c r="K158" s="344">
        <v>0.88896697118763179</v>
      </c>
      <c r="L158" s="344">
        <v>0.87878787878787878</v>
      </c>
      <c r="M158" s="344">
        <v>0.92812293456708528</v>
      </c>
      <c r="N158" s="344">
        <v>0.90015745777268819</v>
      </c>
      <c r="O158" s="344">
        <v>0.51862197392923648</v>
      </c>
      <c r="P158" s="344">
        <v>0.78653846153846152</v>
      </c>
      <c r="Q158" s="344">
        <v>0.60602258469259729</v>
      </c>
      <c r="R158" s="344">
        <v>0.83623693379790942</v>
      </c>
      <c r="S158" s="344">
        <v>0.9088050314465409</v>
      </c>
      <c r="T158" s="344">
        <v>0.87438016528925622</v>
      </c>
      <c r="U158" s="344"/>
      <c r="V158" s="344"/>
      <c r="W158" s="344"/>
      <c r="X158" s="345">
        <v>0.8424088803426274</v>
      </c>
      <c r="Y158" s="345">
        <v>0.91921858500527986</v>
      </c>
      <c r="Z158" s="345">
        <v>0.87300836094021139</v>
      </c>
    </row>
    <row r="159" spans="2:26" collapsed="1" x14ac:dyDescent="0.25">
      <c r="B159" s="304">
        <v>44166</v>
      </c>
      <c r="C159" s="344"/>
      <c r="D159" s="344"/>
      <c r="E159" s="344"/>
      <c r="F159" s="344"/>
      <c r="G159" s="344"/>
      <c r="H159" s="344"/>
      <c r="I159" s="344">
        <v>0.86742237555446033</v>
      </c>
      <c r="J159" s="344">
        <v>0.91566265060240959</v>
      </c>
      <c r="K159" s="344">
        <v>0.8781609195402299</v>
      </c>
      <c r="L159" s="344">
        <v>0.86556434219985623</v>
      </c>
      <c r="M159" s="344">
        <v>0.91380543633762523</v>
      </c>
      <c r="N159" s="344">
        <v>0.88706463696501159</v>
      </c>
      <c r="O159" s="344">
        <v>0.52109911678115794</v>
      </c>
      <c r="P159" s="344">
        <v>0.80859375</v>
      </c>
      <c r="Q159" s="344">
        <v>0.61724363161332463</v>
      </c>
      <c r="R159" s="344">
        <v>0.87179487179487181</v>
      </c>
      <c r="S159" s="344">
        <v>0.9066147859922179</v>
      </c>
      <c r="T159" s="344">
        <v>0.89002036659877803</v>
      </c>
      <c r="U159" s="344"/>
      <c r="V159" s="344"/>
      <c r="W159" s="344"/>
      <c r="X159" s="345">
        <v>0.83178665624694736</v>
      </c>
      <c r="Y159" s="345">
        <v>0.90593488908095654</v>
      </c>
      <c r="Z159" s="345">
        <v>0.86174981081553059</v>
      </c>
    </row>
    <row r="160" spans="2:26" hidden="1" outlineLevel="1" x14ac:dyDescent="0.25">
      <c r="B160" s="304">
        <v>44197</v>
      </c>
      <c r="C160" s="344"/>
      <c r="D160" s="344"/>
      <c r="E160" s="344"/>
      <c r="F160" s="344"/>
      <c r="G160" s="344"/>
      <c r="H160" s="344"/>
      <c r="I160" s="344">
        <v>0.85054617676266142</v>
      </c>
      <c r="J160" s="344">
        <v>0.93355481727574752</v>
      </c>
      <c r="K160" s="344">
        <v>0.86964831804281351</v>
      </c>
      <c r="L160" s="344">
        <v>0.87561307901907359</v>
      </c>
      <c r="M160" s="344">
        <v>0.92336448598130838</v>
      </c>
      <c r="N160" s="344">
        <v>0.89574468085106385</v>
      </c>
      <c r="O160" s="344">
        <v>0.58268398268398269</v>
      </c>
      <c r="P160" s="344">
        <v>0.84261838440111425</v>
      </c>
      <c r="Q160" s="344">
        <v>0.68232781633742656</v>
      </c>
      <c r="R160" s="344">
        <v>0.87323943661971826</v>
      </c>
      <c r="S160" s="344">
        <v>0.95357833655705992</v>
      </c>
      <c r="T160" s="344">
        <v>0.91728525980911979</v>
      </c>
      <c r="U160" s="344"/>
      <c r="V160" s="344"/>
      <c r="W160" s="344"/>
      <c r="X160" s="345">
        <v>0.83996342021033377</v>
      </c>
      <c r="Y160" s="345">
        <v>0.91832475302629746</v>
      </c>
      <c r="Z160" s="345">
        <v>0.87104072398190047</v>
      </c>
    </row>
    <row r="161" spans="2:26" hidden="1" outlineLevel="1" x14ac:dyDescent="0.25">
      <c r="B161" s="304">
        <v>44228</v>
      </c>
      <c r="C161" s="344"/>
      <c r="D161" s="344"/>
      <c r="E161" s="344"/>
      <c r="F161" s="344"/>
      <c r="G161" s="344"/>
      <c r="H161" s="344"/>
      <c r="I161" s="344">
        <v>0.84227820372398687</v>
      </c>
      <c r="J161" s="344">
        <v>0.92248062015503873</v>
      </c>
      <c r="K161" s="344">
        <v>0.85994876174210078</v>
      </c>
      <c r="L161" s="344">
        <v>0.86908931698774083</v>
      </c>
      <c r="M161" s="344">
        <v>0.91877222534156844</v>
      </c>
      <c r="N161" s="344">
        <v>0.89085690856908573</v>
      </c>
      <c r="O161" s="344">
        <v>0.56568627450980391</v>
      </c>
      <c r="P161" s="344">
        <v>0.84293193717277481</v>
      </c>
      <c r="Q161" s="344">
        <v>0.66541117388575011</v>
      </c>
      <c r="R161" s="344">
        <v>0.88471177944862156</v>
      </c>
      <c r="S161" s="344">
        <v>0.95652173913043481</v>
      </c>
      <c r="T161" s="344">
        <v>0.92316647264260765</v>
      </c>
      <c r="U161" s="344"/>
      <c r="V161" s="344"/>
      <c r="W161" s="344"/>
      <c r="X161" s="345">
        <v>0.83420818064771718</v>
      </c>
      <c r="Y161" s="345">
        <v>0.91526407428903078</v>
      </c>
      <c r="Z161" s="345">
        <v>0.86709047030431452</v>
      </c>
    </row>
    <row r="162" spans="2:26" hidden="1" outlineLevel="1" x14ac:dyDescent="0.25">
      <c r="B162" s="304">
        <v>44256</v>
      </c>
      <c r="C162" s="344"/>
      <c r="D162" s="344"/>
      <c r="E162" s="344"/>
      <c r="F162" s="344"/>
      <c r="G162" s="344"/>
      <c r="H162" s="344"/>
      <c r="I162" s="344">
        <v>0.86333837619768028</v>
      </c>
      <c r="J162" s="344">
        <v>0.9092240117130308</v>
      </c>
      <c r="K162" s="344">
        <v>0.87509377344336081</v>
      </c>
      <c r="L162" s="344">
        <v>0.86240601503759395</v>
      </c>
      <c r="M162" s="344">
        <v>0.91425541584608394</v>
      </c>
      <c r="N162" s="344">
        <v>0.88587888347849941</v>
      </c>
      <c r="O162" s="344">
        <v>0.52852614896988903</v>
      </c>
      <c r="P162" s="344">
        <v>0.79262672811059909</v>
      </c>
      <c r="Q162" s="344">
        <v>0.61840041819132252</v>
      </c>
      <c r="R162" s="344">
        <v>0.96680497925311204</v>
      </c>
      <c r="S162" s="344">
        <v>0.97992471769134248</v>
      </c>
      <c r="T162" s="344">
        <v>0.97427652733118975</v>
      </c>
      <c r="U162" s="344"/>
      <c r="V162" s="344"/>
      <c r="W162" s="344"/>
      <c r="X162" s="345">
        <v>0.83877715205148828</v>
      </c>
      <c r="Y162" s="345">
        <v>0.91657046909434359</v>
      </c>
      <c r="Z162" s="345">
        <v>0.87253517919759549</v>
      </c>
    </row>
    <row r="163" spans="2:26" hidden="1" outlineLevel="1" x14ac:dyDescent="0.25">
      <c r="B163" s="304">
        <v>44287</v>
      </c>
      <c r="C163" s="344"/>
      <c r="D163" s="344"/>
      <c r="E163" s="344"/>
      <c r="F163" s="344"/>
      <c r="G163" s="344"/>
      <c r="H163" s="344"/>
      <c r="I163" s="344">
        <v>0.83170515097690945</v>
      </c>
      <c r="J163" s="344">
        <v>0.92608695652173911</v>
      </c>
      <c r="K163" s="344">
        <v>0.85384092454112848</v>
      </c>
      <c r="L163" s="344">
        <v>0.8457253886010363</v>
      </c>
      <c r="M163" s="344">
        <v>0.89018109320485128</v>
      </c>
      <c r="N163" s="344">
        <v>0.86520125191061936</v>
      </c>
      <c r="O163" s="344">
        <v>0.5028169014084507</v>
      </c>
      <c r="P163" s="344">
        <v>0.74452554744525545</v>
      </c>
      <c r="Q163" s="344">
        <v>0.58147268408551067</v>
      </c>
      <c r="R163" s="344">
        <v>0.96150999259807546</v>
      </c>
      <c r="S163" s="344">
        <v>0.97137850467289721</v>
      </c>
      <c r="T163" s="344">
        <v>0.96702579170747638</v>
      </c>
      <c r="U163" s="344"/>
      <c r="V163" s="344"/>
      <c r="W163" s="344"/>
      <c r="X163" s="345">
        <v>0.81731146511810404</v>
      </c>
      <c r="Y163" s="345">
        <v>0.89721063035361304</v>
      </c>
      <c r="Z163" s="345">
        <v>0.85061101194562683</v>
      </c>
    </row>
    <row r="164" spans="2:26" hidden="1" outlineLevel="1" x14ac:dyDescent="0.25">
      <c r="B164" s="304">
        <v>44317</v>
      </c>
      <c r="C164" s="344"/>
      <c r="D164" s="344"/>
      <c r="E164" s="344"/>
      <c r="F164" s="344"/>
      <c r="G164" s="344"/>
      <c r="H164" s="344"/>
      <c r="I164" s="344">
        <v>0.82171474358974361</v>
      </c>
      <c r="J164" s="344">
        <v>0.92526690391459077</v>
      </c>
      <c r="K164" s="344">
        <v>0.84785864031147051</v>
      </c>
      <c r="L164" s="344">
        <v>0.82548618219037873</v>
      </c>
      <c r="M164" s="344">
        <v>0.88222335197424162</v>
      </c>
      <c r="N164" s="344">
        <v>0.84989429175475684</v>
      </c>
      <c r="O164" s="344">
        <v>0.53803596127247577</v>
      </c>
      <c r="P164" s="344">
        <v>0.77435265104808881</v>
      </c>
      <c r="Q164" s="344">
        <v>0.62295081967213117</v>
      </c>
      <c r="R164" s="344">
        <v>0.94036697247706424</v>
      </c>
      <c r="S164" s="344">
        <v>0.95575221238938057</v>
      </c>
      <c r="T164" s="344">
        <v>0.94940898345153668</v>
      </c>
      <c r="U164" s="344"/>
      <c r="V164" s="344"/>
      <c r="W164" s="344"/>
      <c r="X164" s="345">
        <v>0.79976247030878855</v>
      </c>
      <c r="Y164" s="345">
        <v>0.8867924528301887</v>
      </c>
      <c r="Z164" s="345">
        <v>0.83549561321635246</v>
      </c>
    </row>
    <row r="165" spans="2:26" hidden="1" outlineLevel="1" x14ac:dyDescent="0.25">
      <c r="B165" s="304">
        <v>44348</v>
      </c>
      <c r="C165" s="344"/>
      <c r="D165" s="344"/>
      <c r="E165" s="344"/>
      <c r="F165" s="344"/>
      <c r="G165" s="344"/>
      <c r="H165" s="344"/>
      <c r="I165" s="344">
        <v>0.80720180045011258</v>
      </c>
      <c r="J165" s="344">
        <v>0.93437152391546163</v>
      </c>
      <c r="K165" s="344">
        <v>0.83927068723702669</v>
      </c>
      <c r="L165" s="344">
        <v>0.83035251425609125</v>
      </c>
      <c r="M165" s="344">
        <v>0.89666550885724206</v>
      </c>
      <c r="N165" s="344">
        <v>0.85869081193409524</v>
      </c>
      <c r="O165" s="344">
        <v>0.53768115942028982</v>
      </c>
      <c r="P165" s="344">
        <v>0.74175824175824179</v>
      </c>
      <c r="Q165" s="344">
        <v>0.60815939278937381</v>
      </c>
      <c r="R165" s="344">
        <v>0.88603988603988604</v>
      </c>
      <c r="S165" s="344">
        <v>0.93106796116504853</v>
      </c>
      <c r="T165" s="344">
        <v>0.91281755196304848</v>
      </c>
      <c r="U165" s="344"/>
      <c r="V165" s="344"/>
      <c r="W165" s="344"/>
      <c r="X165" s="345">
        <v>0.79613286264441596</v>
      </c>
      <c r="Y165" s="345">
        <v>0.89150326797385626</v>
      </c>
      <c r="Z165" s="345">
        <v>0.83457062119833325</v>
      </c>
    </row>
    <row r="166" spans="2:26" hidden="1" outlineLevel="1" x14ac:dyDescent="0.25">
      <c r="B166" s="304">
        <v>44378</v>
      </c>
      <c r="C166" s="344"/>
      <c r="D166" s="344"/>
      <c r="E166" s="344"/>
      <c r="F166" s="344"/>
      <c r="G166" s="344"/>
      <c r="H166" s="344"/>
      <c r="I166" s="344">
        <v>0.83728700300701642</v>
      </c>
      <c r="J166" s="344">
        <v>0.93866171003717469</v>
      </c>
      <c r="K166" s="344">
        <v>0.86409437208159257</v>
      </c>
      <c r="L166" s="344">
        <v>0.84869717538865774</v>
      </c>
      <c r="M166" s="344">
        <v>0.90397003745318349</v>
      </c>
      <c r="N166" s="344">
        <v>0.87203491681953316</v>
      </c>
      <c r="O166" s="344">
        <v>0.52374920835972139</v>
      </c>
      <c r="P166" s="344">
        <v>0.74268292682926829</v>
      </c>
      <c r="Q166" s="344">
        <v>0.59858274280950396</v>
      </c>
      <c r="R166" s="344">
        <v>0.88607594936708856</v>
      </c>
      <c r="S166" s="344">
        <v>0.93531827515400412</v>
      </c>
      <c r="T166" s="344">
        <v>0.91594022415940224</v>
      </c>
      <c r="U166" s="344"/>
      <c r="V166" s="344"/>
      <c r="W166" s="344"/>
      <c r="X166" s="345">
        <v>0.81217743060398939</v>
      </c>
      <c r="Y166" s="345">
        <v>0.89722367731796748</v>
      </c>
      <c r="Z166" s="345">
        <v>0.84616672947284677</v>
      </c>
    </row>
    <row r="167" spans="2:26" hidden="1" outlineLevel="1" x14ac:dyDescent="0.25">
      <c r="B167" s="304">
        <v>44409</v>
      </c>
      <c r="C167" s="344"/>
      <c r="D167" s="344"/>
      <c r="E167" s="344"/>
      <c r="F167" s="344"/>
      <c r="G167" s="344"/>
      <c r="H167" s="344"/>
      <c r="I167" s="344">
        <v>0.82265372168284789</v>
      </c>
      <c r="J167" s="344">
        <v>0.93534844668345929</v>
      </c>
      <c r="K167" s="344">
        <v>0.85400607334734879</v>
      </c>
      <c r="L167" s="344">
        <v>0.83765027856514518</v>
      </c>
      <c r="M167" s="344">
        <v>0.90357366771159875</v>
      </c>
      <c r="N167" s="344">
        <v>0.86652751840052733</v>
      </c>
      <c r="O167" s="344">
        <v>0.53123175715119675</v>
      </c>
      <c r="P167" s="344">
        <v>0.72410032715376227</v>
      </c>
      <c r="Q167" s="344">
        <v>0.59847908745247147</v>
      </c>
      <c r="R167" s="344">
        <v>0.87596899224806202</v>
      </c>
      <c r="S167" s="344">
        <v>0.92935982339955847</v>
      </c>
      <c r="T167" s="344">
        <v>0.90715667311411996</v>
      </c>
      <c r="U167" s="344"/>
      <c r="V167" s="344"/>
      <c r="W167" s="344"/>
      <c r="X167" s="345">
        <v>0.80279354550672877</v>
      </c>
      <c r="Y167" s="345">
        <v>0.89416689416689421</v>
      </c>
      <c r="Z167" s="345">
        <v>0.84044547772611367</v>
      </c>
    </row>
    <row r="168" spans="2:26" hidden="1" outlineLevel="1" x14ac:dyDescent="0.25">
      <c r="B168" s="304">
        <v>44440</v>
      </c>
      <c r="C168" s="344"/>
      <c r="D168" s="344"/>
      <c r="E168" s="344"/>
      <c r="F168" s="344"/>
      <c r="G168" s="344"/>
      <c r="H168" s="344"/>
      <c r="I168" s="344">
        <v>0.84143377885783721</v>
      </c>
      <c r="J168" s="344">
        <v>0.93739703459637558</v>
      </c>
      <c r="K168" s="344">
        <v>0.86728806036395911</v>
      </c>
      <c r="L168" s="344">
        <v>0.85278276481149018</v>
      </c>
      <c r="M168" s="344">
        <v>0.9110135213220848</v>
      </c>
      <c r="N168" s="344">
        <v>0.87823978174101958</v>
      </c>
      <c r="O168" s="344">
        <v>0.52121595946801769</v>
      </c>
      <c r="P168" s="344">
        <v>0.75876010781671155</v>
      </c>
      <c r="Q168" s="344">
        <v>0.59715639810426535</v>
      </c>
      <c r="R168" s="344">
        <v>0.82421227197346603</v>
      </c>
      <c r="S168" s="344">
        <v>0.91428571428571426</v>
      </c>
      <c r="T168" s="344">
        <v>0.87664587664587668</v>
      </c>
      <c r="U168" s="344"/>
      <c r="V168" s="344"/>
      <c r="W168" s="344"/>
      <c r="X168" s="345">
        <v>0.81798483206933914</v>
      </c>
      <c r="Y168" s="345">
        <v>0.90418377150842866</v>
      </c>
      <c r="Z168" s="345">
        <v>0.85315183693831731</v>
      </c>
    </row>
    <row r="169" spans="2:26" hidden="1" outlineLevel="1" x14ac:dyDescent="0.25">
      <c r="B169" s="304">
        <v>44470</v>
      </c>
      <c r="C169" s="344"/>
      <c r="D169" s="344"/>
      <c r="E169" s="344"/>
      <c r="F169" s="344"/>
      <c r="G169" s="344"/>
      <c r="H169" s="344"/>
      <c r="I169" s="344">
        <v>0.80868872060581909</v>
      </c>
      <c r="J169" s="344">
        <v>0.91588785046728971</v>
      </c>
      <c r="K169" s="344">
        <v>0.83842165898617516</v>
      </c>
      <c r="L169" s="344">
        <v>0.85333333333333339</v>
      </c>
      <c r="M169" s="344">
        <v>0.90932642487046633</v>
      </c>
      <c r="N169" s="344">
        <v>0.87776207968352638</v>
      </c>
      <c r="O169" s="344">
        <v>0.5005988023952096</v>
      </c>
      <c r="P169" s="344">
        <v>0.71558441558441555</v>
      </c>
      <c r="Q169" s="344">
        <v>0.56844262295081971</v>
      </c>
      <c r="R169" s="344">
        <v>0.86096256684491979</v>
      </c>
      <c r="S169" s="344">
        <v>0.94495412844036697</v>
      </c>
      <c r="T169" s="344">
        <v>0.91207257501744587</v>
      </c>
      <c r="U169" s="344"/>
      <c r="V169" s="344"/>
      <c r="W169" s="344"/>
      <c r="X169" s="345">
        <v>0.80598029221882428</v>
      </c>
      <c r="Y169" s="345">
        <v>0.89849878934624694</v>
      </c>
      <c r="Z169" s="345">
        <v>0.84412939297124601</v>
      </c>
    </row>
    <row r="170" spans="2:26" hidden="1" outlineLevel="1" x14ac:dyDescent="0.25">
      <c r="B170" s="304">
        <v>44501</v>
      </c>
      <c r="C170" s="344"/>
      <c r="D170" s="344"/>
      <c r="E170" s="344"/>
      <c r="F170" s="344"/>
      <c r="G170" s="344"/>
      <c r="H170" s="344"/>
      <c r="I170" s="344">
        <v>0.84548308336239975</v>
      </c>
      <c r="J170" s="344">
        <v>0.95504495504495501</v>
      </c>
      <c r="K170" s="344">
        <v>0.87383660806618413</v>
      </c>
      <c r="L170" s="344">
        <v>0.84268985706905464</v>
      </c>
      <c r="M170" s="344">
        <v>0.9032182287996241</v>
      </c>
      <c r="N170" s="344">
        <v>0.86829292527821944</v>
      </c>
      <c r="O170" s="344">
        <v>0.49972781709308661</v>
      </c>
      <c r="P170" s="344">
        <v>0.75155279503105588</v>
      </c>
      <c r="Q170" s="344">
        <v>0.57645722937168808</v>
      </c>
      <c r="R170" s="344">
        <v>0.86956521739130432</v>
      </c>
      <c r="S170" s="344">
        <v>0.92841648590021697</v>
      </c>
      <c r="T170" s="344">
        <v>0.905811623246493</v>
      </c>
      <c r="U170" s="344"/>
      <c r="V170" s="344"/>
      <c r="W170" s="344"/>
      <c r="X170" s="345">
        <v>0.80678387497780146</v>
      </c>
      <c r="Y170" s="345">
        <v>0.89903931684753602</v>
      </c>
      <c r="Z170" s="345">
        <v>0.84364670339434866</v>
      </c>
    </row>
    <row r="171" spans="2:26" collapsed="1" x14ac:dyDescent="0.25">
      <c r="B171" s="304">
        <v>44531</v>
      </c>
      <c r="C171" s="344"/>
      <c r="D171" s="344"/>
      <c r="E171" s="344"/>
      <c r="F171" s="344"/>
      <c r="G171" s="344"/>
      <c r="H171" s="344"/>
      <c r="I171" s="344">
        <v>0.8102694828841952</v>
      </c>
      <c r="J171" s="344">
        <v>0.93002915451895041</v>
      </c>
      <c r="K171" s="344">
        <v>0.84291390728476823</v>
      </c>
      <c r="L171" s="344">
        <v>0.83099545322627455</v>
      </c>
      <c r="M171" s="344">
        <v>0.89599906410856345</v>
      </c>
      <c r="N171" s="344">
        <v>0.86041832141911567</v>
      </c>
      <c r="O171" s="344">
        <v>0.48141695702671311</v>
      </c>
      <c r="P171" s="344">
        <v>0.69060052219321144</v>
      </c>
      <c r="Q171" s="344">
        <v>0.54581993569131837</v>
      </c>
      <c r="R171" s="344">
        <v>0.88741721854304634</v>
      </c>
      <c r="S171" s="344">
        <v>0.93617021276595747</v>
      </c>
      <c r="T171" s="344">
        <v>0.91586206896551725</v>
      </c>
      <c r="U171" s="344"/>
      <c r="V171" s="344"/>
      <c r="W171" s="344"/>
      <c r="X171" s="345">
        <v>0.79044714128106952</v>
      </c>
      <c r="Y171" s="345">
        <v>0.88810438823844851</v>
      </c>
      <c r="Z171" s="345">
        <v>0.83152868636739607</v>
      </c>
    </row>
    <row r="172" spans="2:26" hidden="1" outlineLevel="1" x14ac:dyDescent="0.25">
      <c r="B172" s="304">
        <v>44562</v>
      </c>
      <c r="C172" s="344"/>
      <c r="D172" s="344"/>
      <c r="E172" s="344"/>
      <c r="F172" s="344"/>
      <c r="G172" s="344"/>
      <c r="H172" s="344"/>
      <c r="I172" s="344">
        <v>0.92416274564074175</v>
      </c>
      <c r="J172" s="344">
        <v>0.94554064719810571</v>
      </c>
      <c r="K172" s="344">
        <v>0.92971311475409835</v>
      </c>
      <c r="L172" s="344">
        <v>0.9375</v>
      </c>
      <c r="M172" s="344">
        <v>0.95020949040241642</v>
      </c>
      <c r="N172" s="344">
        <v>0.94345306010679564</v>
      </c>
      <c r="O172" s="344">
        <v>0.47366071428571432</v>
      </c>
      <c r="P172" s="344">
        <v>0.70322580645161292</v>
      </c>
      <c r="Q172" s="344">
        <v>0.54100946372239744</v>
      </c>
      <c r="R172" s="344">
        <v>0.85065885797950225</v>
      </c>
      <c r="S172" s="344">
        <v>0.91685649202733488</v>
      </c>
      <c r="T172" s="344">
        <v>0.88789237668161436</v>
      </c>
      <c r="U172" s="344"/>
      <c r="V172" s="344"/>
      <c r="W172" s="344"/>
      <c r="X172" s="345">
        <v>0.87445006599208097</v>
      </c>
      <c r="Y172" s="345">
        <v>0.9303493777177988</v>
      </c>
      <c r="Z172" s="345">
        <v>0.89810291225176064</v>
      </c>
    </row>
    <row r="173" spans="2:26" hidden="1" outlineLevel="1" x14ac:dyDescent="0.25">
      <c r="B173" s="304">
        <v>44593</v>
      </c>
      <c r="C173" s="344">
        <v>0.82779298657280664</v>
      </c>
      <c r="D173" s="344">
        <v>0.81670721816707215</v>
      </c>
      <c r="E173" s="344">
        <v>0.82509618230245629</v>
      </c>
      <c r="F173" s="344">
        <v>0.86400879443019418</v>
      </c>
      <c r="G173" s="344">
        <v>0.85768219224569442</v>
      </c>
      <c r="H173" s="344">
        <v>0.86078864603050087</v>
      </c>
      <c r="I173" s="344"/>
      <c r="J173" s="344"/>
      <c r="K173" s="344"/>
      <c r="L173" s="344"/>
      <c r="M173" s="344"/>
      <c r="N173" s="344"/>
      <c r="O173" s="344">
        <v>0.5227502527805864</v>
      </c>
      <c r="P173" s="344">
        <v>0.74002047082906852</v>
      </c>
      <c r="Q173" s="344">
        <v>0.594585448392555</v>
      </c>
      <c r="R173" s="344">
        <v>0.78181818181818186</v>
      </c>
      <c r="S173" s="344">
        <v>0.79359605911330044</v>
      </c>
      <c r="T173" s="344">
        <v>0.78895522388059702</v>
      </c>
      <c r="U173" s="344"/>
      <c r="V173" s="344"/>
      <c r="W173" s="344"/>
      <c r="X173" s="345">
        <v>0.8506073692451448</v>
      </c>
      <c r="Y173" s="345">
        <v>0.8531399698142923</v>
      </c>
      <c r="Z173" s="345">
        <v>0.85184922999697532</v>
      </c>
    </row>
    <row r="174" spans="2:26" hidden="1" outlineLevel="1" x14ac:dyDescent="0.25">
      <c r="B174" s="304">
        <v>44621</v>
      </c>
      <c r="C174" s="344">
        <v>0.84488448844884489</v>
      </c>
      <c r="D174" s="344">
        <v>0.92093023255813955</v>
      </c>
      <c r="E174" s="344">
        <v>0.8731420670584169</v>
      </c>
      <c r="F174" s="344">
        <v>0.90080663572026487</v>
      </c>
      <c r="G174" s="344">
        <v>0.88619135780906133</v>
      </c>
      <c r="H174" s="344">
        <v>0.89318690924984978</v>
      </c>
      <c r="I174" s="344"/>
      <c r="J174" s="344"/>
      <c r="K174" s="344"/>
      <c r="L174" s="344"/>
      <c r="M174" s="344"/>
      <c r="N174" s="344"/>
      <c r="O174" s="344">
        <v>0.48508430609597919</v>
      </c>
      <c r="P174" s="344">
        <v>0.71189591078066916</v>
      </c>
      <c r="Q174" s="344">
        <v>0.55709648863971672</v>
      </c>
      <c r="R174" s="344">
        <v>0.83420365535248042</v>
      </c>
      <c r="S174" s="344">
        <v>0.8980291345329906</v>
      </c>
      <c r="T174" s="344">
        <v>0.87273667873771343</v>
      </c>
      <c r="U174" s="344"/>
      <c r="V174" s="344"/>
      <c r="W174" s="344"/>
      <c r="X174" s="345">
        <v>0.86506943776259659</v>
      </c>
      <c r="Y174" s="345">
        <v>0.88192205352950381</v>
      </c>
      <c r="Z174" s="345">
        <v>0.87359799759204104</v>
      </c>
    </row>
    <row r="175" spans="2:26" hidden="1" outlineLevel="1" x14ac:dyDescent="0.25">
      <c r="B175" s="304">
        <v>44652</v>
      </c>
      <c r="C175" s="344">
        <v>0.89622641509433965</v>
      </c>
      <c r="D175" s="344">
        <v>0.92993197278911566</v>
      </c>
      <c r="E175" s="344">
        <v>0.91002785515320339</v>
      </c>
      <c r="F175" s="344">
        <v>0.89883546939041048</v>
      </c>
      <c r="G175" s="344">
        <v>0.88800181190193084</v>
      </c>
      <c r="H175" s="344">
        <v>0.89304310971179457</v>
      </c>
      <c r="I175" s="344"/>
      <c r="J175" s="344"/>
      <c r="K175" s="344"/>
      <c r="L175" s="344"/>
      <c r="M175" s="344"/>
      <c r="N175" s="344"/>
      <c r="O175" s="344">
        <v>0.47977422389463781</v>
      </c>
      <c r="P175" s="344">
        <v>0.70594479830148615</v>
      </c>
      <c r="Q175" s="344">
        <v>0.54921773142112129</v>
      </c>
      <c r="R175" s="344">
        <v>0.80496453900709219</v>
      </c>
      <c r="S175" s="344">
        <v>0.90216010165184246</v>
      </c>
      <c r="T175" s="344">
        <v>0.8615840118430792</v>
      </c>
      <c r="U175" s="344"/>
      <c r="V175" s="344"/>
      <c r="W175" s="344"/>
      <c r="X175" s="345">
        <v>0.85179128883603394</v>
      </c>
      <c r="Y175" s="345">
        <v>0.88326941514860979</v>
      </c>
      <c r="Z175" s="345">
        <v>0.86779074583952631</v>
      </c>
    </row>
    <row r="176" spans="2:26" hidden="1" outlineLevel="1" x14ac:dyDescent="0.25">
      <c r="B176" s="304">
        <v>44682</v>
      </c>
      <c r="C176" s="344">
        <v>0.90978441127694865</v>
      </c>
      <c r="D176" s="344">
        <v>0.921875</v>
      </c>
      <c r="E176" s="344">
        <v>0.91485262955114621</v>
      </c>
      <c r="F176" s="344">
        <v>0.89879287501840133</v>
      </c>
      <c r="G176" s="344">
        <v>0.8821059038344492</v>
      </c>
      <c r="H176" s="344">
        <v>0.88965884861407252</v>
      </c>
      <c r="I176" s="344"/>
      <c r="J176" s="344"/>
      <c r="K176" s="344"/>
      <c r="L176" s="344"/>
      <c r="M176" s="344"/>
      <c r="N176" s="344"/>
      <c r="O176" s="344">
        <v>0.48662599718442051</v>
      </c>
      <c r="P176" s="344">
        <v>0.7120535714285714</v>
      </c>
      <c r="Q176" s="344">
        <v>0.55335315493888337</v>
      </c>
      <c r="R176" s="344">
        <v>0.76769509981851181</v>
      </c>
      <c r="S176" s="344">
        <v>0.84615384615384615</v>
      </c>
      <c r="T176" s="344">
        <v>0.81518624641833815</v>
      </c>
      <c r="U176" s="344"/>
      <c r="V176" s="344"/>
      <c r="W176" s="344"/>
      <c r="X176" s="345">
        <v>0.85121609708032986</v>
      </c>
      <c r="Y176" s="345">
        <v>0.87737750036860473</v>
      </c>
      <c r="Z176" s="345">
        <v>0.86464799394398184</v>
      </c>
    </row>
    <row r="177" spans="2:26" hidden="1" outlineLevel="1" x14ac:dyDescent="0.25">
      <c r="B177" s="304">
        <v>44713</v>
      </c>
      <c r="C177" s="344">
        <v>0.92682096664397551</v>
      </c>
      <c r="D177" s="344">
        <v>0.92055870798777828</v>
      </c>
      <c r="E177" s="344">
        <v>0.92407726142665902</v>
      </c>
      <c r="F177" s="344">
        <v>0.89054798492316611</v>
      </c>
      <c r="G177" s="344">
        <v>0.85934696806602084</v>
      </c>
      <c r="H177" s="344">
        <v>0.87345173340323745</v>
      </c>
      <c r="I177" s="344"/>
      <c r="J177" s="344"/>
      <c r="K177" s="344"/>
      <c r="L177" s="344"/>
      <c r="M177" s="344"/>
      <c r="N177" s="344"/>
      <c r="O177" s="344">
        <v>0.46988605534454692</v>
      </c>
      <c r="P177" s="344">
        <v>0.68858560794044665</v>
      </c>
      <c r="Q177" s="344">
        <v>0.53642884107210265</v>
      </c>
      <c r="R177" s="344">
        <v>0.79356060606060608</v>
      </c>
      <c r="S177" s="344">
        <v>0.87439613526570048</v>
      </c>
      <c r="T177" s="344">
        <v>0.84292035398230092</v>
      </c>
      <c r="U177" s="344"/>
      <c r="V177" s="344"/>
      <c r="W177" s="344"/>
      <c r="X177" s="345">
        <v>0.85286574195236853</v>
      </c>
      <c r="Y177" s="345">
        <v>0.86007652443454252</v>
      </c>
      <c r="Z177" s="345">
        <v>0.85661098812638359</v>
      </c>
    </row>
    <row r="178" spans="2:26" hidden="1" outlineLevel="1" x14ac:dyDescent="0.25">
      <c r="B178" s="304">
        <v>44743</v>
      </c>
      <c r="C178" s="344">
        <v>0.89104704097116849</v>
      </c>
      <c r="D178" s="344">
        <v>0.92302284710017579</v>
      </c>
      <c r="E178" s="344">
        <v>0.9058631921824104</v>
      </c>
      <c r="F178" s="344">
        <v>0.87796829505014562</v>
      </c>
      <c r="G178" s="344">
        <v>0.80814997754827123</v>
      </c>
      <c r="H178" s="344">
        <v>0.84058188813080459</v>
      </c>
      <c r="I178" s="344"/>
      <c r="J178" s="344"/>
      <c r="K178" s="344"/>
      <c r="L178" s="344"/>
      <c r="M178" s="344"/>
      <c r="N178" s="344"/>
      <c r="O178" s="344">
        <v>0.48042870456663561</v>
      </c>
      <c r="P178" s="344">
        <v>0.68866886688668871</v>
      </c>
      <c r="Q178" s="344">
        <v>0.5423895253682488</v>
      </c>
      <c r="R178" s="344">
        <v>0.7839195979899497</v>
      </c>
      <c r="S178" s="344">
        <v>0.8913270637408568</v>
      </c>
      <c r="T178" s="344">
        <v>0.8500643500643501</v>
      </c>
      <c r="U178" s="344"/>
      <c r="V178" s="344"/>
      <c r="W178" s="344"/>
      <c r="X178" s="345">
        <v>0.83766807797887688</v>
      </c>
      <c r="Y178" s="345">
        <v>0.8213699116615617</v>
      </c>
      <c r="Z178" s="345">
        <v>0.8293275783734666</v>
      </c>
    </row>
    <row r="179" spans="2:26" hidden="1" outlineLevel="1" x14ac:dyDescent="0.25">
      <c r="B179" s="304">
        <v>44774</v>
      </c>
      <c r="C179" s="344">
        <v>0.87192945622506823</v>
      </c>
      <c r="D179" s="344">
        <v>0.93456032719836402</v>
      </c>
      <c r="E179" s="344">
        <v>0.90514691382370338</v>
      </c>
      <c r="F179" s="344">
        <v>0.82690302398331594</v>
      </c>
      <c r="G179" s="344">
        <v>0.78130664354953105</v>
      </c>
      <c r="H179" s="344">
        <v>0.80250869611046693</v>
      </c>
      <c r="I179" s="344"/>
      <c r="J179" s="344"/>
      <c r="K179" s="344"/>
      <c r="L179" s="344"/>
      <c r="M179" s="344"/>
      <c r="N179" s="344"/>
      <c r="O179" s="344">
        <v>0.44206008583690992</v>
      </c>
      <c r="P179" s="344">
        <v>0.69191919191919193</v>
      </c>
      <c r="Q179" s="344">
        <v>0.51168027019420204</v>
      </c>
      <c r="R179" s="344">
        <v>0.82911392405063289</v>
      </c>
      <c r="S179" s="344">
        <v>0.86809563066776585</v>
      </c>
      <c r="T179" s="344">
        <v>0.85272091862206689</v>
      </c>
      <c r="U179" s="344"/>
      <c r="V179" s="344">
        <v>0.66666666666666663</v>
      </c>
      <c r="W179" s="344">
        <v>0.66666666666666663</v>
      </c>
      <c r="X179" s="345">
        <v>0.80137871607065925</v>
      </c>
      <c r="Y179" s="345">
        <v>0.80681370020932563</v>
      </c>
      <c r="Z179" s="345">
        <v>0.80421629498226055</v>
      </c>
    </row>
    <row r="180" spans="2:26" hidden="1" outlineLevel="1" x14ac:dyDescent="0.25">
      <c r="B180" s="304">
        <v>44805</v>
      </c>
      <c r="C180" s="344">
        <v>0.86744838134081059</v>
      </c>
      <c r="D180" s="344">
        <v>0.87170071149873762</v>
      </c>
      <c r="E180" s="344">
        <v>0.86968599033816429</v>
      </c>
      <c r="F180" s="344">
        <v>0.85569301429735534</v>
      </c>
      <c r="G180" s="344">
        <v>0.80716231373177372</v>
      </c>
      <c r="H180" s="344">
        <v>0.8323775066394673</v>
      </c>
      <c r="I180" s="344"/>
      <c r="J180" s="344"/>
      <c r="K180" s="344"/>
      <c r="L180" s="344"/>
      <c r="M180" s="344"/>
      <c r="N180" s="344"/>
      <c r="O180" s="344">
        <v>0.48449197860962567</v>
      </c>
      <c r="P180" s="344">
        <v>0.69845360824742264</v>
      </c>
      <c r="Q180" s="344">
        <v>0.54724111866969005</v>
      </c>
      <c r="R180" s="344">
        <v>0.78727634194831009</v>
      </c>
      <c r="S180" s="344">
        <v>0.87247474747474751</v>
      </c>
      <c r="T180" s="344">
        <v>0.83938223938223944</v>
      </c>
      <c r="U180" s="344">
        <v>1</v>
      </c>
      <c r="V180" s="344"/>
      <c r="W180" s="344">
        <v>1</v>
      </c>
      <c r="X180" s="345">
        <v>0.8212265104061427</v>
      </c>
      <c r="Y180" s="345">
        <v>0.82066605095887435</v>
      </c>
      <c r="Z180" s="345">
        <v>0.82095646938722089</v>
      </c>
    </row>
    <row r="181" spans="2:26" hidden="1" outlineLevel="1" x14ac:dyDescent="0.25">
      <c r="B181" s="304">
        <v>44835</v>
      </c>
      <c r="C181" s="344">
        <v>0.86385771755240315</v>
      </c>
      <c r="D181" s="344">
        <v>0.88913122500908759</v>
      </c>
      <c r="E181" s="344">
        <v>0.8774572127139364</v>
      </c>
      <c r="F181" s="344">
        <v>0.85531230545756376</v>
      </c>
      <c r="G181" s="344">
        <v>0.81477789545822688</v>
      </c>
      <c r="H181" s="344">
        <v>0.83689529255243866</v>
      </c>
      <c r="I181" s="344"/>
      <c r="J181" s="344"/>
      <c r="K181" s="344"/>
      <c r="L181" s="344"/>
      <c r="M181" s="344"/>
      <c r="N181" s="344"/>
      <c r="O181" s="344">
        <v>0.46325051759834368</v>
      </c>
      <c r="P181" s="344">
        <v>0.71070013210039629</v>
      </c>
      <c r="Q181" s="344">
        <v>0.53291186314615102</v>
      </c>
      <c r="R181" s="344">
        <v>0.80360721442885774</v>
      </c>
      <c r="S181" s="344">
        <v>0.84697986577181206</v>
      </c>
      <c r="T181" s="344">
        <v>0.82958199356913187</v>
      </c>
      <c r="U181" s="344"/>
      <c r="V181" s="344"/>
      <c r="W181" s="344"/>
      <c r="X181" s="345">
        <v>0.8272039349224366</v>
      </c>
      <c r="Y181" s="345">
        <v>0.83014530470613745</v>
      </c>
      <c r="Z181" s="345">
        <v>0.82857431544912596</v>
      </c>
    </row>
    <row r="182" spans="2:26" hidden="1" outlineLevel="1" x14ac:dyDescent="0.25">
      <c r="B182" s="304">
        <v>44866</v>
      </c>
      <c r="C182" s="344">
        <v>0.88927525622254755</v>
      </c>
      <c r="D182" s="344">
        <v>0.90350364963503649</v>
      </c>
      <c r="E182" s="344">
        <v>0.8971901900276108</v>
      </c>
      <c r="F182" s="344">
        <v>0.88591229398404281</v>
      </c>
      <c r="G182" s="344">
        <v>0.83520331594368613</v>
      </c>
      <c r="H182" s="344">
        <v>0.86314337055576951</v>
      </c>
      <c r="I182" s="344"/>
      <c r="J182" s="344"/>
      <c r="K182" s="344"/>
      <c r="L182" s="344"/>
      <c r="M182" s="344"/>
      <c r="N182" s="344"/>
      <c r="O182" s="344">
        <v>0.4942475839852738</v>
      </c>
      <c r="P182" s="344">
        <v>0.71019473081328754</v>
      </c>
      <c r="Q182" s="344">
        <v>0.55613919894944186</v>
      </c>
      <c r="R182" s="344">
        <v>0.79764243614931241</v>
      </c>
      <c r="S182" s="344">
        <v>0.86255924170616116</v>
      </c>
      <c r="T182" s="344">
        <v>0.83813747228381374</v>
      </c>
      <c r="U182" s="344"/>
      <c r="V182" s="344">
        <v>0.375</v>
      </c>
      <c r="W182" s="344">
        <v>0.375</v>
      </c>
      <c r="X182" s="345">
        <v>0.85124619820673852</v>
      </c>
      <c r="Y182" s="345">
        <v>0.85195852534562211</v>
      </c>
      <c r="Z182" s="345">
        <v>0.85158191500469871</v>
      </c>
    </row>
    <row r="183" spans="2:26" collapsed="1" x14ac:dyDescent="0.25">
      <c r="B183" s="304">
        <v>44896</v>
      </c>
      <c r="C183" s="344">
        <v>0.93125254997960016</v>
      </c>
      <c r="D183" s="344">
        <v>0.93916863805339645</v>
      </c>
      <c r="E183" s="344">
        <v>0.93558225508317927</v>
      </c>
      <c r="F183" s="344">
        <v>0.94004234084379257</v>
      </c>
      <c r="G183" s="344">
        <v>0.88908829863603733</v>
      </c>
      <c r="H183" s="344">
        <v>0.91674189577349197</v>
      </c>
      <c r="I183" s="344"/>
      <c r="J183" s="344"/>
      <c r="K183" s="344"/>
      <c r="L183" s="344"/>
      <c r="M183" s="344"/>
      <c r="N183" s="344"/>
      <c r="O183" s="344">
        <v>0.49205378973105129</v>
      </c>
      <c r="P183" s="344">
        <v>0.67341430499325239</v>
      </c>
      <c r="Q183" s="344">
        <v>0.54859066049642402</v>
      </c>
      <c r="R183" s="344">
        <v>0.81325301204819278</v>
      </c>
      <c r="S183" s="344">
        <v>0.86799999999999999</v>
      </c>
      <c r="T183" s="344">
        <v>0.84615384615384615</v>
      </c>
      <c r="U183" s="344"/>
      <c r="V183" s="344">
        <v>0.5</v>
      </c>
      <c r="W183" s="344">
        <v>0.5</v>
      </c>
      <c r="X183" s="345">
        <v>0.89862797354654034</v>
      </c>
      <c r="Y183" s="345">
        <v>0.89551112787627307</v>
      </c>
      <c r="Z183" s="345">
        <v>0.89713799943326722</v>
      </c>
    </row>
    <row r="184" spans="2:26" hidden="1" outlineLevel="1" x14ac:dyDescent="0.25">
      <c r="B184" s="304">
        <v>44927</v>
      </c>
      <c r="C184" s="344">
        <v>0.84859232986034139</v>
      </c>
      <c r="D184" s="344">
        <v>0.91215176892838834</v>
      </c>
      <c r="E184" s="344">
        <v>0.88448176027793857</v>
      </c>
      <c r="F184" s="344">
        <v>0.90501943552475916</v>
      </c>
      <c r="G184" s="344">
        <v>0.83654248639598161</v>
      </c>
      <c r="H184" s="344">
        <v>0.87442730247779332</v>
      </c>
      <c r="I184" s="344"/>
      <c r="J184" s="344"/>
      <c r="K184" s="344"/>
      <c r="L184" s="344"/>
      <c r="M184" s="344"/>
      <c r="N184" s="344"/>
      <c r="O184" s="344">
        <v>0.48349415947181312</v>
      </c>
      <c r="P184" s="344">
        <v>0.73388042203985937</v>
      </c>
      <c r="Q184" s="344">
        <v>0.55917788802267898</v>
      </c>
      <c r="R184" s="344">
        <v>0.77039848197343452</v>
      </c>
      <c r="S184" s="344">
        <v>0.85969084423305586</v>
      </c>
      <c r="T184" s="344">
        <v>0.82529239766081874</v>
      </c>
      <c r="U184" s="344">
        <v>1</v>
      </c>
      <c r="V184" s="344"/>
      <c r="W184" s="344">
        <v>1</v>
      </c>
      <c r="X184" s="345">
        <v>0.84370024413544209</v>
      </c>
      <c r="Y184" s="345">
        <v>0.85842933161803403</v>
      </c>
      <c r="Z184" s="345">
        <v>0.85070806554822909</v>
      </c>
    </row>
    <row r="185" spans="2:26" hidden="1" outlineLevel="1" x14ac:dyDescent="0.25">
      <c r="B185" s="304">
        <v>44958</v>
      </c>
      <c r="C185" s="344">
        <v>0.82945091514143099</v>
      </c>
      <c r="D185" s="344">
        <v>0.89766144604162201</v>
      </c>
      <c r="E185" s="344">
        <v>0.86790855207451312</v>
      </c>
      <c r="F185" s="344">
        <v>0.90666812897565252</v>
      </c>
      <c r="G185" s="344">
        <v>0.83073401058806695</v>
      </c>
      <c r="H185" s="344">
        <v>0.87371950083814487</v>
      </c>
      <c r="I185" s="344"/>
      <c r="J185" s="344"/>
      <c r="K185" s="344"/>
      <c r="L185" s="344"/>
      <c r="M185" s="344"/>
      <c r="N185" s="344"/>
      <c r="O185" s="344">
        <v>0.50544135429262393</v>
      </c>
      <c r="P185" s="344">
        <v>0.73728813559322037</v>
      </c>
      <c r="Q185" s="344">
        <v>0.57493649449618967</v>
      </c>
      <c r="R185" s="344">
        <v>0.79472693032015063</v>
      </c>
      <c r="S185" s="344">
        <v>0.86363636363636365</v>
      </c>
      <c r="T185" s="344">
        <v>0.83452665075576771</v>
      </c>
      <c r="U185" s="344"/>
      <c r="V185" s="344"/>
      <c r="W185" s="344"/>
      <c r="X185" s="345">
        <v>0.83949292373733986</v>
      </c>
      <c r="Y185" s="345">
        <v>0.85134515438703762</v>
      </c>
      <c r="Z185" s="345">
        <v>0.84503268674311438</v>
      </c>
    </row>
    <row r="186" spans="2:26" hidden="1" outlineLevel="1" x14ac:dyDescent="0.25">
      <c r="B186" s="304">
        <v>44986</v>
      </c>
      <c r="C186" s="344">
        <v>0.86507936507936511</v>
      </c>
      <c r="D186" s="344">
        <v>0.90255676738780621</v>
      </c>
      <c r="E186" s="344">
        <v>0.88744265443294568</v>
      </c>
      <c r="F186" s="344">
        <v>0.92145893936003576</v>
      </c>
      <c r="G186" s="344">
        <v>0.8536708012068388</v>
      </c>
      <c r="H186" s="344">
        <v>0.89432367149758452</v>
      </c>
      <c r="I186" s="344"/>
      <c r="J186" s="344"/>
      <c r="K186" s="344"/>
      <c r="L186" s="344"/>
      <c r="M186" s="344"/>
      <c r="N186" s="344"/>
      <c r="O186" s="344">
        <v>0.48807420494699649</v>
      </c>
      <c r="P186" s="344">
        <v>0.71509648127128267</v>
      </c>
      <c r="Q186" s="344">
        <v>0.55166931637519878</v>
      </c>
      <c r="R186" s="344">
        <v>0.80064308681672025</v>
      </c>
      <c r="S186" s="344">
        <v>0.90206185567010311</v>
      </c>
      <c r="T186" s="344">
        <v>0.85693848354792557</v>
      </c>
      <c r="U186" s="344">
        <v>1</v>
      </c>
      <c r="V186" s="344">
        <v>0.5</v>
      </c>
      <c r="W186" s="344">
        <v>0.6</v>
      </c>
      <c r="X186" s="345">
        <v>0.84011534764498563</v>
      </c>
      <c r="Y186" s="345">
        <v>0.86785173978819974</v>
      </c>
      <c r="Z186" s="345">
        <v>0.85283607979184739</v>
      </c>
    </row>
    <row r="187" spans="2:26" hidden="1" outlineLevel="1" x14ac:dyDescent="0.25">
      <c r="B187" s="304">
        <v>45017</v>
      </c>
      <c r="C187" s="344">
        <v>0.82938799076212466</v>
      </c>
      <c r="D187" s="344">
        <v>0.88507236984229853</v>
      </c>
      <c r="E187" s="344">
        <v>0.86123810700605463</v>
      </c>
      <c r="F187" s="344">
        <v>0.86132740081572112</v>
      </c>
      <c r="G187" s="344">
        <v>0.74420516192668096</v>
      </c>
      <c r="H187" s="344">
        <v>0.81106250881896436</v>
      </c>
      <c r="I187" s="344"/>
      <c r="J187" s="344"/>
      <c r="K187" s="344"/>
      <c r="L187" s="344"/>
      <c r="M187" s="344"/>
      <c r="N187" s="344"/>
      <c r="O187" s="344">
        <v>0.4954904171364149</v>
      </c>
      <c r="P187" s="344">
        <v>0.71092669432918398</v>
      </c>
      <c r="Q187" s="344">
        <v>0.55786944333199839</v>
      </c>
      <c r="R187" s="344">
        <v>0.74946004319654425</v>
      </c>
      <c r="S187" s="344">
        <v>0.88112927191679047</v>
      </c>
      <c r="T187" s="344">
        <v>0.82746478873239437</v>
      </c>
      <c r="U187" s="344">
        <v>1</v>
      </c>
      <c r="V187" s="344"/>
      <c r="W187" s="344">
        <v>1</v>
      </c>
      <c r="X187" s="345">
        <v>0.80250851881389107</v>
      </c>
      <c r="Y187" s="345">
        <v>0.80368351503138424</v>
      </c>
      <c r="Z187" s="345">
        <v>0.80305779699625501</v>
      </c>
    </row>
    <row r="188" spans="2:26" hidden="1" outlineLevel="1" x14ac:dyDescent="0.25">
      <c r="B188" s="304">
        <v>45047</v>
      </c>
      <c r="C188" s="344">
        <v>0.84138888888888885</v>
      </c>
      <c r="D188" s="344">
        <v>0.89755794701986757</v>
      </c>
      <c r="E188" s="344">
        <v>0.87357685009487662</v>
      </c>
      <c r="F188" s="344">
        <v>0.89530080041311644</v>
      </c>
      <c r="G188" s="344">
        <v>0.79228284888662248</v>
      </c>
      <c r="H188" s="344">
        <v>0.85083278303617282</v>
      </c>
      <c r="I188" s="344"/>
      <c r="J188" s="344"/>
      <c r="K188" s="344"/>
      <c r="L188" s="344"/>
      <c r="M188" s="344"/>
      <c r="N188" s="344"/>
      <c r="O188" s="344">
        <v>0.50916157690172126</v>
      </c>
      <c r="P188" s="344">
        <v>0.70904645476772621</v>
      </c>
      <c r="Q188" s="344">
        <v>0.57159221076746847</v>
      </c>
      <c r="R188" s="344">
        <v>0.81273408239700373</v>
      </c>
      <c r="S188" s="344">
        <v>0.88650693568726358</v>
      </c>
      <c r="T188" s="344">
        <v>0.85681989449886964</v>
      </c>
      <c r="U188" s="344">
        <v>0</v>
      </c>
      <c r="V188" s="344">
        <v>1</v>
      </c>
      <c r="W188" s="344">
        <v>0.5</v>
      </c>
      <c r="X188" s="345">
        <v>0.826998976757784</v>
      </c>
      <c r="Y188" s="345">
        <v>0.83410399935101809</v>
      </c>
      <c r="Z188" s="345">
        <v>0.83036641162674463</v>
      </c>
    </row>
    <row r="189" spans="2:26" hidden="1" outlineLevel="1" x14ac:dyDescent="0.25">
      <c r="B189" s="304">
        <v>45078</v>
      </c>
      <c r="C189" s="344">
        <v>0.88549121665582298</v>
      </c>
      <c r="D189" s="344">
        <v>0.91771561771561772</v>
      </c>
      <c r="E189" s="344">
        <v>0.90426398696360677</v>
      </c>
      <c r="F189" s="344">
        <v>0.91641991924629884</v>
      </c>
      <c r="G189" s="344">
        <v>0.81093911248710016</v>
      </c>
      <c r="H189" s="344">
        <v>0.87478615071283095</v>
      </c>
      <c r="I189" s="344"/>
      <c r="J189" s="344"/>
      <c r="K189" s="344"/>
      <c r="L189" s="344"/>
      <c r="M189" s="344"/>
      <c r="N189" s="344"/>
      <c r="O189" s="344">
        <v>0.50427350427350426</v>
      </c>
      <c r="P189" s="344">
        <v>0.74140302613480058</v>
      </c>
      <c r="Q189" s="344">
        <v>0.58096085409252674</v>
      </c>
      <c r="R189" s="344">
        <v>0.79835390946502061</v>
      </c>
      <c r="S189" s="344">
        <v>0.91253644314868809</v>
      </c>
      <c r="T189" s="344">
        <v>0.8651877133105802</v>
      </c>
      <c r="U189" s="344"/>
      <c r="V189" s="344">
        <v>0.66666666666666663</v>
      </c>
      <c r="W189" s="344">
        <v>0.66666666666666663</v>
      </c>
      <c r="X189" s="345">
        <v>0.85412836703700745</v>
      </c>
      <c r="Y189" s="345">
        <v>0.85612738129087296</v>
      </c>
      <c r="Z189" s="345">
        <v>0.85504292775995139</v>
      </c>
    </row>
    <row r="190" spans="2:26" hidden="1" outlineLevel="1" x14ac:dyDescent="0.25">
      <c r="B190" s="304">
        <v>45108</v>
      </c>
      <c r="C190" s="344">
        <v>0.89678105879223202</v>
      </c>
      <c r="D190" s="344">
        <v>0.93052875337707452</v>
      </c>
      <c r="E190" s="344">
        <v>0.91634045408790965</v>
      </c>
      <c r="F190" s="344">
        <v>0.92498849516797055</v>
      </c>
      <c r="G190" s="344">
        <v>0.82292807594012418</v>
      </c>
      <c r="H190" s="344">
        <v>0.88553281580804522</v>
      </c>
      <c r="I190" s="344"/>
      <c r="J190" s="344"/>
      <c r="K190" s="344"/>
      <c r="L190" s="344"/>
      <c r="M190" s="344"/>
      <c r="N190" s="344"/>
      <c r="O190" s="344">
        <v>0.53269916765755054</v>
      </c>
      <c r="P190" s="344">
        <v>0.73533083645443198</v>
      </c>
      <c r="Q190" s="344">
        <v>0.59806685461135722</v>
      </c>
      <c r="R190" s="344">
        <v>0.82012847965738755</v>
      </c>
      <c r="S190" s="344">
        <v>0.8884353741496599</v>
      </c>
      <c r="T190" s="344">
        <v>0.86189683860232946</v>
      </c>
      <c r="U190" s="344"/>
      <c r="V190" s="344">
        <v>1</v>
      </c>
      <c r="W190" s="344">
        <v>1</v>
      </c>
      <c r="X190" s="345">
        <v>0.86917808219178083</v>
      </c>
      <c r="Y190" s="345">
        <v>0.86689615605278258</v>
      </c>
      <c r="Z190" s="345">
        <v>0.86813924853550239</v>
      </c>
    </row>
    <row r="191" spans="2:26" hidden="1" outlineLevel="1" x14ac:dyDescent="0.25">
      <c r="B191" s="304">
        <v>45139</v>
      </c>
      <c r="C191" s="344">
        <v>0.91200466200466201</v>
      </c>
      <c r="D191" s="344">
        <v>0.93341307814992025</v>
      </c>
      <c r="E191" s="344">
        <v>0.92471590909090906</v>
      </c>
      <c r="F191" s="344">
        <v>0.9167461832061069</v>
      </c>
      <c r="G191" s="344">
        <v>0.81193104784040282</v>
      </c>
      <c r="H191" s="344">
        <v>0.87679929135601975</v>
      </c>
      <c r="I191" s="344"/>
      <c r="J191" s="344"/>
      <c r="K191" s="344"/>
      <c r="L191" s="344"/>
      <c r="M191" s="344"/>
      <c r="N191" s="344"/>
      <c r="O191" s="344">
        <v>0.54345307068366167</v>
      </c>
      <c r="P191" s="344">
        <v>0.74020887728459528</v>
      </c>
      <c r="Q191" s="344">
        <v>0.6039325842696629</v>
      </c>
      <c r="R191" s="344">
        <v>0.85319148936170208</v>
      </c>
      <c r="S191" s="344">
        <v>0.879948914431673</v>
      </c>
      <c r="T191" s="344">
        <v>0.86991221069433355</v>
      </c>
      <c r="U191" s="344"/>
      <c r="V191" s="344">
        <v>1</v>
      </c>
      <c r="W191" s="344">
        <v>1</v>
      </c>
      <c r="X191" s="345">
        <v>0.86747073936625752</v>
      </c>
      <c r="Y191" s="345">
        <v>0.86377972892336541</v>
      </c>
      <c r="Z191" s="345">
        <v>0.86578875810900047</v>
      </c>
    </row>
    <row r="192" spans="2:26" hidden="1" outlineLevel="1" x14ac:dyDescent="0.25">
      <c r="B192" s="304">
        <v>45170</v>
      </c>
      <c r="C192" s="344">
        <v>0.92288786482334872</v>
      </c>
      <c r="D192" s="344">
        <v>0.9496021220159151</v>
      </c>
      <c r="E192" s="344">
        <v>0.93894065718489461</v>
      </c>
      <c r="F192" s="344">
        <v>0.91698929628786152</v>
      </c>
      <c r="G192" s="344">
        <v>0.8375754961173425</v>
      </c>
      <c r="H192" s="344">
        <v>0.88955134893426735</v>
      </c>
      <c r="I192" s="344"/>
      <c r="J192" s="344"/>
      <c r="K192" s="344"/>
      <c r="L192" s="344"/>
      <c r="M192" s="344"/>
      <c r="N192" s="344"/>
      <c r="O192" s="344">
        <v>0.57356235997012694</v>
      </c>
      <c r="P192" s="344">
        <v>0.78382581648522553</v>
      </c>
      <c r="Q192" s="344">
        <v>0.64177598385469226</v>
      </c>
      <c r="R192" s="344">
        <v>0.87347931873479323</v>
      </c>
      <c r="S192" s="344">
        <v>0.91087613293051362</v>
      </c>
      <c r="T192" s="344">
        <v>0.89655172413793105</v>
      </c>
      <c r="U192" s="344">
        <v>1</v>
      </c>
      <c r="V192" s="344">
        <v>0.83333333333333337</v>
      </c>
      <c r="W192" s="344">
        <v>0.875</v>
      </c>
      <c r="X192" s="345">
        <v>0.88374791500471395</v>
      </c>
      <c r="Y192" s="345">
        <v>0.88947271386430682</v>
      </c>
      <c r="Z192" s="345">
        <v>0.88626862036773957</v>
      </c>
    </row>
    <row r="193" spans="2:26" hidden="1" outlineLevel="1" x14ac:dyDescent="0.25">
      <c r="B193" s="304">
        <v>45200</v>
      </c>
      <c r="C193" s="346">
        <v>0.91249999999999998</v>
      </c>
      <c r="D193" s="346">
        <v>0.94546155328579684</v>
      </c>
      <c r="E193" s="346">
        <v>0.93288830611515083</v>
      </c>
      <c r="F193" s="346">
        <v>0.91311014566828519</v>
      </c>
      <c r="G193" s="346">
        <v>0.8365319485211109</v>
      </c>
      <c r="H193" s="346">
        <v>0.88543451652386784</v>
      </c>
      <c r="I193" s="346"/>
      <c r="J193" s="346"/>
      <c r="K193" s="346"/>
      <c r="L193" s="346"/>
      <c r="M193" s="346"/>
      <c r="N193" s="346"/>
      <c r="O193" s="346">
        <v>0.55492957746478877</v>
      </c>
      <c r="P193" s="346">
        <v>0.77217125382262997</v>
      </c>
      <c r="Q193" s="346">
        <v>0.62343297974927681</v>
      </c>
      <c r="R193" s="346">
        <v>0.86885245901639341</v>
      </c>
      <c r="S193" s="346">
        <v>0.91851851851851851</v>
      </c>
      <c r="T193" s="346">
        <v>0.89927404718693282</v>
      </c>
      <c r="U193" s="346"/>
      <c r="V193" s="346">
        <v>0.8</v>
      </c>
      <c r="W193" s="346">
        <v>0.8</v>
      </c>
      <c r="X193" s="347">
        <v>0.87198011341567627</v>
      </c>
      <c r="Y193" s="347">
        <v>0.88933528122717309</v>
      </c>
      <c r="Z193" s="347">
        <v>0.87995802728226657</v>
      </c>
    </row>
    <row r="194" spans="2:26" hidden="1" outlineLevel="1" x14ac:dyDescent="0.25">
      <c r="B194" s="304">
        <v>45231</v>
      </c>
      <c r="C194" s="346">
        <v>0.90880893300248144</v>
      </c>
      <c r="D194" s="346">
        <v>0.93730886850152906</v>
      </c>
      <c r="E194" s="346">
        <v>0.92644276253547775</v>
      </c>
      <c r="F194" s="346">
        <v>0.91851750919743835</v>
      </c>
      <c r="G194" s="346">
        <v>0.82005777961205117</v>
      </c>
      <c r="H194" s="346">
        <v>0.87935986869101357</v>
      </c>
      <c r="I194" s="346"/>
      <c r="J194" s="346"/>
      <c r="K194" s="346"/>
      <c r="L194" s="346"/>
      <c r="M194" s="346"/>
      <c r="N194" s="346"/>
      <c r="O194" s="346">
        <v>0.5444521019986216</v>
      </c>
      <c r="P194" s="346">
        <v>0.73886328725038397</v>
      </c>
      <c r="Q194" s="346">
        <v>0.6046622264509991</v>
      </c>
      <c r="R194" s="346">
        <v>0.88933601609657953</v>
      </c>
      <c r="S194" s="346">
        <v>0.90713324360699865</v>
      </c>
      <c r="T194" s="346">
        <v>0.9</v>
      </c>
      <c r="U194" s="346"/>
      <c r="V194" s="346">
        <v>0.8571428571428571</v>
      </c>
      <c r="W194" s="346">
        <v>0.8571428571428571</v>
      </c>
      <c r="X194" s="347">
        <v>0.87147310366877151</v>
      </c>
      <c r="Y194" s="347">
        <v>0.87455353253767754</v>
      </c>
      <c r="Z194" s="347">
        <v>0.87294706127553146</v>
      </c>
    </row>
    <row r="195" spans="2:26" collapsed="1" x14ac:dyDescent="0.25">
      <c r="B195" s="304">
        <v>45261</v>
      </c>
      <c r="C195" s="346">
        <v>0.9202724358974359</v>
      </c>
      <c r="D195" s="346">
        <v>0.94954783436458834</v>
      </c>
      <c r="E195" s="346">
        <v>0.93863839952224548</v>
      </c>
      <c r="F195" s="346">
        <v>0.92564516129032259</v>
      </c>
      <c r="G195" s="346">
        <v>0.83907467940658786</v>
      </c>
      <c r="H195" s="346">
        <v>0.89181487668271597</v>
      </c>
      <c r="I195" s="346"/>
      <c r="J195" s="346"/>
      <c r="K195" s="346"/>
      <c r="L195" s="346"/>
      <c r="M195" s="346"/>
      <c r="N195" s="346"/>
      <c r="O195" s="346">
        <v>0.57157676348547715</v>
      </c>
      <c r="P195" s="346">
        <v>0.77263581488933597</v>
      </c>
      <c r="Q195" s="346">
        <v>0.63997262149212863</v>
      </c>
      <c r="R195" s="346">
        <v>0.91066282420749278</v>
      </c>
      <c r="S195" s="346">
        <v>0.93321917808219179</v>
      </c>
      <c r="T195" s="346">
        <v>0.92481203007518797</v>
      </c>
      <c r="U195" s="346"/>
      <c r="V195" s="346">
        <v>0.8571428571428571</v>
      </c>
      <c r="W195" s="346">
        <v>0.8571428571428571</v>
      </c>
      <c r="X195" s="347">
        <v>0.88967722594184073</v>
      </c>
      <c r="Y195" s="347">
        <v>0.89155066364519264</v>
      </c>
      <c r="Z195" s="347">
        <v>0.89057798069938776</v>
      </c>
    </row>
    <row r="196" spans="2:26" outlineLevel="1" x14ac:dyDescent="0.25">
      <c r="B196" s="304">
        <v>45292</v>
      </c>
      <c r="C196" s="346">
        <v>0.89131754705525201</v>
      </c>
      <c r="D196" s="346">
        <v>0.945410357076089</v>
      </c>
      <c r="E196" s="346">
        <v>0.92479463149369434</v>
      </c>
      <c r="F196" s="346">
        <v>0.91039470458445693</v>
      </c>
      <c r="G196" s="346">
        <v>0.8289911851126347</v>
      </c>
      <c r="H196" s="346">
        <v>0.87906205232601975</v>
      </c>
      <c r="I196" s="346"/>
      <c r="J196" s="346"/>
      <c r="K196" s="346"/>
      <c r="L196" s="346"/>
      <c r="M196" s="346"/>
      <c r="N196" s="346"/>
      <c r="O196" s="346">
        <v>0.46938775510204078</v>
      </c>
      <c r="P196" s="346">
        <v>0.76321839080459775</v>
      </c>
      <c r="Q196" s="346">
        <v>0.55121638924455829</v>
      </c>
      <c r="R196" s="346">
        <v>0.90205011389521639</v>
      </c>
      <c r="S196" s="346">
        <v>0.96054628224582705</v>
      </c>
      <c r="T196" s="346">
        <v>0.93715846994535523</v>
      </c>
      <c r="U196" s="346">
        <v>1</v>
      </c>
      <c r="V196" s="346">
        <v>0.83333333333333337</v>
      </c>
      <c r="W196" s="346">
        <v>0.875</v>
      </c>
      <c r="X196" s="347">
        <v>0.86712749615975426</v>
      </c>
      <c r="Y196" s="347">
        <v>0.88791760429288558</v>
      </c>
      <c r="Z196" s="347">
        <v>0.87690241718889883</v>
      </c>
    </row>
    <row r="197" spans="2:26" outlineLevel="1" x14ac:dyDescent="0.25">
      <c r="B197" s="304">
        <v>45323</v>
      </c>
      <c r="C197" s="346">
        <v>0.8860033726812816</v>
      </c>
      <c r="D197" s="346">
        <v>0.94452647120860578</v>
      </c>
      <c r="E197" s="346">
        <v>0.92200882429275888</v>
      </c>
      <c r="F197" s="346">
        <v>0.91987785371528286</v>
      </c>
      <c r="G197" s="346">
        <v>0.8292361720807726</v>
      </c>
      <c r="H197" s="346">
        <v>0.88375754395171868</v>
      </c>
      <c r="I197" s="346"/>
      <c r="J197" s="346"/>
      <c r="K197" s="346"/>
      <c r="L197" s="346"/>
      <c r="M197" s="346"/>
      <c r="N197" s="346"/>
      <c r="O197" s="346">
        <v>0.56944444444444442</v>
      </c>
      <c r="P197" s="346">
        <v>0.7829181494661922</v>
      </c>
      <c r="Q197" s="346">
        <v>0.6394399066511085</v>
      </c>
      <c r="R197" s="346">
        <v>0.91603053435114501</v>
      </c>
      <c r="S197" s="346">
        <v>0.97626112759643913</v>
      </c>
      <c r="T197" s="346">
        <v>0.95407685098406747</v>
      </c>
      <c r="U197" s="346">
        <v>1</v>
      </c>
      <c r="V197" s="346">
        <v>1</v>
      </c>
      <c r="W197" s="346">
        <v>1</v>
      </c>
      <c r="X197" s="347">
        <v>0.89179691112549708</v>
      </c>
      <c r="Y197" s="347">
        <v>0.890990639625585</v>
      </c>
      <c r="Z197" s="347">
        <v>0.89140443305330108</v>
      </c>
    </row>
    <row r="198" spans="2:26" outlineLevel="1" x14ac:dyDescent="0.25">
      <c r="B198" s="304">
        <v>45352</v>
      </c>
      <c r="C198" s="346">
        <v>0.89192886456908349</v>
      </c>
      <c r="D198" s="346">
        <v>0.93380506733622459</v>
      </c>
      <c r="E198" s="346">
        <v>0.91704312114989728</v>
      </c>
      <c r="F198" s="346">
        <v>0.91594594594594592</v>
      </c>
      <c r="G198" s="346">
        <v>0.8217669090107953</v>
      </c>
      <c r="H198" s="346">
        <v>0.88014071530278915</v>
      </c>
      <c r="I198" s="346"/>
      <c r="J198" s="346"/>
      <c r="K198" s="346"/>
      <c r="L198" s="346"/>
      <c r="M198" s="346"/>
      <c r="N198" s="346"/>
      <c r="O198" s="346">
        <v>0.71045576407506705</v>
      </c>
      <c r="P198" s="346">
        <v>0.87378640776699024</v>
      </c>
      <c r="Q198" s="346">
        <v>0.76856649395509502</v>
      </c>
      <c r="R198" s="346">
        <v>0.96658097686375322</v>
      </c>
      <c r="S198" s="346">
        <v>0.99039999999999995</v>
      </c>
      <c r="T198" s="346">
        <v>0.98126232741617359</v>
      </c>
      <c r="U198" s="346"/>
      <c r="V198" s="346">
        <v>0.875</v>
      </c>
      <c r="W198" s="346">
        <v>0.875</v>
      </c>
      <c r="X198" s="347">
        <v>0.90447411149197188</v>
      </c>
      <c r="Y198" s="347">
        <v>0.88400450865867408</v>
      </c>
      <c r="Z198" s="347">
        <v>0.89489086111777405</v>
      </c>
    </row>
    <row r="199" spans="2:26" outlineLevel="1" x14ac:dyDescent="0.25">
      <c r="B199" s="304">
        <v>45383</v>
      </c>
      <c r="C199" s="346">
        <v>0.87301587301587302</v>
      </c>
      <c r="D199" s="346">
        <v>0.92375306623058051</v>
      </c>
      <c r="E199" s="346">
        <v>0.90271628574847429</v>
      </c>
      <c r="F199" s="346">
        <v>0.90950022512381812</v>
      </c>
      <c r="G199" s="346">
        <v>0.78229061553985868</v>
      </c>
      <c r="H199" s="346">
        <v>0.86204949656535246</v>
      </c>
      <c r="I199" s="346"/>
      <c r="J199" s="346"/>
      <c r="K199" s="346"/>
      <c r="L199" s="346"/>
      <c r="M199" s="346"/>
      <c r="N199" s="346"/>
      <c r="O199" s="346">
        <v>0.75088967971530252</v>
      </c>
      <c r="P199" s="346">
        <v>0.85074626865671643</v>
      </c>
      <c r="Q199" s="346">
        <v>0.79253112033195017</v>
      </c>
      <c r="R199" s="346">
        <v>0.97029702970297027</v>
      </c>
      <c r="S199" s="346">
        <v>0.97226502311248075</v>
      </c>
      <c r="T199" s="346">
        <v>0.97150997150997154</v>
      </c>
      <c r="U199" s="346">
        <v>0.5</v>
      </c>
      <c r="V199" s="346">
        <v>1</v>
      </c>
      <c r="W199" s="346">
        <v>0.8571428571428571</v>
      </c>
      <c r="X199" s="347">
        <v>0.89588534442903378</v>
      </c>
      <c r="Y199" s="347">
        <v>0.86777880753784364</v>
      </c>
      <c r="Z199" s="347">
        <v>0.8825879372503167</v>
      </c>
    </row>
    <row r="200" spans="2:26" outlineLevel="1" x14ac:dyDescent="0.25">
      <c r="B200" s="304">
        <v>45413</v>
      </c>
      <c r="C200" s="346">
        <v>0.92045454545454541</v>
      </c>
      <c r="D200" s="346">
        <v>0.93802887008461922</v>
      </c>
      <c r="E200" s="346">
        <v>0.93078724026924198</v>
      </c>
      <c r="F200" s="346">
        <v>0.93002491694352163</v>
      </c>
      <c r="G200" s="346">
        <v>0.85545722713864303</v>
      </c>
      <c r="H200" s="346">
        <v>0.9031615302869288</v>
      </c>
      <c r="I200" s="346"/>
      <c r="J200" s="346"/>
      <c r="K200" s="346"/>
      <c r="L200" s="346"/>
      <c r="M200" s="346"/>
      <c r="N200" s="346"/>
      <c r="O200" s="346">
        <v>0.75</v>
      </c>
      <c r="P200" s="346">
        <v>0.95652173913043481</v>
      </c>
      <c r="Q200" s="346">
        <v>0.83636363636363631</v>
      </c>
      <c r="R200" s="346">
        <v>0.96183206106870234</v>
      </c>
      <c r="S200" s="346">
        <v>0.98561151079136688</v>
      </c>
      <c r="T200" s="346">
        <v>0.97799511002444983</v>
      </c>
      <c r="U200" s="346"/>
      <c r="V200" s="346">
        <v>0</v>
      </c>
      <c r="W200" s="346">
        <v>0</v>
      </c>
      <c r="X200" s="347">
        <v>0.92636305323925594</v>
      </c>
      <c r="Y200" s="347">
        <v>0.9079920364050057</v>
      </c>
      <c r="Z200" s="347">
        <v>0.91765023268361767</v>
      </c>
    </row>
    <row r="201" spans="2:26" x14ac:dyDescent="0.25">
      <c r="B201" s="304">
        <v>45444</v>
      </c>
      <c r="C201" s="346">
        <v>0.99790648988136776</v>
      </c>
      <c r="D201" s="346">
        <v>0.99387040280210159</v>
      </c>
      <c r="E201" s="346">
        <v>0.99611650485436898</v>
      </c>
      <c r="F201" s="346">
        <v>0.97615894039735096</v>
      </c>
      <c r="G201" s="346">
        <v>0.97705544933078392</v>
      </c>
      <c r="H201" s="346">
        <v>0.97638957206099364</v>
      </c>
      <c r="I201" s="346"/>
      <c r="J201" s="346"/>
      <c r="K201" s="346"/>
      <c r="L201" s="346"/>
      <c r="M201" s="346"/>
      <c r="N201" s="346"/>
      <c r="O201" s="346">
        <v>1</v>
      </c>
      <c r="P201" s="346">
        <v>0.875</v>
      </c>
      <c r="Q201" s="346">
        <v>0.90909090909090906</v>
      </c>
      <c r="R201" s="346">
        <v>0.97872340425531912</v>
      </c>
      <c r="S201" s="346">
        <v>0.98947368421052628</v>
      </c>
      <c r="T201" s="346">
        <v>0.9859154929577465</v>
      </c>
      <c r="U201" s="346"/>
      <c r="V201" s="346">
        <v>0.5</v>
      </c>
      <c r="W201" s="346">
        <v>0.5</v>
      </c>
      <c r="X201" s="347">
        <v>0.98663548279318414</v>
      </c>
      <c r="Y201" s="347">
        <v>0.9875706214689266</v>
      </c>
      <c r="Z201" s="347">
        <v>0.98698299391140043</v>
      </c>
    </row>
    <row r="202" spans="2:26" ht="30" x14ac:dyDescent="0.25">
      <c r="B202" s="305" t="s">
        <v>767</v>
      </c>
      <c r="C202" s="345">
        <v>0.88245409501603034</v>
      </c>
      <c r="D202" s="345">
        <v>0.92038093707305313</v>
      </c>
      <c r="E202" s="345">
        <v>0.9032107670654469</v>
      </c>
      <c r="F202" s="345">
        <v>0.88910442330126183</v>
      </c>
      <c r="G202" s="345">
        <v>0.84105615625260199</v>
      </c>
      <c r="H202" s="345">
        <v>0.86634817977983847</v>
      </c>
      <c r="I202" s="345">
        <v>0.8829658166211215</v>
      </c>
      <c r="J202" s="345">
        <v>0.92718873566910642</v>
      </c>
      <c r="K202" s="345">
        <v>0.89331817449376039</v>
      </c>
      <c r="L202" s="345">
        <v>0.83908739272211763</v>
      </c>
      <c r="M202" s="345">
        <v>0.87872928774950543</v>
      </c>
      <c r="N202" s="345">
        <v>0.85644431258211962</v>
      </c>
      <c r="O202" s="345">
        <v>0.52406342026169583</v>
      </c>
      <c r="P202" s="345">
        <v>0.74985549269882779</v>
      </c>
      <c r="Q202" s="345">
        <v>0.58863059318290822</v>
      </c>
      <c r="R202" s="345">
        <v>0.81460040496283315</v>
      </c>
      <c r="S202" s="345">
        <v>0.88855221540015417</v>
      </c>
      <c r="T202" s="345">
        <v>0.85198847029892566</v>
      </c>
      <c r="U202" s="345">
        <v>0.84615384615384615</v>
      </c>
      <c r="V202" s="345">
        <v>0.76829268292682928</v>
      </c>
      <c r="W202" s="345">
        <v>0.77894736842105261</v>
      </c>
      <c r="X202" s="345">
        <v>0.82002316872808478</v>
      </c>
      <c r="Y202" s="345">
        <v>0.86972724710209282</v>
      </c>
      <c r="Z202" s="345">
        <v>0.84035675325538395</v>
      </c>
    </row>
    <row r="203" spans="2:26" ht="70.5" customHeight="1" x14ac:dyDescent="0.25">
      <c r="B203" s="454" t="s">
        <v>907</v>
      </c>
      <c r="C203" s="454"/>
      <c r="D203" s="454"/>
      <c r="E203" s="454"/>
      <c r="F203" s="454"/>
      <c r="G203" s="454"/>
      <c r="H203" s="454"/>
      <c r="I203" s="454"/>
      <c r="J203" s="454"/>
      <c r="K203" s="454"/>
      <c r="L203" s="454"/>
      <c r="M203" s="454"/>
      <c r="N203" s="454"/>
      <c r="O203" s="454"/>
      <c r="P203" s="454"/>
      <c r="Q203" s="454"/>
      <c r="R203" s="454"/>
      <c r="S203" s="454"/>
      <c r="T203" s="454"/>
      <c r="U203" s="454"/>
      <c r="V203" s="454"/>
      <c r="W203" s="454"/>
    </row>
    <row r="212" spans="10:11" ht="18" customHeight="1" x14ac:dyDescent="0.25">
      <c r="J212" s="125"/>
      <c r="K212" s="125"/>
    </row>
  </sheetData>
  <mergeCells count="11">
    <mergeCell ref="B203:W203"/>
    <mergeCell ref="X7:Z8"/>
    <mergeCell ref="C8:E8"/>
    <mergeCell ref="F8:H8"/>
    <mergeCell ref="I8:K8"/>
    <mergeCell ref="L8:N8"/>
    <mergeCell ref="O8:Q8"/>
    <mergeCell ref="R8:T8"/>
    <mergeCell ref="U8:W8"/>
    <mergeCell ref="C7:W7"/>
    <mergeCell ref="B7:B9"/>
  </mergeCells>
  <phoneticPr fontId="27" type="noConversion"/>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election activeCell="B15" sqref="B15:M15"/>
    </sheetView>
    <sheetView showGridLines="0" workbookViewId="1"/>
  </sheetViews>
  <sheetFormatPr baseColWidth="10" defaultRowHeight="15" x14ac:dyDescent="0.25"/>
  <cols>
    <col min="1" max="1" width="14.42578125" customWidth="1"/>
  </cols>
  <sheetData>
    <row r="1" spans="2:13" x14ac:dyDescent="0.25">
      <c r="B1" s="406" t="s">
        <v>691</v>
      </c>
      <c r="C1" s="407"/>
      <c r="D1" s="407"/>
      <c r="E1" s="407"/>
      <c r="F1" s="407"/>
      <c r="G1" s="407"/>
      <c r="H1" s="407"/>
      <c r="I1" s="407"/>
      <c r="J1" s="407"/>
      <c r="K1" s="407"/>
      <c r="L1" s="407"/>
      <c r="M1" s="407"/>
    </row>
    <row r="2" spans="2:13" x14ac:dyDescent="0.25">
      <c r="B2" s="407"/>
      <c r="C2" s="407"/>
      <c r="D2" s="407"/>
      <c r="E2" s="407"/>
      <c r="F2" s="407"/>
      <c r="G2" s="407"/>
      <c r="H2" s="407"/>
      <c r="I2" s="407"/>
      <c r="J2" s="407"/>
      <c r="K2" s="407"/>
      <c r="L2" s="407"/>
      <c r="M2" s="407"/>
    </row>
    <row r="3" spans="2:13" x14ac:dyDescent="0.25">
      <c r="B3" s="407"/>
      <c r="C3" s="407"/>
      <c r="D3" s="407"/>
      <c r="E3" s="407"/>
      <c r="F3" s="407"/>
      <c r="G3" s="407"/>
      <c r="H3" s="407"/>
      <c r="I3" s="407"/>
      <c r="J3" s="407"/>
      <c r="K3" s="407"/>
      <c r="L3" s="407"/>
      <c r="M3" s="407"/>
    </row>
    <row r="4" spans="2:13" x14ac:dyDescent="0.25">
      <c r="B4" s="407"/>
      <c r="C4" s="407"/>
      <c r="D4" s="407"/>
      <c r="E4" s="407"/>
      <c r="F4" s="407"/>
      <c r="G4" s="407"/>
      <c r="H4" s="407"/>
      <c r="I4" s="407"/>
      <c r="J4" s="407"/>
      <c r="K4" s="407"/>
      <c r="L4" s="407"/>
      <c r="M4" s="407"/>
    </row>
    <row r="5" spans="2:13" x14ac:dyDescent="0.25">
      <c r="B5" s="407"/>
      <c r="C5" s="407"/>
      <c r="D5" s="407"/>
      <c r="E5" s="407"/>
      <c r="F5" s="407"/>
      <c r="G5" s="407"/>
      <c r="H5" s="407"/>
      <c r="I5" s="407"/>
      <c r="J5" s="407"/>
      <c r="K5" s="407"/>
      <c r="L5" s="407"/>
      <c r="M5" s="407"/>
    </row>
    <row r="6" spans="2:13" ht="15.75" x14ac:dyDescent="0.25">
      <c r="B6" s="225"/>
      <c r="C6" s="225"/>
      <c r="D6" s="225"/>
      <c r="E6" s="225"/>
      <c r="F6" s="225"/>
      <c r="G6" s="225"/>
      <c r="H6" s="225"/>
      <c r="I6" s="225"/>
      <c r="J6" s="225"/>
      <c r="K6" s="225"/>
      <c r="L6" s="225"/>
      <c r="M6" s="225"/>
    </row>
    <row r="8" spans="2:13" ht="15.75" thickBot="1" x14ac:dyDescent="0.3"/>
    <row r="9" spans="2:13" ht="21.75" thickBot="1" x14ac:dyDescent="0.4">
      <c r="B9" s="500" t="s">
        <v>712</v>
      </c>
      <c r="C9" s="501"/>
      <c r="D9" s="501"/>
      <c r="E9" s="501"/>
      <c r="F9" s="501"/>
      <c r="G9" s="501"/>
      <c r="H9" s="501"/>
      <c r="I9" s="501"/>
      <c r="J9" s="501"/>
      <c r="K9" s="501"/>
      <c r="L9" s="501"/>
      <c r="M9" s="502"/>
    </row>
    <row r="10" spans="2:13" ht="15.75" x14ac:dyDescent="0.25">
      <c r="B10" s="412" t="s">
        <v>911</v>
      </c>
      <c r="C10" s="412"/>
      <c r="D10" s="412"/>
      <c r="E10" s="412"/>
      <c r="F10" s="412"/>
      <c r="G10" s="412"/>
      <c r="H10" s="412"/>
      <c r="I10" s="412"/>
      <c r="J10" s="412"/>
      <c r="K10" s="412"/>
      <c r="L10" s="412"/>
      <c r="M10" s="412"/>
    </row>
    <row r="11" spans="2:13" x14ac:dyDescent="0.25">
      <c r="B11" s="408"/>
      <c r="C11" s="408"/>
      <c r="D11" s="408"/>
      <c r="E11" s="408"/>
      <c r="F11" s="408"/>
      <c r="G11" s="408"/>
      <c r="H11" s="408"/>
      <c r="I11" s="408"/>
      <c r="J11" s="408"/>
      <c r="K11" s="408"/>
      <c r="L11" s="408"/>
      <c r="M11" s="408"/>
    </row>
    <row r="12" spans="2:13" ht="15.75" x14ac:dyDescent="0.25">
      <c r="B12" s="404" t="s">
        <v>713</v>
      </c>
      <c r="C12" s="404"/>
      <c r="D12" s="404"/>
      <c r="E12" s="404"/>
      <c r="F12" s="404"/>
      <c r="G12" s="404"/>
      <c r="H12" s="404"/>
      <c r="I12" s="404"/>
      <c r="J12" s="404"/>
      <c r="K12" s="404"/>
      <c r="L12" s="404"/>
      <c r="M12" s="404"/>
    </row>
    <row r="13" spans="2:13" x14ac:dyDescent="0.25">
      <c r="B13" s="405" t="s">
        <v>795</v>
      </c>
      <c r="C13" s="405"/>
      <c r="D13" s="405"/>
      <c r="E13" s="405"/>
      <c r="F13" s="405"/>
      <c r="G13" s="405"/>
      <c r="H13" s="405"/>
      <c r="I13" s="405"/>
      <c r="J13" s="405"/>
      <c r="K13" s="405"/>
      <c r="L13" s="405"/>
      <c r="M13" s="405"/>
    </row>
    <row r="14" spans="2:13" x14ac:dyDescent="0.25">
      <c r="B14" s="405" t="s">
        <v>714</v>
      </c>
      <c r="C14" s="405"/>
      <c r="D14" s="405"/>
      <c r="E14" s="405"/>
      <c r="F14" s="405"/>
      <c r="G14" s="405"/>
      <c r="H14" s="405"/>
      <c r="I14" s="405"/>
      <c r="J14" s="405"/>
      <c r="K14" s="405"/>
      <c r="L14" s="405"/>
      <c r="M14" s="405"/>
    </row>
    <row r="15" spans="2:13" x14ac:dyDescent="0.25">
      <c r="B15" s="444" t="s">
        <v>715</v>
      </c>
      <c r="C15" s="444"/>
      <c r="D15" s="444"/>
      <c r="E15" s="444"/>
      <c r="F15" s="444"/>
      <c r="G15" s="444"/>
      <c r="H15" s="444"/>
      <c r="I15" s="444"/>
      <c r="J15" s="444"/>
      <c r="K15" s="444"/>
      <c r="L15" s="444"/>
      <c r="M15" s="444"/>
    </row>
  </sheetData>
  <mergeCells count="8">
    <mergeCell ref="B13:M13"/>
    <mergeCell ref="B14:M14"/>
    <mergeCell ref="B15:M15"/>
    <mergeCell ref="B1:M5"/>
    <mergeCell ref="B9:M9"/>
    <mergeCell ref="B10:M10"/>
    <mergeCell ref="B11:M11"/>
    <mergeCell ref="B12:M12"/>
  </mergeCells>
  <hyperlinks>
    <hyperlink ref="B12:M12" location="'3.1'!A1" display="1. Bono por Hijo" xr:uid="{A362C5AB-F7DB-46ED-8686-9731A4FBC1A7}"/>
    <hyperlink ref="B13:M13" location="'3.1'!B4" display="i. Concesiones de Bono por Hijo por región" xr:uid="{43CDC8E2-0774-460C-85DD-A76D9B20FC57}"/>
    <hyperlink ref="B14:M14" location="'3.1'!B45" display="ii. Serie Resumen de Estado de solicitudes de Bono por Hijo" xr:uid="{56745386-B77E-4296-8BA2-2B2A529BBEB2}"/>
    <hyperlink ref="B15:M15" location="'3.1'!B197" display="iii. Serie resumen de concesiones de Bono por Hijo por tipo de beneficio" xr:uid="{89AFFBEF-275D-4016-8FD0-40DAA0C57C26}"/>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60"/>
  <sheetViews>
    <sheetView showGridLines="0" topLeftCell="A41" workbookViewId="0">
      <selection activeCell="B197" sqref="B197"/>
    </sheetView>
    <sheetView showGridLines="0" workbookViewId="1"/>
  </sheetViews>
  <sheetFormatPr baseColWidth="10" defaultRowHeight="15" outlineLevelRow="1" x14ac:dyDescent="0.25"/>
  <cols>
    <col min="2" max="2" width="25.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701</v>
      </c>
    </row>
    <row r="4" spans="2:8" ht="18.75" x14ac:dyDescent="0.3">
      <c r="B4" s="2" t="s">
        <v>794</v>
      </c>
      <c r="C4" s="8"/>
      <c r="D4" s="8"/>
    </row>
    <row r="5" spans="2:8" x14ac:dyDescent="0.25">
      <c r="B5" s="3" t="s">
        <v>912</v>
      </c>
      <c r="C5" s="15"/>
      <c r="D5" s="15"/>
      <c r="E5" s="15"/>
      <c r="F5" s="15"/>
      <c r="G5" s="15"/>
      <c r="H5" s="15"/>
    </row>
    <row r="6" spans="2:8" x14ac:dyDescent="0.25">
      <c r="B6" s="15"/>
      <c r="C6" s="15"/>
      <c r="D6" s="15"/>
      <c r="E6" s="15"/>
      <c r="F6" s="15"/>
      <c r="G6" s="15"/>
      <c r="H6" s="15"/>
    </row>
    <row r="7" spans="2:8" x14ac:dyDescent="0.25">
      <c r="B7" s="504" t="s">
        <v>521</v>
      </c>
      <c r="C7" s="505" t="s">
        <v>797</v>
      </c>
      <c r="D7" s="422" t="s">
        <v>33</v>
      </c>
      <c r="E7" s="422"/>
      <c r="F7" s="422" t="s">
        <v>796</v>
      </c>
      <c r="G7" s="422"/>
      <c r="H7" s="503" t="s">
        <v>879</v>
      </c>
    </row>
    <row r="8" spans="2:8" ht="28.5" customHeight="1" x14ac:dyDescent="0.25">
      <c r="B8" s="504"/>
      <c r="C8" s="505"/>
      <c r="D8" s="351" t="s">
        <v>651</v>
      </c>
      <c r="E8" s="352" t="s">
        <v>485</v>
      </c>
      <c r="F8" s="352" t="s">
        <v>485</v>
      </c>
      <c r="G8" s="352" t="s">
        <v>798</v>
      </c>
      <c r="H8" s="503"/>
    </row>
    <row r="9" spans="2:8" x14ac:dyDescent="0.25">
      <c r="B9" s="505" t="s">
        <v>519</v>
      </c>
      <c r="C9" s="348" t="s">
        <v>702</v>
      </c>
      <c r="D9" s="353">
        <v>45</v>
      </c>
      <c r="E9" s="354">
        <v>2</v>
      </c>
      <c r="F9" s="354">
        <v>7</v>
      </c>
      <c r="G9" s="354">
        <v>205</v>
      </c>
      <c r="H9" s="355">
        <v>259</v>
      </c>
    </row>
    <row r="10" spans="2:8" x14ac:dyDescent="0.25">
      <c r="B10" s="505"/>
      <c r="C10" s="348" t="s">
        <v>700</v>
      </c>
      <c r="D10" s="354">
        <v>114</v>
      </c>
      <c r="E10" s="354">
        <v>8</v>
      </c>
      <c r="F10" s="354">
        <v>17</v>
      </c>
      <c r="G10" s="354">
        <v>534</v>
      </c>
      <c r="H10" s="355">
        <v>673</v>
      </c>
    </row>
    <row r="11" spans="2:8" x14ac:dyDescent="0.25">
      <c r="B11" s="505" t="s">
        <v>505</v>
      </c>
      <c r="C11" s="348" t="s">
        <v>702</v>
      </c>
      <c r="D11" s="353">
        <v>52</v>
      </c>
      <c r="E11" s="354">
        <v>1</v>
      </c>
      <c r="F11" s="354">
        <v>8</v>
      </c>
      <c r="G11" s="354">
        <v>250</v>
      </c>
      <c r="H11" s="355">
        <v>311</v>
      </c>
    </row>
    <row r="12" spans="2:8" x14ac:dyDescent="0.25">
      <c r="B12" s="505"/>
      <c r="C12" s="348" t="s">
        <v>700</v>
      </c>
      <c r="D12" s="354">
        <v>164</v>
      </c>
      <c r="E12" s="354">
        <v>4</v>
      </c>
      <c r="F12" s="354">
        <v>30</v>
      </c>
      <c r="G12" s="354">
        <v>724</v>
      </c>
      <c r="H12" s="355">
        <v>922</v>
      </c>
    </row>
    <row r="13" spans="2:8" x14ac:dyDescent="0.25">
      <c r="B13" s="505" t="s">
        <v>506</v>
      </c>
      <c r="C13" s="348" t="s">
        <v>702</v>
      </c>
      <c r="D13" s="353">
        <v>152</v>
      </c>
      <c r="E13" s="354">
        <v>5</v>
      </c>
      <c r="F13" s="354">
        <v>30</v>
      </c>
      <c r="G13" s="354">
        <v>450</v>
      </c>
      <c r="H13" s="355">
        <v>637</v>
      </c>
    </row>
    <row r="14" spans="2:8" x14ac:dyDescent="0.25">
      <c r="B14" s="505"/>
      <c r="C14" s="348" t="s">
        <v>700</v>
      </c>
      <c r="D14" s="354">
        <v>469</v>
      </c>
      <c r="E14" s="354">
        <v>22</v>
      </c>
      <c r="F14" s="354">
        <v>100</v>
      </c>
      <c r="G14" s="354">
        <v>1243</v>
      </c>
      <c r="H14" s="355">
        <v>1834</v>
      </c>
    </row>
    <row r="15" spans="2:8" x14ac:dyDescent="0.25">
      <c r="B15" s="505" t="s">
        <v>507</v>
      </c>
      <c r="C15" s="348" t="s">
        <v>702</v>
      </c>
      <c r="D15" s="353">
        <v>84</v>
      </c>
      <c r="E15" s="354">
        <v>1</v>
      </c>
      <c r="F15" s="354">
        <v>14</v>
      </c>
      <c r="G15" s="354">
        <v>336</v>
      </c>
      <c r="H15" s="355">
        <v>435</v>
      </c>
    </row>
    <row r="16" spans="2:8" x14ac:dyDescent="0.25">
      <c r="B16" s="505"/>
      <c r="C16" s="348" t="s">
        <v>700</v>
      </c>
      <c r="D16" s="354">
        <v>260</v>
      </c>
      <c r="E16" s="354">
        <v>4</v>
      </c>
      <c r="F16" s="354">
        <v>64</v>
      </c>
      <c r="G16" s="354">
        <v>960</v>
      </c>
      <c r="H16" s="355">
        <v>1288</v>
      </c>
    </row>
    <row r="17" spans="2:8" x14ac:dyDescent="0.25">
      <c r="B17" s="505" t="s">
        <v>508</v>
      </c>
      <c r="C17" s="348" t="s">
        <v>702</v>
      </c>
      <c r="D17" s="353">
        <v>233</v>
      </c>
      <c r="E17" s="354">
        <v>14</v>
      </c>
      <c r="F17" s="354">
        <v>29</v>
      </c>
      <c r="G17" s="354">
        <v>966</v>
      </c>
      <c r="H17" s="355">
        <v>1242</v>
      </c>
    </row>
    <row r="18" spans="2:8" x14ac:dyDescent="0.25">
      <c r="B18" s="505"/>
      <c r="C18" s="348" t="s">
        <v>700</v>
      </c>
      <c r="D18" s="354">
        <v>735</v>
      </c>
      <c r="E18" s="354">
        <v>48</v>
      </c>
      <c r="F18" s="354">
        <v>106</v>
      </c>
      <c r="G18" s="354">
        <v>2565</v>
      </c>
      <c r="H18" s="355">
        <v>3454</v>
      </c>
    </row>
    <row r="19" spans="2:8" x14ac:dyDescent="0.25">
      <c r="B19" s="505" t="s">
        <v>509</v>
      </c>
      <c r="C19" s="348" t="s">
        <v>702</v>
      </c>
      <c r="D19" s="353">
        <v>498</v>
      </c>
      <c r="E19" s="354">
        <v>19</v>
      </c>
      <c r="F19" s="354">
        <v>67</v>
      </c>
      <c r="G19" s="354">
        <v>2324</v>
      </c>
      <c r="H19" s="355">
        <v>2908</v>
      </c>
    </row>
    <row r="20" spans="2:8" x14ac:dyDescent="0.25">
      <c r="B20" s="505"/>
      <c r="C20" s="348" t="s">
        <v>700</v>
      </c>
      <c r="D20" s="354">
        <v>1473</v>
      </c>
      <c r="E20" s="354">
        <v>71</v>
      </c>
      <c r="F20" s="354">
        <v>196</v>
      </c>
      <c r="G20" s="354">
        <v>6089</v>
      </c>
      <c r="H20" s="355">
        <v>7829</v>
      </c>
    </row>
    <row r="21" spans="2:8" x14ac:dyDescent="0.25">
      <c r="B21" s="505" t="s">
        <v>517</v>
      </c>
      <c r="C21" s="348" t="s">
        <v>702</v>
      </c>
      <c r="D21" s="353">
        <v>1338</v>
      </c>
      <c r="E21" s="354">
        <v>42</v>
      </c>
      <c r="F21" s="354">
        <v>196</v>
      </c>
      <c r="G21" s="354">
        <v>7426</v>
      </c>
      <c r="H21" s="355">
        <v>9002</v>
      </c>
    </row>
    <row r="22" spans="2:8" x14ac:dyDescent="0.25">
      <c r="B22" s="505"/>
      <c r="C22" s="348" t="s">
        <v>700</v>
      </c>
      <c r="D22" s="354">
        <v>3864</v>
      </c>
      <c r="E22" s="354">
        <v>169</v>
      </c>
      <c r="F22" s="354">
        <v>622</v>
      </c>
      <c r="G22" s="354">
        <v>19618</v>
      </c>
      <c r="H22" s="355">
        <v>24273</v>
      </c>
    </row>
    <row r="23" spans="2:8" ht="15" customHeight="1" x14ac:dyDescent="0.25">
      <c r="B23" s="505" t="s">
        <v>510</v>
      </c>
      <c r="C23" s="349" t="s">
        <v>702</v>
      </c>
      <c r="D23" s="353">
        <v>254</v>
      </c>
      <c r="E23" s="354">
        <v>10</v>
      </c>
      <c r="F23" s="354">
        <v>24</v>
      </c>
      <c r="G23" s="354">
        <v>1120</v>
      </c>
      <c r="H23" s="355">
        <v>1408</v>
      </c>
    </row>
    <row r="24" spans="2:8" x14ac:dyDescent="0.25">
      <c r="B24" s="505"/>
      <c r="C24" s="349" t="s">
        <v>700</v>
      </c>
      <c r="D24" s="354">
        <v>759</v>
      </c>
      <c r="E24" s="354">
        <v>48</v>
      </c>
      <c r="F24" s="354">
        <v>71</v>
      </c>
      <c r="G24" s="354">
        <v>2934</v>
      </c>
      <c r="H24" s="355">
        <v>3812</v>
      </c>
    </row>
    <row r="25" spans="2:8" x14ac:dyDescent="0.25">
      <c r="B25" s="505" t="s">
        <v>511</v>
      </c>
      <c r="C25" s="348" t="s">
        <v>702</v>
      </c>
      <c r="D25" s="353">
        <v>275</v>
      </c>
      <c r="E25" s="354">
        <v>13</v>
      </c>
      <c r="F25" s="354">
        <v>36</v>
      </c>
      <c r="G25" s="354">
        <v>1274</v>
      </c>
      <c r="H25" s="355">
        <v>1598</v>
      </c>
    </row>
    <row r="26" spans="2:8" x14ac:dyDescent="0.25">
      <c r="B26" s="505"/>
      <c r="C26" s="348" t="s">
        <v>700</v>
      </c>
      <c r="D26" s="354">
        <v>824</v>
      </c>
      <c r="E26" s="354">
        <v>51</v>
      </c>
      <c r="F26" s="354">
        <v>136</v>
      </c>
      <c r="G26" s="354">
        <v>3388</v>
      </c>
      <c r="H26" s="355">
        <v>4399</v>
      </c>
    </row>
    <row r="27" spans="2:8" x14ac:dyDescent="0.25">
      <c r="B27" s="505" t="s">
        <v>520</v>
      </c>
      <c r="C27" s="348" t="s">
        <v>702</v>
      </c>
      <c r="D27" s="353">
        <v>206</v>
      </c>
      <c r="E27" s="354">
        <v>3</v>
      </c>
      <c r="F27" s="354">
        <v>21</v>
      </c>
      <c r="G27" s="354">
        <v>556</v>
      </c>
      <c r="H27" s="355">
        <v>786</v>
      </c>
    </row>
    <row r="28" spans="2:8" x14ac:dyDescent="0.25">
      <c r="B28" s="505"/>
      <c r="C28" s="348" t="s">
        <v>700</v>
      </c>
      <c r="D28" s="354">
        <v>616</v>
      </c>
      <c r="E28" s="354">
        <v>14</v>
      </c>
      <c r="F28" s="354">
        <v>87</v>
      </c>
      <c r="G28" s="354">
        <v>1493</v>
      </c>
      <c r="H28" s="355">
        <v>2210</v>
      </c>
    </row>
    <row r="29" spans="2:8" x14ac:dyDescent="0.25">
      <c r="B29" s="505" t="s">
        <v>512</v>
      </c>
      <c r="C29" s="348" t="s">
        <v>702</v>
      </c>
      <c r="D29" s="353">
        <v>527</v>
      </c>
      <c r="E29" s="354">
        <v>22</v>
      </c>
      <c r="F29" s="354">
        <v>93</v>
      </c>
      <c r="G29" s="354">
        <v>1666</v>
      </c>
      <c r="H29" s="355">
        <v>2308</v>
      </c>
    </row>
    <row r="30" spans="2:8" x14ac:dyDescent="0.25">
      <c r="B30" s="505"/>
      <c r="C30" s="348" t="s">
        <v>700</v>
      </c>
      <c r="D30" s="354">
        <v>1581</v>
      </c>
      <c r="E30" s="354">
        <v>89</v>
      </c>
      <c r="F30" s="354">
        <v>346</v>
      </c>
      <c r="G30" s="354">
        <v>4439</v>
      </c>
      <c r="H30" s="355">
        <v>6455</v>
      </c>
    </row>
    <row r="31" spans="2:8" x14ac:dyDescent="0.25">
      <c r="B31" s="505" t="s">
        <v>513</v>
      </c>
      <c r="C31" s="348" t="s">
        <v>702</v>
      </c>
      <c r="D31" s="353">
        <v>305</v>
      </c>
      <c r="E31" s="354">
        <v>9</v>
      </c>
      <c r="F31" s="354">
        <v>49</v>
      </c>
      <c r="G31" s="354">
        <v>1021</v>
      </c>
      <c r="H31" s="355">
        <v>1384</v>
      </c>
    </row>
    <row r="32" spans="2:8" x14ac:dyDescent="0.25">
      <c r="B32" s="505"/>
      <c r="C32" s="348" t="s">
        <v>700</v>
      </c>
      <c r="D32" s="354">
        <v>1008</v>
      </c>
      <c r="E32" s="354">
        <v>19</v>
      </c>
      <c r="F32" s="354">
        <v>185</v>
      </c>
      <c r="G32" s="354">
        <v>2746</v>
      </c>
      <c r="H32" s="355">
        <v>3958</v>
      </c>
    </row>
    <row r="33" spans="2:8" x14ac:dyDescent="0.25">
      <c r="B33" s="505" t="s">
        <v>518</v>
      </c>
      <c r="C33" s="348" t="s">
        <v>702</v>
      </c>
      <c r="D33" s="353">
        <v>132</v>
      </c>
      <c r="E33" s="354">
        <v>2</v>
      </c>
      <c r="F33" s="354">
        <v>20</v>
      </c>
      <c r="G33" s="354">
        <v>408</v>
      </c>
      <c r="H33" s="355">
        <v>562</v>
      </c>
    </row>
    <row r="34" spans="2:8" x14ac:dyDescent="0.25">
      <c r="B34" s="505"/>
      <c r="C34" s="348" t="s">
        <v>700</v>
      </c>
      <c r="D34" s="354">
        <v>382</v>
      </c>
      <c r="E34" s="354">
        <v>7</v>
      </c>
      <c r="F34" s="354">
        <v>58</v>
      </c>
      <c r="G34" s="354">
        <v>1094</v>
      </c>
      <c r="H34" s="355">
        <v>1541</v>
      </c>
    </row>
    <row r="35" spans="2:8" x14ac:dyDescent="0.25">
      <c r="B35" s="505" t="s">
        <v>514</v>
      </c>
      <c r="C35" s="348" t="s">
        <v>702</v>
      </c>
      <c r="D35" s="353">
        <v>223</v>
      </c>
      <c r="E35" s="354">
        <v>7</v>
      </c>
      <c r="F35" s="354">
        <v>39</v>
      </c>
      <c r="G35" s="354">
        <v>937</v>
      </c>
      <c r="H35" s="355">
        <v>1206</v>
      </c>
    </row>
    <row r="36" spans="2:8" x14ac:dyDescent="0.25">
      <c r="B36" s="505"/>
      <c r="C36" s="348" t="s">
        <v>700</v>
      </c>
      <c r="D36" s="354">
        <v>678</v>
      </c>
      <c r="E36" s="354">
        <v>29</v>
      </c>
      <c r="F36" s="354">
        <v>137</v>
      </c>
      <c r="G36" s="354">
        <v>2405</v>
      </c>
      <c r="H36" s="355">
        <v>3249</v>
      </c>
    </row>
    <row r="37" spans="2:8" ht="15" customHeight="1" x14ac:dyDescent="0.25">
      <c r="B37" s="505" t="s">
        <v>515</v>
      </c>
      <c r="C37" s="349" t="s">
        <v>702</v>
      </c>
      <c r="D37" s="353">
        <v>32</v>
      </c>
      <c r="E37" s="354">
        <v>0</v>
      </c>
      <c r="F37" s="354">
        <v>3</v>
      </c>
      <c r="G37" s="354">
        <v>120</v>
      </c>
      <c r="H37" s="355">
        <v>155</v>
      </c>
    </row>
    <row r="38" spans="2:8" x14ac:dyDescent="0.25">
      <c r="B38" s="505"/>
      <c r="C38" s="349" t="s">
        <v>700</v>
      </c>
      <c r="D38" s="354">
        <v>98</v>
      </c>
      <c r="E38" s="354">
        <v>0</v>
      </c>
      <c r="F38" s="354">
        <v>11</v>
      </c>
      <c r="G38" s="354">
        <v>340</v>
      </c>
      <c r="H38" s="355">
        <v>449</v>
      </c>
    </row>
    <row r="39" spans="2:8" ht="15" customHeight="1" x14ac:dyDescent="0.25">
      <c r="B39" s="505" t="s">
        <v>516</v>
      </c>
      <c r="C39" s="349" t="s">
        <v>702</v>
      </c>
      <c r="D39" s="353">
        <v>35</v>
      </c>
      <c r="E39" s="354">
        <v>0</v>
      </c>
      <c r="F39" s="354">
        <v>3</v>
      </c>
      <c r="G39" s="354">
        <v>190</v>
      </c>
      <c r="H39" s="355">
        <v>228</v>
      </c>
    </row>
    <row r="40" spans="2:8" x14ac:dyDescent="0.25">
      <c r="B40" s="505"/>
      <c r="C40" s="349" t="s">
        <v>700</v>
      </c>
      <c r="D40" s="354">
        <v>81</v>
      </c>
      <c r="E40" s="354">
        <v>0</v>
      </c>
      <c r="F40" s="354">
        <v>5</v>
      </c>
      <c r="G40" s="354">
        <v>492</v>
      </c>
      <c r="H40" s="355">
        <v>578</v>
      </c>
    </row>
    <row r="41" spans="2:8" x14ac:dyDescent="0.25">
      <c r="B41" s="514" t="s">
        <v>791</v>
      </c>
      <c r="C41" s="350" t="s">
        <v>702</v>
      </c>
      <c r="D41" s="355">
        <v>4391</v>
      </c>
      <c r="E41" s="355">
        <v>150</v>
      </c>
      <c r="F41" s="355">
        <v>639</v>
      </c>
      <c r="G41" s="355">
        <v>19249</v>
      </c>
      <c r="H41" s="355">
        <v>24429</v>
      </c>
    </row>
    <row r="42" spans="2:8" x14ac:dyDescent="0.25">
      <c r="B42" s="514"/>
      <c r="C42" s="350" t="s">
        <v>700</v>
      </c>
      <c r="D42" s="355">
        <v>13106</v>
      </c>
      <c r="E42" s="355">
        <v>583</v>
      </c>
      <c r="F42" s="355">
        <v>2171</v>
      </c>
      <c r="G42" s="355">
        <v>51064</v>
      </c>
      <c r="H42" s="355">
        <v>66924</v>
      </c>
    </row>
    <row r="43" spans="2:8" x14ac:dyDescent="0.25">
      <c r="B43" s="4" t="s">
        <v>803</v>
      </c>
    </row>
    <row r="45" spans="2:8" ht="18.75" x14ac:dyDescent="0.3">
      <c r="B45" s="2" t="s">
        <v>703</v>
      </c>
      <c r="C45" s="2"/>
      <c r="D45" s="2"/>
      <c r="E45" s="2"/>
    </row>
    <row r="46" spans="2:8" x14ac:dyDescent="0.25">
      <c r="B46" s="3" t="s">
        <v>921</v>
      </c>
    </row>
    <row r="48" spans="2:8" ht="30" x14ac:dyDescent="0.25">
      <c r="B48" s="356" t="s">
        <v>472</v>
      </c>
      <c r="C48" s="360" t="s">
        <v>704</v>
      </c>
      <c r="D48" s="360" t="s">
        <v>705</v>
      </c>
      <c r="E48" s="360" t="s">
        <v>486</v>
      </c>
    </row>
    <row r="49" spans="2:5" x14ac:dyDescent="0.25">
      <c r="B49" s="357" t="s">
        <v>706</v>
      </c>
      <c r="C49" s="361">
        <v>23671</v>
      </c>
      <c r="D49" s="361" t="s">
        <v>793</v>
      </c>
      <c r="E49" s="361">
        <v>23671</v>
      </c>
    </row>
    <row r="50" spans="2:5" x14ac:dyDescent="0.25">
      <c r="B50" s="358" t="s">
        <v>29</v>
      </c>
      <c r="C50" s="361">
        <v>90591</v>
      </c>
      <c r="D50" s="361" t="s">
        <v>793</v>
      </c>
      <c r="E50" s="361">
        <v>90591</v>
      </c>
    </row>
    <row r="51" spans="2:5" x14ac:dyDescent="0.25">
      <c r="B51" s="358" t="s">
        <v>30</v>
      </c>
      <c r="C51" s="361">
        <v>105822</v>
      </c>
      <c r="D51" s="361" t="s">
        <v>793</v>
      </c>
      <c r="E51" s="361">
        <v>105822</v>
      </c>
    </row>
    <row r="52" spans="2:5" x14ac:dyDescent="0.25">
      <c r="B52" s="358" t="s">
        <v>707</v>
      </c>
      <c r="C52" s="361">
        <v>54727</v>
      </c>
      <c r="D52" s="361" t="s">
        <v>793</v>
      </c>
      <c r="E52" s="361">
        <v>54727</v>
      </c>
    </row>
    <row r="53" spans="2:5" x14ac:dyDescent="0.25">
      <c r="B53" s="358" t="s">
        <v>34</v>
      </c>
      <c r="C53" s="361">
        <v>38385</v>
      </c>
      <c r="D53" s="361" t="s">
        <v>793</v>
      </c>
      <c r="E53" s="361">
        <v>38385</v>
      </c>
    </row>
    <row r="54" spans="2:5" hidden="1" outlineLevel="1" x14ac:dyDescent="0.25">
      <c r="B54" s="359">
        <v>41640</v>
      </c>
      <c r="C54" s="362">
        <v>3012</v>
      </c>
      <c r="D54" s="362">
        <v>385</v>
      </c>
      <c r="E54" s="362">
        <v>3397</v>
      </c>
    </row>
    <row r="55" spans="2:5" hidden="1" outlineLevel="1" x14ac:dyDescent="0.25">
      <c r="B55" s="359">
        <v>41671</v>
      </c>
      <c r="C55" s="362">
        <v>3146</v>
      </c>
      <c r="D55" s="362">
        <v>307</v>
      </c>
      <c r="E55" s="362">
        <v>3453</v>
      </c>
    </row>
    <row r="56" spans="2:5" hidden="1" outlineLevel="1" x14ac:dyDescent="0.25">
      <c r="B56" s="359">
        <v>41699</v>
      </c>
      <c r="C56" s="362">
        <v>2820</v>
      </c>
      <c r="D56" s="362">
        <v>401</v>
      </c>
      <c r="E56" s="362">
        <v>3221</v>
      </c>
    </row>
    <row r="57" spans="2:5" hidden="1" outlineLevel="1" x14ac:dyDescent="0.25">
      <c r="B57" s="359">
        <v>41730</v>
      </c>
      <c r="C57" s="362">
        <v>3671</v>
      </c>
      <c r="D57" s="362">
        <v>837</v>
      </c>
      <c r="E57" s="362">
        <v>4508</v>
      </c>
    </row>
    <row r="58" spans="2:5" hidden="1" outlineLevel="1" x14ac:dyDescent="0.25">
      <c r="B58" s="359">
        <v>41760</v>
      </c>
      <c r="C58" s="362">
        <v>3405</v>
      </c>
      <c r="D58" s="362">
        <v>637</v>
      </c>
      <c r="E58" s="362">
        <v>4042</v>
      </c>
    </row>
    <row r="59" spans="2:5" hidden="1" outlineLevel="1" x14ac:dyDescent="0.25">
      <c r="B59" s="359">
        <v>41791</v>
      </c>
      <c r="C59" s="362">
        <v>3448</v>
      </c>
      <c r="D59" s="362">
        <v>551</v>
      </c>
      <c r="E59" s="362">
        <v>3999</v>
      </c>
    </row>
    <row r="60" spans="2:5" hidden="1" outlineLevel="1" x14ac:dyDescent="0.25">
      <c r="B60" s="359">
        <v>41821</v>
      </c>
      <c r="C60" s="362">
        <v>3132</v>
      </c>
      <c r="D60" s="362">
        <v>431</v>
      </c>
      <c r="E60" s="362">
        <v>3563</v>
      </c>
    </row>
    <row r="61" spans="2:5" hidden="1" outlineLevel="1" x14ac:dyDescent="0.25">
      <c r="B61" s="359">
        <v>41852</v>
      </c>
      <c r="C61" s="362">
        <v>3702</v>
      </c>
      <c r="D61" s="362">
        <v>437</v>
      </c>
      <c r="E61" s="362">
        <v>4139</v>
      </c>
    </row>
    <row r="62" spans="2:5" hidden="1" outlineLevel="1" x14ac:dyDescent="0.25">
      <c r="B62" s="359">
        <v>41883</v>
      </c>
      <c r="C62" s="362">
        <v>4118</v>
      </c>
      <c r="D62" s="362">
        <v>391</v>
      </c>
      <c r="E62" s="362">
        <v>4509</v>
      </c>
    </row>
    <row r="63" spans="2:5" hidden="1" outlineLevel="1" x14ac:dyDescent="0.25">
      <c r="B63" s="359">
        <v>41913</v>
      </c>
      <c r="C63" s="362">
        <v>4714</v>
      </c>
      <c r="D63" s="362">
        <v>491</v>
      </c>
      <c r="E63" s="362">
        <v>5205</v>
      </c>
    </row>
    <row r="64" spans="2:5" hidden="1" outlineLevel="1" x14ac:dyDescent="0.25">
      <c r="B64" s="359">
        <v>41944</v>
      </c>
      <c r="C64" s="362">
        <v>4499</v>
      </c>
      <c r="D64" s="362">
        <v>402</v>
      </c>
      <c r="E64" s="362">
        <v>4901</v>
      </c>
    </row>
    <row r="65" spans="2:5" hidden="1" outlineLevel="1" x14ac:dyDescent="0.25">
      <c r="B65" s="359">
        <v>41974</v>
      </c>
      <c r="C65" s="362">
        <v>4587</v>
      </c>
      <c r="D65" s="362">
        <v>501</v>
      </c>
      <c r="E65" s="362">
        <v>5088</v>
      </c>
    </row>
    <row r="66" spans="2:5" collapsed="1" x14ac:dyDescent="0.25">
      <c r="B66" s="358" t="s">
        <v>36</v>
      </c>
      <c r="C66" s="361">
        <v>44254</v>
      </c>
      <c r="D66" s="361">
        <v>5771</v>
      </c>
      <c r="E66" s="361">
        <v>50025</v>
      </c>
    </row>
    <row r="67" spans="2:5" hidden="1" outlineLevel="1" x14ac:dyDescent="0.25">
      <c r="B67" s="359">
        <v>42005</v>
      </c>
      <c r="C67" s="362">
        <v>3692</v>
      </c>
      <c r="D67" s="362">
        <v>452</v>
      </c>
      <c r="E67" s="362">
        <v>4144</v>
      </c>
    </row>
    <row r="68" spans="2:5" hidden="1" outlineLevel="1" x14ac:dyDescent="0.25">
      <c r="B68" s="359">
        <v>42036</v>
      </c>
      <c r="C68" s="362">
        <v>3089</v>
      </c>
      <c r="D68" s="362">
        <v>314</v>
      </c>
      <c r="E68" s="362">
        <v>3403</v>
      </c>
    </row>
    <row r="69" spans="2:5" hidden="1" outlineLevel="1" x14ac:dyDescent="0.25">
      <c r="B69" s="359">
        <v>42064</v>
      </c>
      <c r="C69" s="362">
        <v>3959</v>
      </c>
      <c r="D69" s="362">
        <v>437</v>
      </c>
      <c r="E69" s="362">
        <v>4396</v>
      </c>
    </row>
    <row r="70" spans="2:5" hidden="1" outlineLevel="1" x14ac:dyDescent="0.25">
      <c r="B70" s="359">
        <v>42095</v>
      </c>
      <c r="C70" s="362">
        <v>4199</v>
      </c>
      <c r="D70" s="362">
        <v>418</v>
      </c>
      <c r="E70" s="362">
        <v>4617</v>
      </c>
    </row>
    <row r="71" spans="2:5" hidden="1" outlineLevel="1" x14ac:dyDescent="0.25">
      <c r="B71" s="359">
        <v>42125</v>
      </c>
      <c r="C71" s="362">
        <v>3877</v>
      </c>
      <c r="D71" s="362">
        <v>527</v>
      </c>
      <c r="E71" s="362">
        <v>4404</v>
      </c>
    </row>
    <row r="72" spans="2:5" hidden="1" outlineLevel="1" x14ac:dyDescent="0.25">
      <c r="B72" s="359">
        <v>42156</v>
      </c>
      <c r="C72" s="362">
        <v>4140</v>
      </c>
      <c r="D72" s="362">
        <v>642</v>
      </c>
      <c r="E72" s="362">
        <v>4782</v>
      </c>
    </row>
    <row r="73" spans="2:5" hidden="1" outlineLevel="1" x14ac:dyDescent="0.25">
      <c r="B73" s="359">
        <v>42186</v>
      </c>
      <c r="C73" s="362">
        <v>3415</v>
      </c>
      <c r="D73" s="362">
        <v>391</v>
      </c>
      <c r="E73" s="362">
        <v>3806</v>
      </c>
    </row>
    <row r="74" spans="2:5" hidden="1" outlineLevel="1" x14ac:dyDescent="0.25">
      <c r="B74" s="359">
        <v>42217</v>
      </c>
      <c r="C74" s="362">
        <v>6058</v>
      </c>
      <c r="D74" s="362">
        <v>393</v>
      </c>
      <c r="E74" s="362">
        <v>6451</v>
      </c>
    </row>
    <row r="75" spans="2:5" hidden="1" outlineLevel="1" x14ac:dyDescent="0.25">
      <c r="B75" s="359">
        <v>42248</v>
      </c>
      <c r="C75" s="362">
        <v>5036</v>
      </c>
      <c r="D75" s="362">
        <v>579</v>
      </c>
      <c r="E75" s="362">
        <v>5615</v>
      </c>
    </row>
    <row r="76" spans="2:5" hidden="1" outlineLevel="1" x14ac:dyDescent="0.25">
      <c r="B76" s="359">
        <v>42278</v>
      </c>
      <c r="C76" s="362">
        <v>4175</v>
      </c>
      <c r="D76" s="362">
        <v>552</v>
      </c>
      <c r="E76" s="362">
        <v>4727</v>
      </c>
    </row>
    <row r="77" spans="2:5" hidden="1" outlineLevel="1" x14ac:dyDescent="0.25">
      <c r="B77" s="359">
        <v>42309</v>
      </c>
      <c r="C77" s="362">
        <v>5394</v>
      </c>
      <c r="D77" s="362">
        <v>555</v>
      </c>
      <c r="E77" s="362">
        <v>5949</v>
      </c>
    </row>
    <row r="78" spans="2:5" hidden="1" outlineLevel="1" x14ac:dyDescent="0.25">
      <c r="B78" s="359">
        <v>42339</v>
      </c>
      <c r="C78" s="362">
        <v>4616</v>
      </c>
      <c r="D78" s="362">
        <v>704</v>
      </c>
      <c r="E78" s="362">
        <v>5320</v>
      </c>
    </row>
    <row r="79" spans="2:5" collapsed="1" x14ac:dyDescent="0.25">
      <c r="B79" s="358" t="s">
        <v>928</v>
      </c>
      <c r="C79" s="361">
        <v>51650</v>
      </c>
      <c r="D79" s="361">
        <v>5964</v>
      </c>
      <c r="E79" s="361">
        <v>57614</v>
      </c>
    </row>
    <row r="80" spans="2:5" hidden="1" outlineLevel="1" x14ac:dyDescent="0.25">
      <c r="B80" s="359">
        <v>42370</v>
      </c>
      <c r="C80" s="362">
        <v>4090</v>
      </c>
      <c r="D80" s="362">
        <v>834</v>
      </c>
      <c r="E80" s="362">
        <v>4924</v>
      </c>
    </row>
    <row r="81" spans="2:5" hidden="1" outlineLevel="1" x14ac:dyDescent="0.25">
      <c r="B81" s="359">
        <v>42401</v>
      </c>
      <c r="C81" s="362">
        <v>3843</v>
      </c>
      <c r="D81" s="362">
        <v>401</v>
      </c>
      <c r="E81" s="362">
        <v>4244</v>
      </c>
    </row>
    <row r="82" spans="2:5" hidden="1" outlineLevel="1" x14ac:dyDescent="0.25">
      <c r="B82" s="359">
        <v>42430</v>
      </c>
      <c r="C82" s="362">
        <v>5145</v>
      </c>
      <c r="D82" s="362">
        <v>878</v>
      </c>
      <c r="E82" s="362">
        <v>6023</v>
      </c>
    </row>
    <row r="83" spans="2:5" hidden="1" outlineLevel="1" x14ac:dyDescent="0.25">
      <c r="B83" s="359">
        <v>42461</v>
      </c>
      <c r="C83" s="362">
        <v>4415</v>
      </c>
      <c r="D83" s="362">
        <v>636</v>
      </c>
      <c r="E83" s="362">
        <v>5051</v>
      </c>
    </row>
    <row r="84" spans="2:5" hidden="1" outlineLevel="1" x14ac:dyDescent="0.25">
      <c r="B84" s="359">
        <v>42491</v>
      </c>
      <c r="C84" s="362">
        <v>4663</v>
      </c>
      <c r="D84" s="362">
        <v>700</v>
      </c>
      <c r="E84" s="362">
        <v>5363</v>
      </c>
    </row>
    <row r="85" spans="2:5" hidden="1" outlineLevel="1" x14ac:dyDescent="0.25">
      <c r="B85" s="359">
        <v>42522</v>
      </c>
      <c r="C85" s="362">
        <v>3794</v>
      </c>
      <c r="D85" s="362">
        <v>507</v>
      </c>
      <c r="E85" s="362">
        <v>4301</v>
      </c>
    </row>
    <row r="86" spans="2:5" hidden="1" outlineLevel="1" x14ac:dyDescent="0.25">
      <c r="B86" s="359">
        <v>42552</v>
      </c>
      <c r="C86" s="362">
        <v>4438</v>
      </c>
      <c r="D86" s="362">
        <v>635</v>
      </c>
      <c r="E86" s="362">
        <v>5073</v>
      </c>
    </row>
    <row r="87" spans="2:5" hidden="1" outlineLevel="1" x14ac:dyDescent="0.25">
      <c r="B87" s="359">
        <v>42583</v>
      </c>
      <c r="C87" s="362">
        <v>4694</v>
      </c>
      <c r="D87" s="362">
        <v>856</v>
      </c>
      <c r="E87" s="362">
        <v>5550</v>
      </c>
    </row>
    <row r="88" spans="2:5" hidden="1" outlineLevel="1" x14ac:dyDescent="0.25">
      <c r="B88" s="359">
        <v>42614</v>
      </c>
      <c r="C88" s="362">
        <v>4579</v>
      </c>
      <c r="D88" s="362">
        <v>914</v>
      </c>
      <c r="E88" s="362">
        <v>5493</v>
      </c>
    </row>
    <row r="89" spans="2:5" hidden="1" outlineLevel="1" x14ac:dyDescent="0.25">
      <c r="B89" s="359">
        <v>42644</v>
      </c>
      <c r="C89" s="362">
        <v>4407</v>
      </c>
      <c r="D89" s="362">
        <v>866</v>
      </c>
      <c r="E89" s="362">
        <v>5273</v>
      </c>
    </row>
    <row r="90" spans="2:5" hidden="1" outlineLevel="1" x14ac:dyDescent="0.25">
      <c r="B90" s="359">
        <v>42675</v>
      </c>
      <c r="C90" s="362">
        <v>3689</v>
      </c>
      <c r="D90" s="362">
        <v>1064</v>
      </c>
      <c r="E90" s="362">
        <v>4753</v>
      </c>
    </row>
    <row r="91" spans="2:5" hidden="1" outlineLevel="1" x14ac:dyDescent="0.25">
      <c r="B91" s="359">
        <v>42705</v>
      </c>
      <c r="C91" s="362">
        <v>5295</v>
      </c>
      <c r="D91" s="362">
        <v>451</v>
      </c>
      <c r="E91" s="362">
        <v>5746</v>
      </c>
    </row>
    <row r="92" spans="2:5" collapsed="1" x14ac:dyDescent="0.25">
      <c r="B92" s="358" t="s">
        <v>55</v>
      </c>
      <c r="C92" s="361">
        <v>53052</v>
      </c>
      <c r="D92" s="361">
        <v>8742</v>
      </c>
      <c r="E92" s="361">
        <v>61794</v>
      </c>
    </row>
    <row r="93" spans="2:5" hidden="1" outlineLevel="1" x14ac:dyDescent="0.25">
      <c r="B93" s="359">
        <v>42736</v>
      </c>
      <c r="C93" s="362">
        <v>4977</v>
      </c>
      <c r="D93" s="362">
        <v>661</v>
      </c>
      <c r="E93" s="362">
        <v>5638</v>
      </c>
    </row>
    <row r="94" spans="2:5" hidden="1" outlineLevel="1" x14ac:dyDescent="0.25">
      <c r="B94" s="359">
        <v>42767</v>
      </c>
      <c r="C94" s="362">
        <v>4428</v>
      </c>
      <c r="D94" s="362">
        <v>663</v>
      </c>
      <c r="E94" s="362">
        <v>5091</v>
      </c>
    </row>
    <row r="95" spans="2:5" hidden="1" outlineLevel="1" x14ac:dyDescent="0.25">
      <c r="B95" s="359">
        <v>42795</v>
      </c>
      <c r="C95" s="362">
        <v>4154</v>
      </c>
      <c r="D95" s="362">
        <v>749</v>
      </c>
      <c r="E95" s="362">
        <v>4903</v>
      </c>
    </row>
    <row r="96" spans="2:5" hidden="1" outlineLevel="1" x14ac:dyDescent="0.25">
      <c r="B96" s="359">
        <v>42826</v>
      </c>
      <c r="C96" s="362">
        <v>4708</v>
      </c>
      <c r="D96" s="362">
        <v>760</v>
      </c>
      <c r="E96" s="362">
        <v>5468</v>
      </c>
    </row>
    <row r="97" spans="2:5" hidden="1" outlineLevel="1" x14ac:dyDescent="0.25">
      <c r="B97" s="359">
        <v>42856</v>
      </c>
      <c r="C97" s="362">
        <v>4913</v>
      </c>
      <c r="D97" s="362">
        <v>812</v>
      </c>
      <c r="E97" s="362">
        <v>5725</v>
      </c>
    </row>
    <row r="98" spans="2:5" hidden="1" outlineLevel="1" x14ac:dyDescent="0.25">
      <c r="B98" s="359">
        <v>42887</v>
      </c>
      <c r="C98" s="362">
        <v>4045</v>
      </c>
      <c r="D98" s="362">
        <v>1056</v>
      </c>
      <c r="E98" s="362">
        <v>5101</v>
      </c>
    </row>
    <row r="99" spans="2:5" hidden="1" outlineLevel="1" x14ac:dyDescent="0.25">
      <c r="B99" s="359">
        <v>42917</v>
      </c>
      <c r="C99" s="362">
        <v>4769</v>
      </c>
      <c r="D99" s="362">
        <v>753</v>
      </c>
      <c r="E99" s="362">
        <v>5522</v>
      </c>
    </row>
    <row r="100" spans="2:5" hidden="1" outlineLevel="1" x14ac:dyDescent="0.25">
      <c r="B100" s="359">
        <v>42948</v>
      </c>
      <c r="C100" s="362">
        <v>5278</v>
      </c>
      <c r="D100" s="362">
        <v>817</v>
      </c>
      <c r="E100" s="362">
        <v>6095</v>
      </c>
    </row>
    <row r="101" spans="2:5" hidden="1" outlineLevel="1" x14ac:dyDescent="0.25">
      <c r="B101" s="359">
        <v>42979</v>
      </c>
      <c r="C101" s="362">
        <v>3974</v>
      </c>
      <c r="D101" s="362">
        <v>593</v>
      </c>
      <c r="E101" s="362">
        <v>4567</v>
      </c>
    </row>
    <row r="102" spans="2:5" hidden="1" outlineLevel="1" x14ac:dyDescent="0.25">
      <c r="B102" s="359">
        <v>43009</v>
      </c>
      <c r="C102" s="362">
        <v>6946</v>
      </c>
      <c r="D102" s="362">
        <v>1191</v>
      </c>
      <c r="E102" s="362">
        <v>8137</v>
      </c>
    </row>
    <row r="103" spans="2:5" hidden="1" outlineLevel="1" x14ac:dyDescent="0.25">
      <c r="B103" s="359">
        <v>43040</v>
      </c>
      <c r="C103" s="362">
        <v>5299</v>
      </c>
      <c r="D103" s="362">
        <v>833</v>
      </c>
      <c r="E103" s="362">
        <v>6132</v>
      </c>
    </row>
    <row r="104" spans="2:5" hidden="1" outlineLevel="1" x14ac:dyDescent="0.25">
      <c r="B104" s="359">
        <v>43070</v>
      </c>
      <c r="C104" s="362">
        <v>4958</v>
      </c>
      <c r="D104" s="362">
        <v>795</v>
      </c>
      <c r="E104" s="362">
        <v>5753</v>
      </c>
    </row>
    <row r="105" spans="2:5" collapsed="1" x14ac:dyDescent="0.25">
      <c r="B105" s="358" t="s">
        <v>58</v>
      </c>
      <c r="C105" s="361">
        <v>58449</v>
      </c>
      <c r="D105" s="361">
        <v>9683</v>
      </c>
      <c r="E105" s="361">
        <v>68132</v>
      </c>
    </row>
    <row r="106" spans="2:5" hidden="1" outlineLevel="1" x14ac:dyDescent="0.25">
      <c r="B106" s="359">
        <v>43101</v>
      </c>
      <c r="C106" s="362">
        <v>5007</v>
      </c>
      <c r="D106" s="362">
        <v>965</v>
      </c>
      <c r="E106" s="362">
        <v>5972</v>
      </c>
    </row>
    <row r="107" spans="2:5" hidden="1" outlineLevel="1" x14ac:dyDescent="0.25">
      <c r="B107" s="359">
        <v>43132</v>
      </c>
      <c r="C107" s="362">
        <v>5360</v>
      </c>
      <c r="D107" s="362">
        <v>944</v>
      </c>
      <c r="E107" s="362">
        <v>6304</v>
      </c>
    </row>
    <row r="108" spans="2:5" hidden="1" outlineLevel="1" x14ac:dyDescent="0.25">
      <c r="B108" s="359">
        <v>43160</v>
      </c>
      <c r="C108" s="362">
        <v>6203</v>
      </c>
      <c r="D108" s="362">
        <v>1124</v>
      </c>
      <c r="E108" s="362">
        <v>7327</v>
      </c>
    </row>
    <row r="109" spans="2:5" hidden="1" outlineLevel="1" x14ac:dyDescent="0.25">
      <c r="B109" s="359">
        <v>43191</v>
      </c>
      <c r="C109" s="362">
        <v>5250</v>
      </c>
      <c r="D109" s="362">
        <v>775</v>
      </c>
      <c r="E109" s="362">
        <v>6025</v>
      </c>
    </row>
    <row r="110" spans="2:5" hidden="1" outlineLevel="1" x14ac:dyDescent="0.25">
      <c r="B110" s="359">
        <v>43221</v>
      </c>
      <c r="C110" s="362">
        <v>5419</v>
      </c>
      <c r="D110" s="362">
        <v>628</v>
      </c>
      <c r="E110" s="362">
        <v>6047</v>
      </c>
    </row>
    <row r="111" spans="2:5" hidden="1" outlineLevel="1" x14ac:dyDescent="0.25">
      <c r="B111" s="359">
        <v>43252</v>
      </c>
      <c r="C111" s="362">
        <v>5299</v>
      </c>
      <c r="D111" s="362">
        <v>848</v>
      </c>
      <c r="E111" s="362">
        <v>6147</v>
      </c>
    </row>
    <row r="112" spans="2:5" hidden="1" outlineLevel="1" x14ac:dyDescent="0.25">
      <c r="B112" s="359">
        <v>43282</v>
      </c>
      <c r="C112" s="362">
        <v>5273</v>
      </c>
      <c r="D112" s="362">
        <v>633</v>
      </c>
      <c r="E112" s="362">
        <v>5906</v>
      </c>
    </row>
    <row r="113" spans="2:5" hidden="1" outlineLevel="1" x14ac:dyDescent="0.25">
      <c r="B113" s="359">
        <v>43313</v>
      </c>
      <c r="C113" s="362">
        <v>5742</v>
      </c>
      <c r="D113" s="362">
        <v>364</v>
      </c>
      <c r="E113" s="362">
        <v>6106</v>
      </c>
    </row>
    <row r="114" spans="2:5" hidden="1" outlineLevel="1" x14ac:dyDescent="0.25">
      <c r="B114" s="359">
        <v>43344</v>
      </c>
      <c r="C114" s="362">
        <v>6055</v>
      </c>
      <c r="D114" s="362">
        <v>488</v>
      </c>
      <c r="E114" s="362">
        <v>6543</v>
      </c>
    </row>
    <row r="115" spans="2:5" hidden="1" outlineLevel="1" x14ac:dyDescent="0.25">
      <c r="B115" s="359">
        <v>43374</v>
      </c>
      <c r="C115" s="362">
        <v>5991</v>
      </c>
      <c r="D115" s="362">
        <v>513</v>
      </c>
      <c r="E115" s="362">
        <v>6504</v>
      </c>
    </row>
    <row r="116" spans="2:5" hidden="1" outlineLevel="1" x14ac:dyDescent="0.25">
      <c r="B116" s="359">
        <v>43405</v>
      </c>
      <c r="C116" s="362">
        <v>6396</v>
      </c>
      <c r="D116" s="362">
        <v>416</v>
      </c>
      <c r="E116" s="362">
        <v>6812</v>
      </c>
    </row>
    <row r="117" spans="2:5" hidden="1" outlineLevel="1" x14ac:dyDescent="0.25">
      <c r="B117" s="359">
        <v>43435</v>
      </c>
      <c r="C117" s="362">
        <v>5803</v>
      </c>
      <c r="D117" s="362">
        <v>345</v>
      </c>
      <c r="E117" s="362">
        <v>6148</v>
      </c>
    </row>
    <row r="118" spans="2:5" collapsed="1" x14ac:dyDescent="0.25">
      <c r="B118" s="358" t="s">
        <v>59</v>
      </c>
      <c r="C118" s="361">
        <v>67798</v>
      </c>
      <c r="D118" s="361">
        <v>8043</v>
      </c>
      <c r="E118" s="361">
        <v>75841</v>
      </c>
    </row>
    <row r="119" spans="2:5" hidden="1" outlineLevel="1" x14ac:dyDescent="0.25">
      <c r="B119" s="359">
        <v>43466</v>
      </c>
      <c r="C119" s="362">
        <v>5382</v>
      </c>
      <c r="D119" s="362">
        <v>271</v>
      </c>
      <c r="E119" s="362">
        <v>5653</v>
      </c>
    </row>
    <row r="120" spans="2:5" hidden="1" outlineLevel="1" x14ac:dyDescent="0.25">
      <c r="B120" s="359">
        <v>43497</v>
      </c>
      <c r="C120" s="362">
        <v>5714</v>
      </c>
      <c r="D120" s="362">
        <v>250</v>
      </c>
      <c r="E120" s="362">
        <v>5964</v>
      </c>
    </row>
    <row r="121" spans="2:5" hidden="1" outlineLevel="1" x14ac:dyDescent="0.25">
      <c r="B121" s="359">
        <v>43525</v>
      </c>
      <c r="C121" s="362">
        <v>5149</v>
      </c>
      <c r="D121" s="362">
        <v>433</v>
      </c>
      <c r="E121" s="362">
        <v>5582</v>
      </c>
    </row>
    <row r="122" spans="2:5" hidden="1" outlineLevel="1" x14ac:dyDescent="0.25">
      <c r="B122" s="359">
        <v>43556</v>
      </c>
      <c r="C122" s="362">
        <v>5771</v>
      </c>
      <c r="D122" s="362">
        <v>547</v>
      </c>
      <c r="E122" s="362">
        <v>6318</v>
      </c>
    </row>
    <row r="123" spans="2:5" hidden="1" outlineLevel="1" x14ac:dyDescent="0.25">
      <c r="B123" s="359">
        <v>43586</v>
      </c>
      <c r="C123" s="362">
        <v>5051</v>
      </c>
      <c r="D123" s="362">
        <v>312</v>
      </c>
      <c r="E123" s="362">
        <v>5363</v>
      </c>
    </row>
    <row r="124" spans="2:5" hidden="1" outlineLevel="1" x14ac:dyDescent="0.25">
      <c r="B124" s="359">
        <v>43617</v>
      </c>
      <c r="C124" s="362">
        <v>5467</v>
      </c>
      <c r="D124" s="362">
        <v>166</v>
      </c>
      <c r="E124" s="362">
        <v>5633</v>
      </c>
    </row>
    <row r="125" spans="2:5" hidden="1" outlineLevel="1" x14ac:dyDescent="0.25">
      <c r="B125" s="359">
        <v>43647</v>
      </c>
      <c r="C125" s="362">
        <v>5462</v>
      </c>
      <c r="D125" s="362">
        <v>423</v>
      </c>
      <c r="E125" s="362">
        <v>5885</v>
      </c>
    </row>
    <row r="126" spans="2:5" hidden="1" outlineLevel="1" x14ac:dyDescent="0.25">
      <c r="B126" s="359">
        <v>43678</v>
      </c>
      <c r="C126" s="362">
        <v>5228</v>
      </c>
      <c r="D126" s="362">
        <v>334</v>
      </c>
      <c r="E126" s="362">
        <v>5562</v>
      </c>
    </row>
    <row r="127" spans="2:5" hidden="1" outlineLevel="1" x14ac:dyDescent="0.25">
      <c r="B127" s="359">
        <v>43709</v>
      </c>
      <c r="C127" s="362">
        <v>5848</v>
      </c>
      <c r="D127" s="362">
        <v>349</v>
      </c>
      <c r="E127" s="362">
        <v>6197</v>
      </c>
    </row>
    <row r="128" spans="2:5" hidden="1" outlineLevel="1" x14ac:dyDescent="0.25">
      <c r="B128" s="359">
        <v>43739</v>
      </c>
      <c r="C128" s="362">
        <v>6655</v>
      </c>
      <c r="D128" s="362">
        <v>526</v>
      </c>
      <c r="E128" s="362">
        <v>7181</v>
      </c>
    </row>
    <row r="129" spans="2:5" hidden="1" outlineLevel="1" x14ac:dyDescent="0.25">
      <c r="B129" s="359">
        <v>43770</v>
      </c>
      <c r="C129" s="362">
        <v>3805</v>
      </c>
      <c r="D129" s="362">
        <v>128</v>
      </c>
      <c r="E129" s="362">
        <v>3933</v>
      </c>
    </row>
    <row r="130" spans="2:5" hidden="1" outlineLevel="1" x14ac:dyDescent="0.25">
      <c r="B130" s="359">
        <v>43800</v>
      </c>
      <c r="C130" s="362">
        <v>6358</v>
      </c>
      <c r="D130" s="362">
        <v>299</v>
      </c>
      <c r="E130" s="362">
        <v>6657</v>
      </c>
    </row>
    <row r="131" spans="2:5" collapsed="1" x14ac:dyDescent="0.25">
      <c r="B131" s="358" t="s">
        <v>60</v>
      </c>
      <c r="C131" s="361">
        <v>65890</v>
      </c>
      <c r="D131" s="361">
        <v>4038</v>
      </c>
      <c r="E131" s="361">
        <v>69928</v>
      </c>
    </row>
    <row r="132" spans="2:5" hidden="1" outlineLevel="1" x14ac:dyDescent="0.25">
      <c r="B132" s="359">
        <v>43831</v>
      </c>
      <c r="C132" s="362">
        <v>6973</v>
      </c>
      <c r="D132" s="362">
        <v>334</v>
      </c>
      <c r="E132" s="362">
        <v>7307</v>
      </c>
    </row>
    <row r="133" spans="2:5" hidden="1" outlineLevel="1" x14ac:dyDescent="0.25">
      <c r="B133" s="359">
        <v>43862</v>
      </c>
      <c r="C133" s="362">
        <v>6865</v>
      </c>
      <c r="D133" s="362">
        <v>510</v>
      </c>
      <c r="E133" s="362">
        <v>7375</v>
      </c>
    </row>
    <row r="134" spans="2:5" hidden="1" outlineLevel="1" x14ac:dyDescent="0.25">
      <c r="B134" s="359">
        <v>43891</v>
      </c>
      <c r="C134" s="362">
        <v>6450</v>
      </c>
      <c r="D134" s="362">
        <v>524</v>
      </c>
      <c r="E134" s="362">
        <v>6974</v>
      </c>
    </row>
    <row r="135" spans="2:5" hidden="1" outlineLevel="1" x14ac:dyDescent="0.25">
      <c r="B135" s="359">
        <v>43922</v>
      </c>
      <c r="C135" s="362">
        <v>3120</v>
      </c>
      <c r="D135" s="362">
        <v>427</v>
      </c>
      <c r="E135" s="362">
        <v>3547</v>
      </c>
    </row>
    <row r="136" spans="2:5" hidden="1" outlineLevel="1" x14ac:dyDescent="0.25">
      <c r="B136" s="359">
        <v>43952</v>
      </c>
      <c r="C136" s="362">
        <v>3668</v>
      </c>
      <c r="D136" s="362">
        <v>336</v>
      </c>
      <c r="E136" s="362">
        <v>4004</v>
      </c>
    </row>
    <row r="137" spans="2:5" hidden="1" outlineLevel="1" x14ac:dyDescent="0.25">
      <c r="B137" s="359">
        <v>43983</v>
      </c>
      <c r="C137" s="362">
        <v>4010</v>
      </c>
      <c r="D137" s="362">
        <v>620</v>
      </c>
      <c r="E137" s="362">
        <v>4630</v>
      </c>
    </row>
    <row r="138" spans="2:5" hidden="1" outlineLevel="1" x14ac:dyDescent="0.25">
      <c r="B138" s="359">
        <v>44013</v>
      </c>
      <c r="C138" s="362">
        <v>3699</v>
      </c>
      <c r="D138" s="362">
        <v>751</v>
      </c>
      <c r="E138" s="362">
        <v>4450</v>
      </c>
    </row>
    <row r="139" spans="2:5" hidden="1" outlineLevel="1" x14ac:dyDescent="0.25">
      <c r="B139" s="359">
        <v>44044</v>
      </c>
      <c r="C139" s="362">
        <v>5600</v>
      </c>
      <c r="D139" s="362">
        <v>304</v>
      </c>
      <c r="E139" s="362">
        <v>5904</v>
      </c>
    </row>
    <row r="140" spans="2:5" hidden="1" outlineLevel="1" x14ac:dyDescent="0.25">
      <c r="B140" s="359">
        <v>44075</v>
      </c>
      <c r="C140" s="362">
        <v>6256</v>
      </c>
      <c r="D140" s="362">
        <v>329</v>
      </c>
      <c r="E140" s="362">
        <v>6585</v>
      </c>
    </row>
    <row r="141" spans="2:5" hidden="1" outlineLevel="1" x14ac:dyDescent="0.25">
      <c r="B141" s="359">
        <v>44105</v>
      </c>
      <c r="C141" s="362">
        <v>6677</v>
      </c>
      <c r="D141" s="362">
        <v>356</v>
      </c>
      <c r="E141" s="362">
        <v>7033</v>
      </c>
    </row>
    <row r="142" spans="2:5" hidden="1" outlineLevel="1" x14ac:dyDescent="0.25">
      <c r="B142" s="359">
        <v>44136</v>
      </c>
      <c r="C142" s="362">
        <v>7271</v>
      </c>
      <c r="D142" s="362">
        <v>364</v>
      </c>
      <c r="E142" s="362">
        <v>7635</v>
      </c>
    </row>
    <row r="143" spans="2:5" hidden="1" outlineLevel="1" x14ac:dyDescent="0.25">
      <c r="B143" s="359">
        <v>44166</v>
      </c>
      <c r="C143" s="362">
        <v>7060</v>
      </c>
      <c r="D143" s="362">
        <v>369</v>
      </c>
      <c r="E143" s="362">
        <v>7429</v>
      </c>
    </row>
    <row r="144" spans="2:5" collapsed="1" x14ac:dyDescent="0.25">
      <c r="B144" s="358" t="s">
        <v>64</v>
      </c>
      <c r="C144" s="361">
        <v>67649</v>
      </c>
      <c r="D144" s="361">
        <v>5224</v>
      </c>
      <c r="E144" s="361">
        <v>72873</v>
      </c>
    </row>
    <row r="145" spans="2:5" hidden="1" outlineLevel="1" x14ac:dyDescent="0.25">
      <c r="B145" s="359">
        <v>44197</v>
      </c>
      <c r="C145" s="362">
        <v>5872</v>
      </c>
      <c r="D145" s="362">
        <v>407</v>
      </c>
      <c r="E145" s="362">
        <v>6279</v>
      </c>
    </row>
    <row r="146" spans="2:5" hidden="1" outlineLevel="1" x14ac:dyDescent="0.25">
      <c r="B146" s="359">
        <v>44228</v>
      </c>
      <c r="C146" s="362">
        <v>6398</v>
      </c>
      <c r="D146" s="362">
        <v>336</v>
      </c>
      <c r="E146" s="362">
        <v>6734</v>
      </c>
    </row>
    <row r="147" spans="2:5" hidden="1" outlineLevel="1" x14ac:dyDescent="0.25">
      <c r="B147" s="359">
        <v>44256</v>
      </c>
      <c r="C147" s="362">
        <v>6284</v>
      </c>
      <c r="D147" s="362">
        <v>400</v>
      </c>
      <c r="E147" s="362">
        <v>6684</v>
      </c>
    </row>
    <row r="148" spans="2:5" hidden="1" outlineLevel="1" x14ac:dyDescent="0.25">
      <c r="B148" s="359">
        <v>44287</v>
      </c>
      <c r="C148" s="362">
        <v>5645</v>
      </c>
      <c r="D148" s="362">
        <v>429</v>
      </c>
      <c r="E148" s="362">
        <v>6074</v>
      </c>
    </row>
    <row r="149" spans="2:5" hidden="1" outlineLevel="1" x14ac:dyDescent="0.25">
      <c r="B149" s="359">
        <v>44317</v>
      </c>
      <c r="C149" s="362">
        <v>6254</v>
      </c>
      <c r="D149" s="362">
        <v>475</v>
      </c>
      <c r="E149" s="362">
        <v>6729</v>
      </c>
    </row>
    <row r="150" spans="2:5" hidden="1" outlineLevel="1" x14ac:dyDescent="0.25">
      <c r="B150" s="359">
        <v>44348</v>
      </c>
      <c r="C150" s="362">
        <v>6456</v>
      </c>
      <c r="D150" s="362">
        <v>551</v>
      </c>
      <c r="E150" s="362">
        <v>7007</v>
      </c>
    </row>
    <row r="151" spans="2:5" hidden="1" outlineLevel="1" x14ac:dyDescent="0.25">
      <c r="B151" s="359">
        <v>44378</v>
      </c>
      <c r="C151" s="362">
        <v>6122</v>
      </c>
      <c r="D151" s="362">
        <v>574</v>
      </c>
      <c r="E151" s="362">
        <v>6696</v>
      </c>
    </row>
    <row r="152" spans="2:5" hidden="1" outlineLevel="1" x14ac:dyDescent="0.25">
      <c r="B152" s="359">
        <v>44409</v>
      </c>
      <c r="C152" s="362">
        <v>7688</v>
      </c>
      <c r="D152" s="362">
        <v>653</v>
      </c>
      <c r="E152" s="362">
        <v>8341</v>
      </c>
    </row>
    <row r="153" spans="2:5" hidden="1" outlineLevel="1" x14ac:dyDescent="0.25">
      <c r="B153" s="359">
        <v>44440</v>
      </c>
      <c r="C153" s="362">
        <v>7542</v>
      </c>
      <c r="D153" s="362">
        <v>649</v>
      </c>
      <c r="E153" s="362">
        <v>8191</v>
      </c>
    </row>
    <row r="154" spans="2:5" hidden="1" outlineLevel="1" x14ac:dyDescent="0.25">
      <c r="B154" s="359">
        <v>44470</v>
      </c>
      <c r="C154" s="362">
        <v>7921</v>
      </c>
      <c r="D154" s="362">
        <v>672</v>
      </c>
      <c r="E154" s="362">
        <v>8593</v>
      </c>
    </row>
    <row r="155" spans="2:5" hidden="1" outlineLevel="1" x14ac:dyDescent="0.25">
      <c r="B155" s="359">
        <v>44501</v>
      </c>
      <c r="C155" s="362">
        <v>7649</v>
      </c>
      <c r="D155" s="362">
        <v>641</v>
      </c>
      <c r="E155" s="362">
        <v>8290</v>
      </c>
    </row>
    <row r="156" spans="2:5" hidden="1" outlineLevel="1" x14ac:dyDescent="0.25">
      <c r="B156" s="359">
        <v>44531</v>
      </c>
      <c r="C156" s="362">
        <v>7848</v>
      </c>
      <c r="D156" s="362">
        <v>528</v>
      </c>
      <c r="E156" s="362">
        <v>8376</v>
      </c>
    </row>
    <row r="157" spans="2:5" collapsed="1" x14ac:dyDescent="0.25">
      <c r="B157" s="358" t="s">
        <v>65</v>
      </c>
      <c r="C157" s="361">
        <v>81679</v>
      </c>
      <c r="D157" s="361">
        <v>6315</v>
      </c>
      <c r="E157" s="361">
        <v>87994</v>
      </c>
    </row>
    <row r="158" spans="2:5" hidden="1" outlineLevel="1" x14ac:dyDescent="0.25">
      <c r="B158" s="359">
        <v>44562</v>
      </c>
      <c r="C158" s="362">
        <v>7668</v>
      </c>
      <c r="D158" s="362">
        <v>503</v>
      </c>
      <c r="E158" s="362">
        <v>8171</v>
      </c>
    </row>
    <row r="159" spans="2:5" hidden="1" outlineLevel="1" x14ac:dyDescent="0.25">
      <c r="B159" s="359">
        <v>44593</v>
      </c>
      <c r="C159" s="362">
        <v>10374</v>
      </c>
      <c r="D159" s="362">
        <v>972</v>
      </c>
      <c r="E159" s="362">
        <v>11346</v>
      </c>
    </row>
    <row r="160" spans="2:5" hidden="1" outlineLevel="1" x14ac:dyDescent="0.25">
      <c r="B160" s="359">
        <v>44621</v>
      </c>
      <c r="C160" s="362">
        <v>9515</v>
      </c>
      <c r="D160" s="362">
        <v>881</v>
      </c>
      <c r="E160" s="362">
        <v>10396</v>
      </c>
    </row>
    <row r="161" spans="2:5" hidden="1" outlineLevel="1" x14ac:dyDescent="0.25">
      <c r="B161" s="359">
        <v>44652</v>
      </c>
      <c r="C161" s="362">
        <v>11485</v>
      </c>
      <c r="D161" s="362">
        <v>221</v>
      </c>
      <c r="E161" s="362">
        <v>11706</v>
      </c>
    </row>
    <row r="162" spans="2:5" hidden="1" outlineLevel="1" x14ac:dyDescent="0.25">
      <c r="B162" s="359">
        <v>44682</v>
      </c>
      <c r="C162" s="362">
        <v>8749</v>
      </c>
      <c r="D162" s="362">
        <v>469</v>
      </c>
      <c r="E162" s="362">
        <v>9218</v>
      </c>
    </row>
    <row r="163" spans="2:5" hidden="1" outlineLevel="1" x14ac:dyDescent="0.25">
      <c r="B163" s="359">
        <v>44713</v>
      </c>
      <c r="C163" s="362">
        <v>8701</v>
      </c>
      <c r="D163" s="362">
        <v>364</v>
      </c>
      <c r="E163" s="362">
        <v>9065</v>
      </c>
    </row>
    <row r="164" spans="2:5" hidden="1" outlineLevel="1" x14ac:dyDescent="0.25">
      <c r="B164" s="359">
        <v>44743</v>
      </c>
      <c r="C164" s="362">
        <v>7724</v>
      </c>
      <c r="D164" s="362">
        <v>364</v>
      </c>
      <c r="E164" s="362">
        <v>8088</v>
      </c>
    </row>
    <row r="165" spans="2:5" hidden="1" outlineLevel="1" x14ac:dyDescent="0.25">
      <c r="B165" s="359">
        <v>44774</v>
      </c>
      <c r="C165" s="362">
        <v>12287</v>
      </c>
      <c r="D165" s="362">
        <v>1895</v>
      </c>
      <c r="E165" s="362">
        <v>14182</v>
      </c>
    </row>
    <row r="166" spans="2:5" hidden="1" outlineLevel="1" x14ac:dyDescent="0.25">
      <c r="B166" s="359">
        <v>44805</v>
      </c>
      <c r="C166" s="362">
        <v>6504</v>
      </c>
      <c r="D166" s="362">
        <v>681</v>
      </c>
      <c r="E166" s="362">
        <v>7185</v>
      </c>
    </row>
    <row r="167" spans="2:5" hidden="1" outlineLevel="1" x14ac:dyDescent="0.25">
      <c r="B167" s="359">
        <v>44835</v>
      </c>
      <c r="C167" s="362">
        <v>10957</v>
      </c>
      <c r="D167" s="362">
        <v>584</v>
      </c>
      <c r="E167" s="362">
        <v>11541</v>
      </c>
    </row>
    <row r="168" spans="2:5" hidden="1" outlineLevel="1" x14ac:dyDescent="0.25">
      <c r="B168" s="359">
        <v>44866</v>
      </c>
      <c r="C168" s="362">
        <v>11167</v>
      </c>
      <c r="D168" s="362">
        <v>843</v>
      </c>
      <c r="E168" s="362">
        <v>12010</v>
      </c>
    </row>
    <row r="169" spans="2:5" hidden="1" outlineLevel="1" x14ac:dyDescent="0.25">
      <c r="B169" s="359">
        <v>44896</v>
      </c>
      <c r="C169" s="362">
        <v>10298</v>
      </c>
      <c r="D169" s="362">
        <v>642</v>
      </c>
      <c r="E169" s="362">
        <v>10940</v>
      </c>
    </row>
    <row r="170" spans="2:5" collapsed="1" x14ac:dyDescent="0.25">
      <c r="B170" s="358" t="s">
        <v>66</v>
      </c>
      <c r="C170" s="361">
        <v>115429</v>
      </c>
      <c r="D170" s="361">
        <v>8419</v>
      </c>
      <c r="E170" s="361">
        <v>123848</v>
      </c>
    </row>
    <row r="171" spans="2:5" hidden="1" outlineLevel="1" x14ac:dyDescent="0.25">
      <c r="B171" s="359">
        <v>44927</v>
      </c>
      <c r="C171" s="362">
        <v>7455</v>
      </c>
      <c r="D171" s="362">
        <v>326</v>
      </c>
      <c r="E171" s="362">
        <v>7781</v>
      </c>
    </row>
    <row r="172" spans="2:5" hidden="1" outlineLevel="1" x14ac:dyDescent="0.25">
      <c r="B172" s="359">
        <v>44958</v>
      </c>
      <c r="C172" s="362">
        <v>9107</v>
      </c>
      <c r="D172" s="362">
        <v>532</v>
      </c>
      <c r="E172" s="362">
        <v>9639</v>
      </c>
    </row>
    <row r="173" spans="2:5" hidden="1" outlineLevel="1" x14ac:dyDescent="0.25">
      <c r="B173" s="359">
        <v>44986</v>
      </c>
      <c r="C173" s="362">
        <v>7118</v>
      </c>
      <c r="D173" s="362">
        <v>288</v>
      </c>
      <c r="E173" s="362">
        <v>7406</v>
      </c>
    </row>
    <row r="174" spans="2:5" hidden="1" outlineLevel="1" x14ac:dyDescent="0.25">
      <c r="B174" s="359">
        <v>45017</v>
      </c>
      <c r="C174" s="362">
        <v>10283</v>
      </c>
      <c r="D174" s="362">
        <v>783</v>
      </c>
      <c r="E174" s="362">
        <v>11066</v>
      </c>
    </row>
    <row r="175" spans="2:5" hidden="1" outlineLevel="1" x14ac:dyDescent="0.25">
      <c r="B175" s="359">
        <v>45047</v>
      </c>
      <c r="C175" s="362">
        <v>7023</v>
      </c>
      <c r="D175" s="362">
        <v>470</v>
      </c>
      <c r="E175" s="362">
        <v>7493</v>
      </c>
    </row>
    <row r="176" spans="2:5" hidden="1" outlineLevel="1" x14ac:dyDescent="0.25">
      <c r="B176" s="359">
        <v>45078</v>
      </c>
      <c r="C176" s="362">
        <v>7053</v>
      </c>
      <c r="D176" s="362">
        <v>490</v>
      </c>
      <c r="E176" s="362">
        <v>7543</v>
      </c>
    </row>
    <row r="177" spans="2:5" hidden="1" outlineLevel="1" x14ac:dyDescent="0.25">
      <c r="B177" s="359">
        <v>45108</v>
      </c>
      <c r="C177" s="362">
        <v>6808</v>
      </c>
      <c r="D177" s="362">
        <v>277</v>
      </c>
      <c r="E177" s="362">
        <v>7085</v>
      </c>
    </row>
    <row r="178" spans="2:5" hidden="1" outlineLevel="1" x14ac:dyDescent="0.25">
      <c r="B178" s="359">
        <v>45139</v>
      </c>
      <c r="C178" s="362">
        <v>8294</v>
      </c>
      <c r="D178" s="362">
        <v>463</v>
      </c>
      <c r="E178" s="362">
        <v>8757</v>
      </c>
    </row>
    <row r="179" spans="2:5" hidden="1" outlineLevel="1" x14ac:dyDescent="0.25">
      <c r="B179" s="359">
        <v>45170</v>
      </c>
      <c r="C179" s="362">
        <v>8074</v>
      </c>
      <c r="D179" s="362">
        <v>279</v>
      </c>
      <c r="E179" s="362">
        <v>8353</v>
      </c>
    </row>
    <row r="180" spans="2:5" hidden="1" outlineLevel="1" x14ac:dyDescent="0.25">
      <c r="B180" s="359">
        <v>45200</v>
      </c>
      <c r="C180" s="362">
        <v>8975</v>
      </c>
      <c r="D180" s="362">
        <v>477</v>
      </c>
      <c r="E180" s="362">
        <v>9452</v>
      </c>
    </row>
    <row r="181" spans="2:5" hidden="1" outlineLevel="1" x14ac:dyDescent="0.25">
      <c r="B181" s="359">
        <v>45231</v>
      </c>
      <c r="C181" s="362">
        <v>8438</v>
      </c>
      <c r="D181" s="362">
        <v>231</v>
      </c>
      <c r="E181" s="362">
        <v>8669</v>
      </c>
    </row>
    <row r="182" spans="2:5" hidden="1" outlineLevel="1" x14ac:dyDescent="0.25">
      <c r="B182" s="359">
        <v>45261</v>
      </c>
      <c r="C182" s="362">
        <v>9093</v>
      </c>
      <c r="D182" s="362">
        <v>237</v>
      </c>
      <c r="E182" s="362">
        <v>9330</v>
      </c>
    </row>
    <row r="183" spans="2:5" collapsed="1" x14ac:dyDescent="0.25">
      <c r="B183" s="358" t="s">
        <v>929</v>
      </c>
      <c r="C183" s="361">
        <v>97721</v>
      </c>
      <c r="D183" s="361">
        <v>4853</v>
      </c>
      <c r="E183" s="361">
        <v>102574</v>
      </c>
    </row>
    <row r="184" spans="2:5" hidden="1" outlineLevel="1" x14ac:dyDescent="0.25">
      <c r="B184" s="359">
        <v>45292</v>
      </c>
      <c r="C184" s="362">
        <v>7253</v>
      </c>
      <c r="D184" s="362">
        <v>275</v>
      </c>
      <c r="E184" s="362">
        <v>7528</v>
      </c>
    </row>
    <row r="185" spans="2:5" hidden="1" outlineLevel="1" x14ac:dyDescent="0.25">
      <c r="B185" s="359">
        <v>45323</v>
      </c>
      <c r="C185" s="362">
        <v>7891</v>
      </c>
      <c r="D185" s="362">
        <v>398</v>
      </c>
      <c r="E185" s="362">
        <v>8289</v>
      </c>
    </row>
    <row r="186" spans="2:5" hidden="1" outlineLevel="1" x14ac:dyDescent="0.25">
      <c r="B186" s="359">
        <v>45352</v>
      </c>
      <c r="C186" s="362">
        <v>7901</v>
      </c>
      <c r="D186" s="362">
        <v>499</v>
      </c>
      <c r="E186" s="362">
        <v>8400</v>
      </c>
    </row>
    <row r="187" spans="2:5" hidden="1" outlineLevel="1" x14ac:dyDescent="0.25">
      <c r="B187" s="359">
        <v>45383</v>
      </c>
      <c r="C187" s="362">
        <v>8333</v>
      </c>
      <c r="D187" s="362">
        <v>514</v>
      </c>
      <c r="E187" s="362">
        <v>8847</v>
      </c>
    </row>
    <row r="188" spans="2:5" hidden="1" outlineLevel="1" x14ac:dyDescent="0.25">
      <c r="B188" s="359">
        <v>45413</v>
      </c>
      <c r="C188" s="362">
        <v>7362</v>
      </c>
      <c r="D188" s="362">
        <v>459</v>
      </c>
      <c r="E188" s="362">
        <v>7821</v>
      </c>
    </row>
    <row r="189" spans="2:5" hidden="1" outlineLevel="1" x14ac:dyDescent="0.25">
      <c r="B189" s="359">
        <v>45444</v>
      </c>
      <c r="C189" s="362">
        <v>8004</v>
      </c>
      <c r="D189" s="362">
        <v>682</v>
      </c>
      <c r="E189" s="362">
        <v>8686</v>
      </c>
    </row>
    <row r="190" spans="2:5" hidden="1" outlineLevel="1" x14ac:dyDescent="0.25">
      <c r="B190" s="359">
        <v>45474</v>
      </c>
      <c r="C190" s="362">
        <v>7962</v>
      </c>
      <c r="D190" s="362">
        <v>846</v>
      </c>
      <c r="E190" s="362">
        <v>8808</v>
      </c>
    </row>
    <row r="191" spans="2:5" hidden="1" outlineLevel="1" x14ac:dyDescent="0.25">
      <c r="B191" s="359">
        <v>45505</v>
      </c>
      <c r="C191" s="362">
        <v>8458</v>
      </c>
      <c r="D191" s="362">
        <v>643</v>
      </c>
      <c r="E191" s="362">
        <v>9101</v>
      </c>
    </row>
    <row r="192" spans="2:5" hidden="1" outlineLevel="1" x14ac:dyDescent="0.25">
      <c r="B192" s="359">
        <v>45536</v>
      </c>
      <c r="C192" s="362">
        <v>8009</v>
      </c>
      <c r="D192" s="362">
        <v>534</v>
      </c>
      <c r="E192" s="362">
        <v>8543</v>
      </c>
    </row>
    <row r="193" spans="2:10" ht="30" collapsed="1" x14ac:dyDescent="0.25">
      <c r="B193" s="357" t="s">
        <v>930</v>
      </c>
      <c r="C193" s="361">
        <v>71173</v>
      </c>
      <c r="D193" s="361">
        <v>4850</v>
      </c>
      <c r="E193" s="361">
        <v>76023</v>
      </c>
    </row>
    <row r="194" spans="2:10" x14ac:dyDescent="0.25">
      <c r="B194" s="358" t="s">
        <v>931</v>
      </c>
      <c r="C194" s="361">
        <v>1087940</v>
      </c>
      <c r="D194" s="361">
        <v>71902</v>
      </c>
      <c r="E194" s="361">
        <v>1159842</v>
      </c>
    </row>
    <row r="195" spans="2:10" x14ac:dyDescent="0.25">
      <c r="B195" s="4" t="s">
        <v>803</v>
      </c>
    </row>
    <row r="197" spans="2:10" ht="18.75" x14ac:dyDescent="0.3">
      <c r="B197" s="2" t="s">
        <v>709</v>
      </c>
      <c r="C197" s="2"/>
      <c r="D197" s="2"/>
      <c r="E197" s="2"/>
    </row>
    <row r="198" spans="2:10" x14ac:dyDescent="0.25">
      <c r="B198" s="3" t="s">
        <v>921</v>
      </c>
    </row>
    <row r="200" spans="2:10" ht="31.5" customHeight="1" x14ac:dyDescent="0.25">
      <c r="B200" s="511" t="s">
        <v>472</v>
      </c>
      <c r="C200" s="513" t="s">
        <v>710</v>
      </c>
      <c r="D200" s="507"/>
      <c r="E200" s="513" t="s">
        <v>711</v>
      </c>
      <c r="F200" s="507"/>
      <c r="G200" s="506" t="s">
        <v>708</v>
      </c>
      <c r="H200" s="507"/>
      <c r="I200" s="506" t="s">
        <v>25</v>
      </c>
      <c r="J200" s="507"/>
    </row>
    <row r="201" spans="2:10" x14ac:dyDescent="0.25">
      <c r="B201" s="512"/>
      <c r="C201" s="351" t="s">
        <v>702</v>
      </c>
      <c r="D201" s="351" t="s">
        <v>700</v>
      </c>
      <c r="E201" s="351" t="s">
        <v>702</v>
      </c>
      <c r="F201" s="351" t="s">
        <v>700</v>
      </c>
      <c r="G201" s="351" t="s">
        <v>702</v>
      </c>
      <c r="H201" s="351" t="s">
        <v>700</v>
      </c>
      <c r="I201" s="351" t="s">
        <v>702</v>
      </c>
      <c r="J201" s="351" t="s">
        <v>700</v>
      </c>
    </row>
    <row r="202" spans="2:10" x14ac:dyDescent="0.25">
      <c r="B202" s="367" t="s">
        <v>706</v>
      </c>
      <c r="C202" s="363"/>
      <c r="D202" s="363"/>
      <c r="E202" s="363"/>
      <c r="F202" s="363"/>
      <c r="G202" s="363"/>
      <c r="H202" s="363"/>
      <c r="I202" s="364">
        <v>23671</v>
      </c>
      <c r="J202" s="364">
        <v>102602</v>
      </c>
    </row>
    <row r="203" spans="2:10" x14ac:dyDescent="0.25">
      <c r="B203" s="358">
        <v>2010</v>
      </c>
      <c r="C203" s="363"/>
      <c r="D203" s="363"/>
      <c r="E203" s="363"/>
      <c r="F203" s="363"/>
      <c r="G203" s="363"/>
      <c r="H203" s="363"/>
      <c r="I203" s="364">
        <v>90591</v>
      </c>
      <c r="J203" s="364">
        <v>283345</v>
      </c>
    </row>
    <row r="204" spans="2:10" x14ac:dyDescent="0.25">
      <c r="B204" s="358">
        <v>2011</v>
      </c>
      <c r="C204" s="364">
        <v>24377</v>
      </c>
      <c r="D204" s="364"/>
      <c r="E204" s="364">
        <v>2933</v>
      </c>
      <c r="F204" s="364"/>
      <c r="G204" s="364">
        <v>78512</v>
      </c>
      <c r="H204" s="364"/>
      <c r="I204" s="364">
        <v>105822</v>
      </c>
      <c r="J204" s="364">
        <v>430659</v>
      </c>
    </row>
    <row r="205" spans="2:10" x14ac:dyDescent="0.25">
      <c r="B205" s="358">
        <v>2012</v>
      </c>
      <c r="C205" s="364">
        <v>19926</v>
      </c>
      <c r="D205" s="364">
        <v>74609</v>
      </c>
      <c r="E205" s="364">
        <v>1932</v>
      </c>
      <c r="F205" s="364">
        <v>9800</v>
      </c>
      <c r="G205" s="364">
        <v>32869</v>
      </c>
      <c r="H205" s="364">
        <v>130383</v>
      </c>
      <c r="I205" s="364">
        <v>54727</v>
      </c>
      <c r="J205" s="364">
        <v>214792</v>
      </c>
    </row>
    <row r="206" spans="2:10" hidden="1" outlineLevel="1" x14ac:dyDescent="0.25">
      <c r="B206" s="359">
        <v>41275</v>
      </c>
      <c r="C206" s="365">
        <v>1344</v>
      </c>
      <c r="D206" s="365">
        <v>5074</v>
      </c>
      <c r="E206" s="365">
        <v>84</v>
      </c>
      <c r="F206" s="365">
        <v>433</v>
      </c>
      <c r="G206" s="365">
        <v>1525</v>
      </c>
      <c r="H206" s="365">
        <v>5846</v>
      </c>
      <c r="I206" s="365">
        <v>2953</v>
      </c>
      <c r="J206" s="365">
        <v>11353</v>
      </c>
    </row>
    <row r="207" spans="2:10" hidden="1" outlineLevel="1" x14ac:dyDescent="0.25">
      <c r="B207" s="359">
        <v>41306</v>
      </c>
      <c r="C207" s="365">
        <v>1353</v>
      </c>
      <c r="D207" s="365">
        <v>5003</v>
      </c>
      <c r="E207" s="365">
        <v>87</v>
      </c>
      <c r="F207" s="365">
        <v>397</v>
      </c>
      <c r="G207" s="365">
        <v>1589</v>
      </c>
      <c r="H207" s="365">
        <v>5817</v>
      </c>
      <c r="I207" s="365">
        <v>3029</v>
      </c>
      <c r="J207" s="365">
        <v>11217</v>
      </c>
    </row>
    <row r="208" spans="2:10" hidden="1" outlineLevel="1" x14ac:dyDescent="0.25">
      <c r="B208" s="359">
        <v>41334</v>
      </c>
      <c r="C208" s="365">
        <v>1556</v>
      </c>
      <c r="D208" s="365">
        <v>5790</v>
      </c>
      <c r="E208" s="365">
        <v>83</v>
      </c>
      <c r="F208" s="365">
        <v>353</v>
      </c>
      <c r="G208" s="365">
        <v>1708</v>
      </c>
      <c r="H208" s="365">
        <v>5791</v>
      </c>
      <c r="I208" s="365">
        <v>3347</v>
      </c>
      <c r="J208" s="365">
        <v>11934</v>
      </c>
    </row>
    <row r="209" spans="2:10" hidden="1" outlineLevel="1" x14ac:dyDescent="0.25">
      <c r="B209" s="359">
        <v>41365</v>
      </c>
      <c r="C209" s="365">
        <v>1076</v>
      </c>
      <c r="D209" s="365">
        <v>4086</v>
      </c>
      <c r="E209" s="365">
        <v>69</v>
      </c>
      <c r="F209" s="365">
        <v>271</v>
      </c>
      <c r="G209" s="365">
        <v>1727</v>
      </c>
      <c r="H209" s="365">
        <v>5901</v>
      </c>
      <c r="I209" s="365">
        <v>2872</v>
      </c>
      <c r="J209" s="365">
        <v>10258</v>
      </c>
    </row>
    <row r="210" spans="2:10" hidden="1" outlineLevel="1" x14ac:dyDescent="0.25">
      <c r="B210" s="359">
        <v>41395</v>
      </c>
      <c r="C210" s="365">
        <v>920</v>
      </c>
      <c r="D210" s="365">
        <v>3380</v>
      </c>
      <c r="E210" s="365">
        <v>38</v>
      </c>
      <c r="F210" s="365">
        <v>168</v>
      </c>
      <c r="G210" s="365">
        <v>1182</v>
      </c>
      <c r="H210" s="365">
        <v>4056</v>
      </c>
      <c r="I210" s="365">
        <v>2140</v>
      </c>
      <c r="J210" s="365">
        <v>7604</v>
      </c>
    </row>
    <row r="211" spans="2:10" hidden="1" outlineLevel="1" x14ac:dyDescent="0.25">
      <c r="B211" s="359">
        <v>41426</v>
      </c>
      <c r="C211" s="365">
        <v>911</v>
      </c>
      <c r="D211" s="365">
        <v>3309</v>
      </c>
      <c r="E211" s="365">
        <v>125</v>
      </c>
      <c r="F211" s="365">
        <v>648</v>
      </c>
      <c r="G211" s="365">
        <v>1778</v>
      </c>
      <c r="H211" s="365">
        <v>6154</v>
      </c>
      <c r="I211" s="365">
        <v>2814</v>
      </c>
      <c r="J211" s="365">
        <v>10111</v>
      </c>
    </row>
    <row r="212" spans="2:10" hidden="1" outlineLevel="1" x14ac:dyDescent="0.25">
      <c r="B212" s="359">
        <v>41456</v>
      </c>
      <c r="C212" s="365">
        <v>1073</v>
      </c>
      <c r="D212" s="365">
        <v>3717</v>
      </c>
      <c r="E212" s="365">
        <v>75</v>
      </c>
      <c r="F212" s="365">
        <v>297</v>
      </c>
      <c r="G212" s="365">
        <v>1520</v>
      </c>
      <c r="H212" s="365">
        <v>5115</v>
      </c>
      <c r="I212" s="365">
        <v>2668</v>
      </c>
      <c r="J212" s="365">
        <v>9129</v>
      </c>
    </row>
    <row r="213" spans="2:10" hidden="1" outlineLevel="1" x14ac:dyDescent="0.25">
      <c r="B213" s="359">
        <v>41487</v>
      </c>
      <c r="C213" s="365">
        <v>1037</v>
      </c>
      <c r="D213" s="365">
        <v>3504</v>
      </c>
      <c r="E213" s="365">
        <v>284</v>
      </c>
      <c r="F213" s="365">
        <v>1590</v>
      </c>
      <c r="G213" s="365">
        <v>2172</v>
      </c>
      <c r="H213" s="365">
        <v>6454</v>
      </c>
      <c r="I213" s="365">
        <v>3493</v>
      </c>
      <c r="J213" s="365">
        <v>11548</v>
      </c>
    </row>
    <row r="214" spans="2:10" hidden="1" outlineLevel="1" x14ac:dyDescent="0.25">
      <c r="B214" s="359">
        <v>41518</v>
      </c>
      <c r="C214" s="365">
        <v>2257</v>
      </c>
      <c r="D214" s="365">
        <v>8307</v>
      </c>
      <c r="E214" s="365">
        <v>45</v>
      </c>
      <c r="F214" s="365">
        <v>183</v>
      </c>
      <c r="G214" s="365">
        <v>1509</v>
      </c>
      <c r="H214" s="365">
        <v>5003</v>
      </c>
      <c r="I214" s="365">
        <v>3811</v>
      </c>
      <c r="J214" s="365">
        <v>13493</v>
      </c>
    </row>
    <row r="215" spans="2:10" hidden="1" outlineLevel="1" x14ac:dyDescent="0.25">
      <c r="B215" s="359">
        <v>41548</v>
      </c>
      <c r="C215" s="365">
        <v>2716</v>
      </c>
      <c r="D215" s="365">
        <v>10131</v>
      </c>
      <c r="E215" s="365">
        <v>147</v>
      </c>
      <c r="F215" s="365">
        <v>685</v>
      </c>
      <c r="G215" s="365">
        <v>1865</v>
      </c>
      <c r="H215" s="365">
        <v>6227</v>
      </c>
      <c r="I215" s="365">
        <v>4728</v>
      </c>
      <c r="J215" s="365">
        <v>17043</v>
      </c>
    </row>
    <row r="216" spans="2:10" hidden="1" outlineLevel="1" x14ac:dyDescent="0.25">
      <c r="B216" s="359">
        <v>41579</v>
      </c>
      <c r="C216" s="365">
        <v>1624</v>
      </c>
      <c r="D216" s="365">
        <v>5781</v>
      </c>
      <c r="E216" s="365">
        <v>79</v>
      </c>
      <c r="F216" s="365">
        <v>348</v>
      </c>
      <c r="G216" s="365">
        <v>1639</v>
      </c>
      <c r="H216" s="365">
        <v>5415</v>
      </c>
      <c r="I216" s="365">
        <v>3342</v>
      </c>
      <c r="J216" s="365">
        <v>11544</v>
      </c>
    </row>
    <row r="217" spans="2:10" hidden="1" outlineLevel="1" x14ac:dyDescent="0.25">
      <c r="B217" s="359">
        <v>41609</v>
      </c>
      <c r="C217" s="365">
        <v>1527</v>
      </c>
      <c r="D217" s="365">
        <v>5675</v>
      </c>
      <c r="E217" s="365">
        <v>77</v>
      </c>
      <c r="F217" s="365">
        <v>312</v>
      </c>
      <c r="G217" s="365">
        <v>1584</v>
      </c>
      <c r="H217" s="365">
        <v>4895</v>
      </c>
      <c r="I217" s="365">
        <v>3188</v>
      </c>
      <c r="J217" s="365">
        <v>10882</v>
      </c>
    </row>
    <row r="218" spans="2:10" collapsed="1" x14ac:dyDescent="0.25">
      <c r="B218" s="358">
        <v>2013</v>
      </c>
      <c r="C218" s="364">
        <v>17394</v>
      </c>
      <c r="D218" s="364">
        <v>63757</v>
      </c>
      <c r="E218" s="364">
        <v>1193</v>
      </c>
      <c r="F218" s="364">
        <v>5685</v>
      </c>
      <c r="G218" s="364">
        <v>19798</v>
      </c>
      <c r="H218" s="364">
        <v>66674</v>
      </c>
      <c r="I218" s="364">
        <v>38385</v>
      </c>
      <c r="J218" s="364">
        <v>136116</v>
      </c>
    </row>
    <row r="219" spans="2:10" hidden="1" outlineLevel="1" x14ac:dyDescent="0.25">
      <c r="B219" s="359">
        <v>41640</v>
      </c>
      <c r="C219" s="365">
        <v>1680</v>
      </c>
      <c r="D219" s="365">
        <v>6027</v>
      </c>
      <c r="E219" s="365">
        <v>52</v>
      </c>
      <c r="F219" s="365">
        <v>220</v>
      </c>
      <c r="G219" s="365">
        <v>1280</v>
      </c>
      <c r="H219" s="365">
        <v>4011</v>
      </c>
      <c r="I219" s="365">
        <v>3012</v>
      </c>
      <c r="J219" s="365">
        <v>10258</v>
      </c>
    </row>
    <row r="220" spans="2:10" hidden="1" outlineLevel="1" x14ac:dyDescent="0.25">
      <c r="B220" s="359">
        <v>41671</v>
      </c>
      <c r="C220" s="365">
        <v>1550</v>
      </c>
      <c r="D220" s="365">
        <v>5590</v>
      </c>
      <c r="E220" s="365">
        <v>76</v>
      </c>
      <c r="F220" s="365">
        <v>318</v>
      </c>
      <c r="G220" s="365">
        <v>1520</v>
      </c>
      <c r="H220" s="365">
        <v>4945</v>
      </c>
      <c r="I220" s="365">
        <v>3146</v>
      </c>
      <c r="J220" s="365">
        <v>10853</v>
      </c>
    </row>
    <row r="221" spans="2:10" hidden="1" outlineLevel="1" x14ac:dyDescent="0.25">
      <c r="B221" s="359">
        <v>41699</v>
      </c>
      <c r="C221" s="365">
        <v>1367</v>
      </c>
      <c r="D221" s="365">
        <v>4922</v>
      </c>
      <c r="E221" s="365">
        <v>99</v>
      </c>
      <c r="F221" s="365">
        <v>470</v>
      </c>
      <c r="G221" s="365">
        <v>1354</v>
      </c>
      <c r="H221" s="365">
        <v>4290</v>
      </c>
      <c r="I221" s="365">
        <v>2820</v>
      </c>
      <c r="J221" s="365">
        <v>9682</v>
      </c>
    </row>
    <row r="222" spans="2:10" hidden="1" outlineLevel="1" x14ac:dyDescent="0.25">
      <c r="B222" s="359">
        <v>41730</v>
      </c>
      <c r="C222" s="365">
        <v>1713</v>
      </c>
      <c r="D222" s="365">
        <v>6039</v>
      </c>
      <c r="E222" s="365">
        <v>117</v>
      </c>
      <c r="F222" s="365">
        <v>534</v>
      </c>
      <c r="G222" s="365">
        <v>1841</v>
      </c>
      <c r="H222" s="365">
        <v>6029</v>
      </c>
      <c r="I222" s="365">
        <v>3671</v>
      </c>
      <c r="J222" s="365">
        <v>12602</v>
      </c>
    </row>
    <row r="223" spans="2:10" hidden="1" outlineLevel="1" x14ac:dyDescent="0.25">
      <c r="B223" s="359">
        <v>41760</v>
      </c>
      <c r="C223" s="365">
        <v>1767</v>
      </c>
      <c r="D223" s="365">
        <v>6174</v>
      </c>
      <c r="E223" s="365">
        <v>124</v>
      </c>
      <c r="F223" s="365">
        <v>523</v>
      </c>
      <c r="G223" s="365">
        <v>1514</v>
      </c>
      <c r="H223" s="365">
        <v>4663</v>
      </c>
      <c r="I223" s="365">
        <v>3405</v>
      </c>
      <c r="J223" s="365">
        <v>11360</v>
      </c>
    </row>
    <row r="224" spans="2:10" hidden="1" outlineLevel="1" x14ac:dyDescent="0.25">
      <c r="B224" s="359">
        <v>41791</v>
      </c>
      <c r="C224" s="365">
        <v>1613</v>
      </c>
      <c r="D224" s="365">
        <v>5821</v>
      </c>
      <c r="E224" s="365">
        <v>120</v>
      </c>
      <c r="F224" s="365">
        <v>517</v>
      </c>
      <c r="G224" s="365">
        <v>1715</v>
      </c>
      <c r="H224" s="365">
        <v>5301</v>
      </c>
      <c r="I224" s="365">
        <v>3448</v>
      </c>
      <c r="J224" s="365">
        <v>11639</v>
      </c>
    </row>
    <row r="225" spans="2:10" hidden="1" outlineLevel="1" x14ac:dyDescent="0.25">
      <c r="B225" s="359">
        <v>41821</v>
      </c>
      <c r="C225" s="365">
        <v>1419</v>
      </c>
      <c r="D225" s="365">
        <v>4978</v>
      </c>
      <c r="E225" s="365">
        <v>88</v>
      </c>
      <c r="F225" s="365">
        <v>412</v>
      </c>
      <c r="G225" s="365">
        <v>1625</v>
      </c>
      <c r="H225" s="365">
        <v>5129</v>
      </c>
      <c r="I225" s="365">
        <v>3132</v>
      </c>
      <c r="J225" s="365">
        <v>10519</v>
      </c>
    </row>
    <row r="226" spans="2:10" hidden="1" outlineLevel="1" x14ac:dyDescent="0.25">
      <c r="B226" s="359">
        <v>41852</v>
      </c>
      <c r="C226" s="365">
        <v>1494</v>
      </c>
      <c r="D226" s="365">
        <v>5380</v>
      </c>
      <c r="E226" s="365">
        <v>98</v>
      </c>
      <c r="F226" s="365">
        <v>469</v>
      </c>
      <c r="G226" s="365">
        <v>2110</v>
      </c>
      <c r="H226" s="365">
        <v>6696</v>
      </c>
      <c r="I226" s="365">
        <v>3702</v>
      </c>
      <c r="J226" s="365">
        <v>12545</v>
      </c>
    </row>
    <row r="227" spans="2:10" hidden="1" outlineLevel="1" x14ac:dyDescent="0.25">
      <c r="B227" s="359">
        <v>41883</v>
      </c>
      <c r="C227" s="365">
        <v>2074</v>
      </c>
      <c r="D227" s="365">
        <v>6815</v>
      </c>
      <c r="E227" s="365">
        <v>153</v>
      </c>
      <c r="F227" s="365">
        <v>619</v>
      </c>
      <c r="G227" s="365">
        <v>1891</v>
      </c>
      <c r="H227" s="365">
        <v>5544</v>
      </c>
      <c r="I227" s="365">
        <v>4118</v>
      </c>
      <c r="J227" s="365">
        <v>12978</v>
      </c>
    </row>
    <row r="228" spans="2:10" hidden="1" outlineLevel="1" x14ac:dyDescent="0.25">
      <c r="B228" s="359">
        <v>41913</v>
      </c>
      <c r="C228" s="365">
        <v>1793</v>
      </c>
      <c r="D228" s="365">
        <v>6196</v>
      </c>
      <c r="E228" s="365">
        <v>99</v>
      </c>
      <c r="F228" s="365">
        <v>453</v>
      </c>
      <c r="G228" s="365">
        <v>2822</v>
      </c>
      <c r="H228" s="365">
        <v>9121</v>
      </c>
      <c r="I228" s="365">
        <v>4714</v>
      </c>
      <c r="J228" s="365">
        <v>15770</v>
      </c>
    </row>
    <row r="229" spans="2:10" hidden="1" outlineLevel="1" x14ac:dyDescent="0.25">
      <c r="B229" s="359">
        <v>41944</v>
      </c>
      <c r="C229" s="365">
        <v>1417</v>
      </c>
      <c r="D229" s="365">
        <v>5025</v>
      </c>
      <c r="E229" s="365">
        <v>119</v>
      </c>
      <c r="F229" s="365">
        <v>521</v>
      </c>
      <c r="G229" s="365">
        <v>2963</v>
      </c>
      <c r="H229" s="365">
        <v>9093</v>
      </c>
      <c r="I229" s="365">
        <v>4499</v>
      </c>
      <c r="J229" s="365">
        <v>14639</v>
      </c>
    </row>
    <row r="230" spans="2:10" hidden="1" outlineLevel="1" x14ac:dyDescent="0.25">
      <c r="B230" s="359">
        <v>41974</v>
      </c>
      <c r="C230" s="365">
        <v>2023</v>
      </c>
      <c r="D230" s="365">
        <v>7131</v>
      </c>
      <c r="E230" s="365">
        <v>157</v>
      </c>
      <c r="F230" s="365">
        <v>606</v>
      </c>
      <c r="G230" s="365">
        <v>2407</v>
      </c>
      <c r="H230" s="365">
        <v>7565</v>
      </c>
      <c r="I230" s="365">
        <v>4587</v>
      </c>
      <c r="J230" s="365">
        <v>15302</v>
      </c>
    </row>
    <row r="231" spans="2:10" collapsed="1" x14ac:dyDescent="0.25">
      <c r="B231" s="358">
        <v>2014</v>
      </c>
      <c r="C231" s="364">
        <v>19910</v>
      </c>
      <c r="D231" s="364">
        <v>70098</v>
      </c>
      <c r="E231" s="364">
        <v>1302</v>
      </c>
      <c r="F231" s="364">
        <v>5662</v>
      </c>
      <c r="G231" s="364">
        <v>23042</v>
      </c>
      <c r="H231" s="364">
        <v>72387</v>
      </c>
      <c r="I231" s="364">
        <v>44254</v>
      </c>
      <c r="J231" s="364">
        <v>148147</v>
      </c>
    </row>
    <row r="232" spans="2:10" hidden="1" outlineLevel="1" x14ac:dyDescent="0.25">
      <c r="B232" s="359">
        <v>42005</v>
      </c>
      <c r="C232" s="365">
        <v>1303</v>
      </c>
      <c r="D232" s="365">
        <v>4627</v>
      </c>
      <c r="E232" s="365">
        <v>90</v>
      </c>
      <c r="F232" s="365">
        <v>407</v>
      </c>
      <c r="G232" s="365">
        <v>2299</v>
      </c>
      <c r="H232" s="365">
        <v>7138</v>
      </c>
      <c r="I232" s="365">
        <v>3692</v>
      </c>
      <c r="J232" s="365">
        <v>12172</v>
      </c>
    </row>
    <row r="233" spans="2:10" hidden="1" outlineLevel="1" x14ac:dyDescent="0.25">
      <c r="B233" s="359">
        <v>42036</v>
      </c>
      <c r="C233" s="365">
        <v>1126</v>
      </c>
      <c r="D233" s="365">
        <v>4105</v>
      </c>
      <c r="E233" s="365">
        <v>68</v>
      </c>
      <c r="F233" s="365">
        <v>319</v>
      </c>
      <c r="G233" s="365">
        <v>1895</v>
      </c>
      <c r="H233" s="365">
        <v>5828</v>
      </c>
      <c r="I233" s="365">
        <v>3089</v>
      </c>
      <c r="J233" s="365">
        <v>10252</v>
      </c>
    </row>
    <row r="234" spans="2:10" hidden="1" outlineLevel="1" x14ac:dyDescent="0.25">
      <c r="B234" s="359">
        <v>42064</v>
      </c>
      <c r="C234" s="365">
        <v>1509</v>
      </c>
      <c r="D234" s="365">
        <v>5148</v>
      </c>
      <c r="E234" s="365">
        <v>142</v>
      </c>
      <c r="F234" s="365">
        <v>601</v>
      </c>
      <c r="G234" s="365">
        <v>2308</v>
      </c>
      <c r="H234" s="365">
        <v>7031</v>
      </c>
      <c r="I234" s="365">
        <v>3959</v>
      </c>
      <c r="J234" s="365">
        <v>12780</v>
      </c>
    </row>
    <row r="235" spans="2:10" hidden="1" outlineLevel="1" x14ac:dyDescent="0.25">
      <c r="B235" s="359">
        <v>42095</v>
      </c>
      <c r="C235" s="365">
        <v>1305</v>
      </c>
      <c r="D235" s="365">
        <v>4297</v>
      </c>
      <c r="E235" s="365">
        <v>154</v>
      </c>
      <c r="F235" s="365">
        <v>670</v>
      </c>
      <c r="G235" s="365">
        <v>2740</v>
      </c>
      <c r="H235" s="365">
        <v>8147</v>
      </c>
      <c r="I235" s="365">
        <v>4199</v>
      </c>
      <c r="J235" s="365">
        <v>13114</v>
      </c>
    </row>
    <row r="236" spans="2:10" hidden="1" outlineLevel="1" x14ac:dyDescent="0.25">
      <c r="B236" s="359">
        <v>42125</v>
      </c>
      <c r="C236" s="365">
        <v>1328</v>
      </c>
      <c r="D236" s="365">
        <v>4634</v>
      </c>
      <c r="E236" s="365">
        <v>162</v>
      </c>
      <c r="F236" s="365">
        <v>698</v>
      </c>
      <c r="G236" s="365">
        <v>2387</v>
      </c>
      <c r="H236" s="365">
        <v>7056</v>
      </c>
      <c r="I236" s="365">
        <v>3877</v>
      </c>
      <c r="J236" s="365">
        <v>12388</v>
      </c>
    </row>
    <row r="237" spans="2:10" hidden="1" outlineLevel="1" x14ac:dyDescent="0.25">
      <c r="B237" s="359">
        <v>42156</v>
      </c>
      <c r="C237" s="365">
        <v>1079</v>
      </c>
      <c r="D237" s="365">
        <v>3931</v>
      </c>
      <c r="E237" s="365">
        <v>121</v>
      </c>
      <c r="F237" s="365">
        <v>595</v>
      </c>
      <c r="G237" s="365">
        <v>2940</v>
      </c>
      <c r="H237" s="365">
        <v>8577</v>
      </c>
      <c r="I237" s="365">
        <v>4140</v>
      </c>
      <c r="J237" s="365">
        <v>13103</v>
      </c>
    </row>
    <row r="238" spans="2:10" hidden="1" outlineLevel="1" x14ac:dyDescent="0.25">
      <c r="B238" s="359">
        <v>42186</v>
      </c>
      <c r="C238" s="365">
        <v>1562</v>
      </c>
      <c r="D238" s="365">
        <v>5243</v>
      </c>
      <c r="E238" s="365">
        <v>193</v>
      </c>
      <c r="F238" s="365">
        <v>896</v>
      </c>
      <c r="G238" s="365">
        <v>1660</v>
      </c>
      <c r="H238" s="365">
        <v>4806</v>
      </c>
      <c r="I238" s="365">
        <v>3415</v>
      </c>
      <c r="J238" s="365">
        <v>10945</v>
      </c>
    </row>
    <row r="239" spans="2:10" hidden="1" outlineLevel="1" x14ac:dyDescent="0.25">
      <c r="B239" s="359">
        <v>42217</v>
      </c>
      <c r="C239" s="365">
        <v>1389</v>
      </c>
      <c r="D239" s="365">
        <v>4383</v>
      </c>
      <c r="E239" s="365">
        <v>321</v>
      </c>
      <c r="F239" s="365">
        <v>1453</v>
      </c>
      <c r="G239" s="365">
        <v>4348</v>
      </c>
      <c r="H239" s="365">
        <v>12994</v>
      </c>
      <c r="I239" s="365">
        <v>6058</v>
      </c>
      <c r="J239" s="365">
        <v>18830</v>
      </c>
    </row>
    <row r="240" spans="2:10" hidden="1" outlineLevel="1" x14ac:dyDescent="0.25">
      <c r="B240" s="359">
        <v>42248</v>
      </c>
      <c r="C240" s="365">
        <v>2017</v>
      </c>
      <c r="D240" s="365">
        <v>7335</v>
      </c>
      <c r="E240" s="365">
        <v>176</v>
      </c>
      <c r="F240" s="365">
        <v>801</v>
      </c>
      <c r="G240" s="365">
        <v>2843</v>
      </c>
      <c r="H240" s="365">
        <v>8849</v>
      </c>
      <c r="I240" s="365">
        <v>5036</v>
      </c>
      <c r="J240" s="365">
        <v>16985</v>
      </c>
    </row>
    <row r="241" spans="2:10" hidden="1" outlineLevel="1" x14ac:dyDescent="0.25">
      <c r="B241" s="359">
        <v>42278</v>
      </c>
      <c r="C241" s="365">
        <v>1395</v>
      </c>
      <c r="D241" s="365">
        <v>4572</v>
      </c>
      <c r="E241" s="365">
        <v>175</v>
      </c>
      <c r="F241" s="365">
        <v>799</v>
      </c>
      <c r="G241" s="365">
        <v>2605</v>
      </c>
      <c r="H241" s="365">
        <v>7454</v>
      </c>
      <c r="I241" s="365">
        <v>4175</v>
      </c>
      <c r="J241" s="365">
        <v>12825</v>
      </c>
    </row>
    <row r="242" spans="2:10" hidden="1" outlineLevel="1" x14ac:dyDescent="0.25">
      <c r="B242" s="359">
        <v>42309</v>
      </c>
      <c r="C242" s="365">
        <v>1495</v>
      </c>
      <c r="D242" s="365">
        <v>5282</v>
      </c>
      <c r="E242" s="365">
        <v>166</v>
      </c>
      <c r="F242" s="365">
        <v>712</v>
      </c>
      <c r="G242" s="365">
        <v>3733</v>
      </c>
      <c r="H242" s="365">
        <v>10856</v>
      </c>
      <c r="I242" s="365">
        <v>5394</v>
      </c>
      <c r="J242" s="365">
        <v>16850</v>
      </c>
    </row>
    <row r="243" spans="2:10" hidden="1" outlineLevel="1" x14ac:dyDescent="0.25">
      <c r="B243" s="359">
        <v>42339</v>
      </c>
      <c r="C243" s="365">
        <v>1645</v>
      </c>
      <c r="D243" s="365">
        <v>5189</v>
      </c>
      <c r="E243" s="365">
        <v>200</v>
      </c>
      <c r="F243" s="365">
        <v>809</v>
      </c>
      <c r="G243" s="365">
        <v>2771</v>
      </c>
      <c r="H243" s="365">
        <v>8572</v>
      </c>
      <c r="I243" s="365">
        <v>4616</v>
      </c>
      <c r="J243" s="365">
        <v>14570</v>
      </c>
    </row>
    <row r="244" spans="2:10" collapsed="1" x14ac:dyDescent="0.25">
      <c r="B244" s="358">
        <v>2015</v>
      </c>
      <c r="C244" s="364">
        <v>17153</v>
      </c>
      <c r="D244" s="364">
        <v>58746</v>
      </c>
      <c r="E244" s="364">
        <v>1968</v>
      </c>
      <c r="F244" s="364">
        <v>8760</v>
      </c>
      <c r="G244" s="364">
        <v>32529</v>
      </c>
      <c r="H244" s="364">
        <v>97308</v>
      </c>
      <c r="I244" s="364">
        <v>51650</v>
      </c>
      <c r="J244" s="364">
        <v>164814</v>
      </c>
    </row>
    <row r="245" spans="2:10" hidden="1" outlineLevel="1" x14ac:dyDescent="0.25">
      <c r="B245" s="359">
        <v>42370</v>
      </c>
      <c r="C245" s="365">
        <v>1402</v>
      </c>
      <c r="D245" s="365">
        <v>4801</v>
      </c>
      <c r="E245" s="365">
        <v>157</v>
      </c>
      <c r="F245" s="365">
        <v>645</v>
      </c>
      <c r="G245" s="365">
        <v>2531</v>
      </c>
      <c r="H245" s="365">
        <v>7419</v>
      </c>
      <c r="I245" s="365">
        <v>4090</v>
      </c>
      <c r="J245" s="365">
        <v>12865</v>
      </c>
    </row>
    <row r="246" spans="2:10" hidden="1" outlineLevel="1" x14ac:dyDescent="0.25">
      <c r="B246" s="359">
        <v>42401</v>
      </c>
      <c r="C246" s="365">
        <v>964</v>
      </c>
      <c r="D246" s="365">
        <v>3139</v>
      </c>
      <c r="E246" s="365">
        <v>156</v>
      </c>
      <c r="F246" s="365">
        <v>644</v>
      </c>
      <c r="G246" s="365">
        <v>2723</v>
      </c>
      <c r="H246" s="365">
        <v>8130</v>
      </c>
      <c r="I246" s="365">
        <v>3843</v>
      </c>
      <c r="J246" s="365">
        <v>11913</v>
      </c>
    </row>
    <row r="247" spans="2:10" hidden="1" outlineLevel="1" x14ac:dyDescent="0.25">
      <c r="B247" s="359">
        <v>42430</v>
      </c>
      <c r="C247" s="365">
        <v>1710</v>
      </c>
      <c r="D247" s="365">
        <v>5724</v>
      </c>
      <c r="E247" s="365">
        <v>238</v>
      </c>
      <c r="F247" s="365">
        <v>993</v>
      </c>
      <c r="G247" s="365">
        <v>3197</v>
      </c>
      <c r="H247" s="365">
        <v>9196</v>
      </c>
      <c r="I247" s="365">
        <v>5145</v>
      </c>
      <c r="J247" s="365">
        <v>15913</v>
      </c>
    </row>
    <row r="248" spans="2:10" hidden="1" outlineLevel="1" x14ac:dyDescent="0.25">
      <c r="B248" s="359">
        <v>42461</v>
      </c>
      <c r="C248" s="365">
        <v>1579</v>
      </c>
      <c r="D248" s="365">
        <v>5412</v>
      </c>
      <c r="E248" s="365">
        <v>196</v>
      </c>
      <c r="F248" s="365">
        <v>787</v>
      </c>
      <c r="G248" s="365">
        <v>2640</v>
      </c>
      <c r="H248" s="365">
        <v>7635</v>
      </c>
      <c r="I248" s="365">
        <v>4415</v>
      </c>
      <c r="J248" s="365">
        <v>13834</v>
      </c>
    </row>
    <row r="249" spans="2:10" hidden="1" outlineLevel="1" x14ac:dyDescent="0.25">
      <c r="B249" s="359">
        <v>42491</v>
      </c>
      <c r="C249" s="365">
        <v>1550</v>
      </c>
      <c r="D249" s="365">
        <v>5486</v>
      </c>
      <c r="E249" s="365">
        <v>180</v>
      </c>
      <c r="F249" s="365">
        <v>760</v>
      </c>
      <c r="G249" s="365">
        <v>2933</v>
      </c>
      <c r="H249" s="365">
        <v>8633</v>
      </c>
      <c r="I249" s="365">
        <v>4663</v>
      </c>
      <c r="J249" s="365">
        <v>14879</v>
      </c>
    </row>
    <row r="250" spans="2:10" hidden="1" outlineLevel="1" x14ac:dyDescent="0.25">
      <c r="B250" s="359">
        <v>42522</v>
      </c>
      <c r="C250" s="365">
        <v>1015</v>
      </c>
      <c r="D250" s="365">
        <v>3452</v>
      </c>
      <c r="E250" s="365">
        <v>121</v>
      </c>
      <c r="F250" s="365">
        <v>555</v>
      </c>
      <c r="G250" s="365">
        <v>2658</v>
      </c>
      <c r="H250" s="365">
        <v>7478</v>
      </c>
      <c r="I250" s="365">
        <v>3794</v>
      </c>
      <c r="J250" s="365">
        <v>11485</v>
      </c>
    </row>
    <row r="251" spans="2:10" hidden="1" outlineLevel="1" x14ac:dyDescent="0.25">
      <c r="B251" s="359">
        <v>42552</v>
      </c>
      <c r="C251" s="365">
        <v>1746</v>
      </c>
      <c r="D251" s="365">
        <v>6028</v>
      </c>
      <c r="E251" s="365">
        <v>157</v>
      </c>
      <c r="F251" s="365">
        <v>657</v>
      </c>
      <c r="G251" s="365">
        <v>2535</v>
      </c>
      <c r="H251" s="365">
        <v>7430</v>
      </c>
      <c r="I251" s="365">
        <v>4438</v>
      </c>
      <c r="J251" s="365">
        <v>14115</v>
      </c>
    </row>
    <row r="252" spans="2:10" hidden="1" outlineLevel="1" x14ac:dyDescent="0.25">
      <c r="B252" s="359">
        <v>42583</v>
      </c>
      <c r="C252" s="365">
        <v>1390</v>
      </c>
      <c r="D252" s="365">
        <v>4511</v>
      </c>
      <c r="E252" s="365">
        <v>153</v>
      </c>
      <c r="F252" s="365">
        <v>578</v>
      </c>
      <c r="G252" s="365">
        <v>3151</v>
      </c>
      <c r="H252" s="365">
        <v>9173</v>
      </c>
      <c r="I252" s="365">
        <v>4694</v>
      </c>
      <c r="J252" s="365">
        <v>14262</v>
      </c>
    </row>
    <row r="253" spans="2:10" hidden="1" outlineLevel="1" x14ac:dyDescent="0.25">
      <c r="B253" s="359">
        <v>42614</v>
      </c>
      <c r="C253" s="365">
        <v>1402</v>
      </c>
      <c r="D253" s="365">
        <v>4329</v>
      </c>
      <c r="E253" s="365">
        <v>196</v>
      </c>
      <c r="F253" s="365">
        <v>823</v>
      </c>
      <c r="G253" s="365">
        <v>2981</v>
      </c>
      <c r="H253" s="365">
        <v>8807</v>
      </c>
      <c r="I253" s="365">
        <v>4579</v>
      </c>
      <c r="J253" s="365">
        <v>13959</v>
      </c>
    </row>
    <row r="254" spans="2:10" hidden="1" outlineLevel="1" x14ac:dyDescent="0.25">
      <c r="B254" s="359">
        <v>42644</v>
      </c>
      <c r="C254" s="365">
        <v>1480</v>
      </c>
      <c r="D254" s="365">
        <v>5044</v>
      </c>
      <c r="E254" s="365">
        <v>136</v>
      </c>
      <c r="F254" s="365">
        <v>536</v>
      </c>
      <c r="G254" s="365">
        <v>2791</v>
      </c>
      <c r="H254" s="365">
        <v>8111</v>
      </c>
      <c r="I254" s="365">
        <v>4407</v>
      </c>
      <c r="J254" s="365">
        <v>13691</v>
      </c>
    </row>
    <row r="255" spans="2:10" hidden="1" outlineLevel="1" x14ac:dyDescent="0.25">
      <c r="B255" s="359">
        <v>42675</v>
      </c>
      <c r="C255" s="365">
        <v>1497</v>
      </c>
      <c r="D255" s="365">
        <v>5099</v>
      </c>
      <c r="E255" s="365">
        <v>128</v>
      </c>
      <c r="F255" s="365">
        <v>483</v>
      </c>
      <c r="G255" s="365">
        <v>2064</v>
      </c>
      <c r="H255" s="365">
        <v>6110</v>
      </c>
      <c r="I255" s="365">
        <v>3689</v>
      </c>
      <c r="J255" s="365">
        <v>11692</v>
      </c>
    </row>
    <row r="256" spans="2:10" hidden="1" outlineLevel="1" x14ac:dyDescent="0.25">
      <c r="B256" s="359">
        <v>42705</v>
      </c>
      <c r="C256" s="365">
        <v>1565</v>
      </c>
      <c r="D256" s="365">
        <v>5550</v>
      </c>
      <c r="E256" s="365">
        <v>94</v>
      </c>
      <c r="F256" s="365">
        <v>399</v>
      </c>
      <c r="G256" s="365">
        <v>3636</v>
      </c>
      <c r="H256" s="365">
        <v>11125</v>
      </c>
      <c r="I256" s="365">
        <v>5295</v>
      </c>
      <c r="J256" s="365">
        <v>17074</v>
      </c>
    </row>
    <row r="257" spans="2:10" collapsed="1" x14ac:dyDescent="0.25">
      <c r="B257" s="358">
        <v>2016</v>
      </c>
      <c r="C257" s="364">
        <v>17300</v>
      </c>
      <c r="D257" s="364">
        <v>58575</v>
      </c>
      <c r="E257" s="364">
        <v>1912</v>
      </c>
      <c r="F257" s="364">
        <v>7860</v>
      </c>
      <c r="G257" s="364">
        <v>33840</v>
      </c>
      <c r="H257" s="364">
        <v>99247</v>
      </c>
      <c r="I257" s="364">
        <v>53052</v>
      </c>
      <c r="J257" s="364">
        <v>165682</v>
      </c>
    </row>
    <row r="258" spans="2:10" hidden="1" outlineLevel="1" x14ac:dyDescent="0.25">
      <c r="B258" s="359">
        <v>42736</v>
      </c>
      <c r="C258" s="365">
        <v>1578</v>
      </c>
      <c r="D258" s="365">
        <v>5100</v>
      </c>
      <c r="E258" s="365">
        <v>122</v>
      </c>
      <c r="F258" s="365">
        <v>478</v>
      </c>
      <c r="G258" s="365">
        <v>3277</v>
      </c>
      <c r="H258" s="365">
        <v>9466</v>
      </c>
      <c r="I258" s="365">
        <v>4977</v>
      </c>
      <c r="J258" s="365">
        <v>15044</v>
      </c>
    </row>
    <row r="259" spans="2:10" hidden="1" outlineLevel="1" x14ac:dyDescent="0.25">
      <c r="B259" s="359">
        <v>42767</v>
      </c>
      <c r="C259" s="365">
        <v>1309</v>
      </c>
      <c r="D259" s="365">
        <v>4472</v>
      </c>
      <c r="E259" s="365">
        <v>118</v>
      </c>
      <c r="F259" s="365">
        <v>502</v>
      </c>
      <c r="G259" s="365">
        <v>3001</v>
      </c>
      <c r="H259" s="365">
        <v>8506</v>
      </c>
      <c r="I259" s="365">
        <v>4428</v>
      </c>
      <c r="J259" s="365">
        <v>13480</v>
      </c>
    </row>
    <row r="260" spans="2:10" hidden="1" outlineLevel="1" x14ac:dyDescent="0.25">
      <c r="B260" s="359">
        <v>42795</v>
      </c>
      <c r="C260" s="365">
        <v>1433</v>
      </c>
      <c r="D260" s="365">
        <v>4492</v>
      </c>
      <c r="E260" s="365">
        <v>123</v>
      </c>
      <c r="F260" s="365">
        <v>484</v>
      </c>
      <c r="G260" s="365">
        <v>2598</v>
      </c>
      <c r="H260" s="365">
        <v>7750</v>
      </c>
      <c r="I260" s="365">
        <v>4154</v>
      </c>
      <c r="J260" s="365">
        <v>12726</v>
      </c>
    </row>
    <row r="261" spans="2:10" hidden="1" outlineLevel="1" x14ac:dyDescent="0.25">
      <c r="B261" s="359">
        <v>42826</v>
      </c>
      <c r="C261" s="365">
        <v>1610</v>
      </c>
      <c r="D261" s="365">
        <v>5252</v>
      </c>
      <c r="E261" s="365">
        <v>163</v>
      </c>
      <c r="F261" s="365">
        <v>704</v>
      </c>
      <c r="G261" s="365">
        <v>2935</v>
      </c>
      <c r="H261" s="365">
        <v>8131</v>
      </c>
      <c r="I261" s="365">
        <v>4708</v>
      </c>
      <c r="J261" s="365">
        <v>14087</v>
      </c>
    </row>
    <row r="262" spans="2:10" hidden="1" outlineLevel="1" x14ac:dyDescent="0.25">
      <c r="B262" s="359">
        <v>42856</v>
      </c>
      <c r="C262" s="365">
        <v>1418</v>
      </c>
      <c r="D262" s="365">
        <v>4341</v>
      </c>
      <c r="E262" s="365">
        <v>177</v>
      </c>
      <c r="F262" s="365">
        <v>637</v>
      </c>
      <c r="G262" s="365">
        <v>3318</v>
      </c>
      <c r="H262" s="365">
        <v>8846</v>
      </c>
      <c r="I262" s="365">
        <v>4913</v>
      </c>
      <c r="J262" s="365">
        <v>13824</v>
      </c>
    </row>
    <row r="263" spans="2:10" hidden="1" outlineLevel="1" x14ac:dyDescent="0.25">
      <c r="B263" s="359">
        <v>42887</v>
      </c>
      <c r="C263" s="365">
        <v>1230</v>
      </c>
      <c r="D263" s="365">
        <v>4069</v>
      </c>
      <c r="E263" s="365">
        <v>108</v>
      </c>
      <c r="F263" s="365">
        <v>460</v>
      </c>
      <c r="G263" s="365">
        <v>2707</v>
      </c>
      <c r="H263" s="365">
        <v>8139</v>
      </c>
      <c r="I263" s="365">
        <v>4045</v>
      </c>
      <c r="J263" s="365">
        <v>12668</v>
      </c>
    </row>
    <row r="264" spans="2:10" hidden="1" outlineLevel="1" x14ac:dyDescent="0.25">
      <c r="B264" s="359">
        <v>42917</v>
      </c>
      <c r="C264" s="365">
        <v>1191</v>
      </c>
      <c r="D264" s="365">
        <v>4093</v>
      </c>
      <c r="E264" s="365">
        <v>118</v>
      </c>
      <c r="F264" s="365">
        <v>524</v>
      </c>
      <c r="G264" s="365">
        <v>3460</v>
      </c>
      <c r="H264" s="365">
        <v>9428</v>
      </c>
      <c r="I264" s="365">
        <v>4769</v>
      </c>
      <c r="J264" s="365">
        <v>14045</v>
      </c>
    </row>
    <row r="265" spans="2:10" hidden="1" outlineLevel="1" x14ac:dyDescent="0.25">
      <c r="B265" s="359">
        <v>42948</v>
      </c>
      <c r="C265" s="365">
        <v>1646</v>
      </c>
      <c r="D265" s="365">
        <v>5129</v>
      </c>
      <c r="E265" s="365">
        <v>226</v>
      </c>
      <c r="F265" s="365">
        <v>888</v>
      </c>
      <c r="G265" s="365">
        <v>3406</v>
      </c>
      <c r="H265" s="365">
        <v>9871</v>
      </c>
      <c r="I265" s="365">
        <v>5278</v>
      </c>
      <c r="J265" s="365">
        <v>15888</v>
      </c>
    </row>
    <row r="266" spans="2:10" hidden="1" outlineLevel="1" x14ac:dyDescent="0.25">
      <c r="B266" s="359">
        <v>42979</v>
      </c>
      <c r="C266" s="365">
        <v>1788</v>
      </c>
      <c r="D266" s="365">
        <v>5884</v>
      </c>
      <c r="E266" s="365">
        <v>227</v>
      </c>
      <c r="F266" s="365">
        <v>1042</v>
      </c>
      <c r="G266" s="365">
        <v>1959</v>
      </c>
      <c r="H266" s="365">
        <v>5773</v>
      </c>
      <c r="I266" s="365">
        <v>3974</v>
      </c>
      <c r="J266" s="365">
        <v>12699</v>
      </c>
    </row>
    <row r="267" spans="2:10" hidden="1" outlineLevel="1" x14ac:dyDescent="0.25">
      <c r="B267" s="359">
        <v>43009</v>
      </c>
      <c r="C267" s="365">
        <v>1600</v>
      </c>
      <c r="D267" s="365">
        <v>5166</v>
      </c>
      <c r="E267" s="365">
        <v>160</v>
      </c>
      <c r="F267" s="365">
        <v>678</v>
      </c>
      <c r="G267" s="365">
        <v>5186</v>
      </c>
      <c r="H267" s="365">
        <v>14719</v>
      </c>
      <c r="I267" s="365">
        <v>6946</v>
      </c>
      <c r="J267" s="365">
        <v>20563</v>
      </c>
    </row>
    <row r="268" spans="2:10" hidden="1" outlineLevel="1" x14ac:dyDescent="0.25">
      <c r="B268" s="359">
        <v>43040</v>
      </c>
      <c r="C268" s="365">
        <v>1751</v>
      </c>
      <c r="D268" s="365">
        <v>5849</v>
      </c>
      <c r="E268" s="365">
        <v>177</v>
      </c>
      <c r="F268" s="365">
        <v>742</v>
      </c>
      <c r="G268" s="365">
        <v>3371</v>
      </c>
      <c r="H268" s="365">
        <v>9775</v>
      </c>
      <c r="I268" s="365">
        <v>5299</v>
      </c>
      <c r="J268" s="365">
        <v>16366</v>
      </c>
    </row>
    <row r="269" spans="2:10" hidden="1" outlineLevel="1" x14ac:dyDescent="0.25">
      <c r="B269" s="359">
        <v>43070</v>
      </c>
      <c r="C269" s="365">
        <v>1618</v>
      </c>
      <c r="D269" s="365">
        <v>5288</v>
      </c>
      <c r="E269" s="365">
        <v>188</v>
      </c>
      <c r="F269" s="365">
        <v>708</v>
      </c>
      <c r="G269" s="365">
        <v>3152</v>
      </c>
      <c r="H269" s="365">
        <v>9366</v>
      </c>
      <c r="I269" s="365">
        <v>4958</v>
      </c>
      <c r="J269" s="365">
        <v>15362</v>
      </c>
    </row>
    <row r="270" spans="2:10" collapsed="1" x14ac:dyDescent="0.25">
      <c r="B270" s="358">
        <v>2017</v>
      </c>
      <c r="C270" s="364">
        <v>18172</v>
      </c>
      <c r="D270" s="364">
        <v>59135</v>
      </c>
      <c r="E270" s="364">
        <v>1907</v>
      </c>
      <c r="F270" s="364">
        <v>7847</v>
      </c>
      <c r="G270" s="364">
        <v>38370</v>
      </c>
      <c r="H270" s="364">
        <v>109770</v>
      </c>
      <c r="I270" s="364">
        <v>58449</v>
      </c>
      <c r="J270" s="364">
        <v>176752</v>
      </c>
    </row>
    <row r="271" spans="2:10" hidden="1" outlineLevel="1" x14ac:dyDescent="0.25">
      <c r="B271" s="359">
        <v>43101</v>
      </c>
      <c r="C271" s="365">
        <v>1487</v>
      </c>
      <c r="D271" s="365">
        <v>4777</v>
      </c>
      <c r="E271" s="365">
        <v>142</v>
      </c>
      <c r="F271" s="365">
        <v>567</v>
      </c>
      <c r="G271" s="365">
        <v>3378</v>
      </c>
      <c r="H271" s="365">
        <v>9267</v>
      </c>
      <c r="I271" s="365">
        <v>5007</v>
      </c>
      <c r="J271" s="365">
        <v>14611</v>
      </c>
    </row>
    <row r="272" spans="2:10" hidden="1" outlineLevel="1" x14ac:dyDescent="0.25">
      <c r="B272" s="359">
        <v>43132</v>
      </c>
      <c r="C272" s="365">
        <v>1165</v>
      </c>
      <c r="D272" s="365">
        <v>3878</v>
      </c>
      <c r="E272" s="365">
        <v>171</v>
      </c>
      <c r="F272" s="365">
        <v>740</v>
      </c>
      <c r="G272" s="365">
        <v>4024</v>
      </c>
      <c r="H272" s="365">
        <v>10885</v>
      </c>
      <c r="I272" s="365">
        <v>5360</v>
      </c>
      <c r="J272" s="365">
        <v>15503</v>
      </c>
    </row>
    <row r="273" spans="2:10" hidden="1" outlineLevel="1" x14ac:dyDescent="0.25">
      <c r="B273" s="359">
        <v>43160</v>
      </c>
      <c r="C273" s="365">
        <v>2460</v>
      </c>
      <c r="D273" s="365">
        <v>7692</v>
      </c>
      <c r="E273" s="365">
        <v>296</v>
      </c>
      <c r="F273" s="365">
        <v>1104</v>
      </c>
      <c r="G273" s="365">
        <v>3447</v>
      </c>
      <c r="H273" s="365">
        <v>9794</v>
      </c>
      <c r="I273" s="365">
        <v>6203</v>
      </c>
      <c r="J273" s="365">
        <v>18590</v>
      </c>
    </row>
    <row r="274" spans="2:10" hidden="1" outlineLevel="1" x14ac:dyDescent="0.25">
      <c r="B274" s="359">
        <v>43191</v>
      </c>
      <c r="C274" s="365">
        <v>1488</v>
      </c>
      <c r="D274" s="365">
        <v>4979</v>
      </c>
      <c r="E274" s="365">
        <v>166</v>
      </c>
      <c r="F274" s="365">
        <v>699</v>
      </c>
      <c r="G274" s="365">
        <v>3596</v>
      </c>
      <c r="H274" s="365">
        <v>10022</v>
      </c>
      <c r="I274" s="365">
        <v>5250</v>
      </c>
      <c r="J274" s="365">
        <v>15700</v>
      </c>
    </row>
    <row r="275" spans="2:10" hidden="1" outlineLevel="1" x14ac:dyDescent="0.25">
      <c r="B275" s="359">
        <v>43221</v>
      </c>
      <c r="C275" s="365">
        <v>1705</v>
      </c>
      <c r="D275" s="365">
        <v>5530</v>
      </c>
      <c r="E275" s="365">
        <v>178</v>
      </c>
      <c r="F275" s="365">
        <v>714</v>
      </c>
      <c r="G275" s="365">
        <v>3536</v>
      </c>
      <c r="H275" s="365">
        <v>9898</v>
      </c>
      <c r="I275" s="365">
        <v>5419</v>
      </c>
      <c r="J275" s="365">
        <v>16142</v>
      </c>
    </row>
    <row r="276" spans="2:10" hidden="1" outlineLevel="1" x14ac:dyDescent="0.25">
      <c r="B276" s="359">
        <v>43252</v>
      </c>
      <c r="C276" s="365">
        <v>1717</v>
      </c>
      <c r="D276" s="365">
        <v>5500</v>
      </c>
      <c r="E276" s="365">
        <v>211</v>
      </c>
      <c r="F276" s="365">
        <v>885</v>
      </c>
      <c r="G276" s="365">
        <v>3371</v>
      </c>
      <c r="H276" s="365">
        <v>9458</v>
      </c>
      <c r="I276" s="365">
        <v>5299</v>
      </c>
      <c r="J276" s="365">
        <v>15843</v>
      </c>
    </row>
    <row r="277" spans="2:10" hidden="1" outlineLevel="1" x14ac:dyDescent="0.25">
      <c r="B277" s="359">
        <v>43282</v>
      </c>
      <c r="C277" s="365">
        <v>1574</v>
      </c>
      <c r="D277" s="365">
        <v>4981</v>
      </c>
      <c r="E277" s="365">
        <v>176</v>
      </c>
      <c r="F277" s="365">
        <v>714</v>
      </c>
      <c r="G277" s="365">
        <v>3523</v>
      </c>
      <c r="H277" s="365">
        <v>9997</v>
      </c>
      <c r="I277" s="365">
        <v>5273</v>
      </c>
      <c r="J277" s="365">
        <v>15692</v>
      </c>
    </row>
    <row r="278" spans="2:10" hidden="1" outlineLevel="1" x14ac:dyDescent="0.25">
      <c r="B278" s="359">
        <v>43313</v>
      </c>
      <c r="C278" s="365">
        <v>1786</v>
      </c>
      <c r="D278" s="365">
        <v>5797</v>
      </c>
      <c r="E278" s="365">
        <v>215</v>
      </c>
      <c r="F278" s="365">
        <v>865</v>
      </c>
      <c r="G278" s="365">
        <v>3741</v>
      </c>
      <c r="H278" s="365">
        <v>10742</v>
      </c>
      <c r="I278" s="365">
        <v>5742</v>
      </c>
      <c r="J278" s="365">
        <v>17404</v>
      </c>
    </row>
    <row r="279" spans="2:10" hidden="1" outlineLevel="1" x14ac:dyDescent="0.25">
      <c r="B279" s="359">
        <v>43344</v>
      </c>
      <c r="C279" s="365">
        <v>1829</v>
      </c>
      <c r="D279" s="365">
        <v>5996</v>
      </c>
      <c r="E279" s="365">
        <v>210</v>
      </c>
      <c r="F279" s="365">
        <v>796</v>
      </c>
      <c r="G279" s="365">
        <v>4016</v>
      </c>
      <c r="H279" s="365">
        <v>11063</v>
      </c>
      <c r="I279" s="365">
        <v>6055</v>
      </c>
      <c r="J279" s="365">
        <v>17855</v>
      </c>
    </row>
    <row r="280" spans="2:10" hidden="1" outlineLevel="1" x14ac:dyDescent="0.25">
      <c r="B280" s="359">
        <v>43374</v>
      </c>
      <c r="C280" s="365">
        <v>1908</v>
      </c>
      <c r="D280" s="365">
        <v>5933</v>
      </c>
      <c r="E280" s="365">
        <v>221</v>
      </c>
      <c r="F280" s="365">
        <v>853</v>
      </c>
      <c r="G280" s="365">
        <v>3862</v>
      </c>
      <c r="H280" s="365">
        <v>11406</v>
      </c>
      <c r="I280" s="365">
        <v>5991</v>
      </c>
      <c r="J280" s="365">
        <v>18192</v>
      </c>
    </row>
    <row r="281" spans="2:10" hidden="1" outlineLevel="1" x14ac:dyDescent="0.25">
      <c r="B281" s="359">
        <v>43405</v>
      </c>
      <c r="C281" s="365">
        <v>1951</v>
      </c>
      <c r="D281" s="365">
        <v>6310</v>
      </c>
      <c r="E281" s="365">
        <v>210</v>
      </c>
      <c r="F281" s="365">
        <v>846</v>
      </c>
      <c r="G281" s="365">
        <v>4235</v>
      </c>
      <c r="H281" s="365">
        <v>12050</v>
      </c>
      <c r="I281" s="365">
        <v>6396</v>
      </c>
      <c r="J281" s="365">
        <v>19206</v>
      </c>
    </row>
    <row r="282" spans="2:10" hidden="1" outlineLevel="1" x14ac:dyDescent="0.25">
      <c r="B282" s="359">
        <v>43435</v>
      </c>
      <c r="C282" s="365">
        <v>1864</v>
      </c>
      <c r="D282" s="365">
        <v>6097</v>
      </c>
      <c r="E282" s="365">
        <v>206</v>
      </c>
      <c r="F282" s="365">
        <v>773</v>
      </c>
      <c r="G282" s="365">
        <v>3733</v>
      </c>
      <c r="H282" s="365">
        <v>11050</v>
      </c>
      <c r="I282" s="365">
        <v>5803</v>
      </c>
      <c r="J282" s="365">
        <v>17920</v>
      </c>
    </row>
    <row r="283" spans="2:10" collapsed="1" x14ac:dyDescent="0.25">
      <c r="B283" s="358">
        <v>2018</v>
      </c>
      <c r="C283" s="364">
        <v>20934</v>
      </c>
      <c r="D283" s="364">
        <v>67470</v>
      </c>
      <c r="E283" s="364">
        <v>2402</v>
      </c>
      <c r="F283" s="364">
        <v>9556</v>
      </c>
      <c r="G283" s="364">
        <v>44462</v>
      </c>
      <c r="H283" s="364">
        <v>125632</v>
      </c>
      <c r="I283" s="364">
        <v>67798</v>
      </c>
      <c r="J283" s="364">
        <v>202658</v>
      </c>
    </row>
    <row r="284" spans="2:10" hidden="1" outlineLevel="1" x14ac:dyDescent="0.25">
      <c r="B284" s="359">
        <v>43466</v>
      </c>
      <c r="C284" s="365">
        <v>1644</v>
      </c>
      <c r="D284" s="365">
        <v>5240</v>
      </c>
      <c r="E284" s="365">
        <v>136</v>
      </c>
      <c r="F284" s="365">
        <v>473</v>
      </c>
      <c r="G284" s="365">
        <v>3602</v>
      </c>
      <c r="H284" s="365">
        <v>10442</v>
      </c>
      <c r="I284" s="365">
        <v>5382</v>
      </c>
      <c r="J284" s="365">
        <v>16155</v>
      </c>
    </row>
    <row r="285" spans="2:10" hidden="1" outlineLevel="1" x14ac:dyDescent="0.25">
      <c r="B285" s="359">
        <v>43497</v>
      </c>
      <c r="C285" s="365">
        <v>1660</v>
      </c>
      <c r="D285" s="365">
        <v>5440</v>
      </c>
      <c r="E285" s="365">
        <v>195</v>
      </c>
      <c r="F285" s="365">
        <v>810</v>
      </c>
      <c r="G285" s="365">
        <v>3859</v>
      </c>
      <c r="H285" s="365">
        <v>11121</v>
      </c>
      <c r="I285" s="365">
        <v>5714</v>
      </c>
      <c r="J285" s="365">
        <v>17371</v>
      </c>
    </row>
    <row r="286" spans="2:10" hidden="1" outlineLevel="1" x14ac:dyDescent="0.25">
      <c r="B286" s="359">
        <v>43525</v>
      </c>
      <c r="C286" s="365">
        <v>1447</v>
      </c>
      <c r="D286" s="365">
        <v>4690</v>
      </c>
      <c r="E286" s="365">
        <v>166</v>
      </c>
      <c r="F286" s="365">
        <v>800</v>
      </c>
      <c r="G286" s="365">
        <v>3536</v>
      </c>
      <c r="H286" s="365">
        <v>10073</v>
      </c>
      <c r="I286" s="365">
        <v>5149</v>
      </c>
      <c r="J286" s="365">
        <v>15563</v>
      </c>
    </row>
    <row r="287" spans="2:10" hidden="1" outlineLevel="1" x14ac:dyDescent="0.25">
      <c r="B287" s="359">
        <v>43556</v>
      </c>
      <c r="C287" s="365">
        <v>1532</v>
      </c>
      <c r="D287" s="365">
        <v>5027</v>
      </c>
      <c r="E287" s="365">
        <v>191</v>
      </c>
      <c r="F287" s="365">
        <v>822</v>
      </c>
      <c r="G287" s="365">
        <v>4048</v>
      </c>
      <c r="H287" s="365">
        <v>11053</v>
      </c>
      <c r="I287" s="365">
        <v>5771</v>
      </c>
      <c r="J287" s="365">
        <v>16902</v>
      </c>
    </row>
    <row r="288" spans="2:10" hidden="1" outlineLevel="1" x14ac:dyDescent="0.25">
      <c r="B288" s="359">
        <v>43586</v>
      </c>
      <c r="C288" s="365">
        <v>1595</v>
      </c>
      <c r="D288" s="365">
        <v>4923</v>
      </c>
      <c r="E288" s="365">
        <v>179</v>
      </c>
      <c r="F288" s="365">
        <v>655</v>
      </c>
      <c r="G288" s="365">
        <v>3277</v>
      </c>
      <c r="H288" s="365">
        <v>9461</v>
      </c>
      <c r="I288" s="365">
        <v>5051</v>
      </c>
      <c r="J288" s="365">
        <v>15039</v>
      </c>
    </row>
    <row r="289" spans="2:10" hidden="1" outlineLevel="1" x14ac:dyDescent="0.25">
      <c r="B289" s="359">
        <v>43617</v>
      </c>
      <c r="C289" s="365">
        <v>1566</v>
      </c>
      <c r="D289" s="365">
        <v>4922</v>
      </c>
      <c r="E289" s="365">
        <v>128</v>
      </c>
      <c r="F289" s="365">
        <v>485</v>
      </c>
      <c r="G289" s="365">
        <v>3773</v>
      </c>
      <c r="H289" s="365">
        <v>10296</v>
      </c>
      <c r="I289" s="365">
        <v>5467</v>
      </c>
      <c r="J289" s="365">
        <v>15703</v>
      </c>
    </row>
    <row r="290" spans="2:10" hidden="1" outlineLevel="1" x14ac:dyDescent="0.25">
      <c r="B290" s="359">
        <v>43647</v>
      </c>
      <c r="C290" s="365">
        <v>1268</v>
      </c>
      <c r="D290" s="365">
        <v>4145</v>
      </c>
      <c r="E290" s="365">
        <v>119</v>
      </c>
      <c r="F290" s="365">
        <v>491</v>
      </c>
      <c r="G290" s="365">
        <v>4075</v>
      </c>
      <c r="H290" s="365">
        <v>11015</v>
      </c>
      <c r="I290" s="365">
        <v>5462</v>
      </c>
      <c r="J290" s="365">
        <v>15651</v>
      </c>
    </row>
    <row r="291" spans="2:10" hidden="1" outlineLevel="1" x14ac:dyDescent="0.25">
      <c r="B291" s="359">
        <v>43678</v>
      </c>
      <c r="C291" s="365">
        <v>1754</v>
      </c>
      <c r="D291" s="365">
        <v>5263</v>
      </c>
      <c r="E291" s="365">
        <v>194</v>
      </c>
      <c r="F291" s="365">
        <v>769</v>
      </c>
      <c r="G291" s="365">
        <v>3280</v>
      </c>
      <c r="H291" s="365">
        <v>9481</v>
      </c>
      <c r="I291" s="365">
        <v>5228</v>
      </c>
      <c r="J291" s="365">
        <v>15513</v>
      </c>
    </row>
    <row r="292" spans="2:10" hidden="1" outlineLevel="1" x14ac:dyDescent="0.25">
      <c r="B292" s="359">
        <v>43709</v>
      </c>
      <c r="C292" s="365">
        <v>1699</v>
      </c>
      <c r="D292" s="365">
        <v>5345</v>
      </c>
      <c r="E292" s="365">
        <v>173</v>
      </c>
      <c r="F292" s="365">
        <v>649</v>
      </c>
      <c r="G292" s="365">
        <v>3976</v>
      </c>
      <c r="H292" s="365">
        <v>10889</v>
      </c>
      <c r="I292" s="365">
        <v>5848</v>
      </c>
      <c r="J292" s="365">
        <v>16883</v>
      </c>
    </row>
    <row r="293" spans="2:10" hidden="1" outlineLevel="1" x14ac:dyDescent="0.25">
      <c r="B293" s="359">
        <v>43739</v>
      </c>
      <c r="C293" s="365">
        <v>1702</v>
      </c>
      <c r="D293" s="365">
        <v>5319</v>
      </c>
      <c r="E293" s="365">
        <v>176</v>
      </c>
      <c r="F293" s="365">
        <v>664</v>
      </c>
      <c r="G293" s="365">
        <v>4777</v>
      </c>
      <c r="H293" s="365">
        <v>13052</v>
      </c>
      <c r="I293" s="365">
        <v>6655</v>
      </c>
      <c r="J293" s="365">
        <v>19035</v>
      </c>
    </row>
    <row r="294" spans="2:10" hidden="1" outlineLevel="1" x14ac:dyDescent="0.25">
      <c r="B294" s="359">
        <v>43770</v>
      </c>
      <c r="C294" s="365">
        <v>1481</v>
      </c>
      <c r="D294" s="365">
        <v>4688</v>
      </c>
      <c r="E294" s="365">
        <v>133</v>
      </c>
      <c r="F294" s="365">
        <v>524</v>
      </c>
      <c r="G294" s="365">
        <v>2191</v>
      </c>
      <c r="H294" s="365">
        <v>6559</v>
      </c>
      <c r="I294" s="365">
        <v>3805</v>
      </c>
      <c r="J294" s="365">
        <v>11771</v>
      </c>
    </row>
    <row r="295" spans="2:10" hidden="1" outlineLevel="1" x14ac:dyDescent="0.25">
      <c r="B295" s="359">
        <v>43800</v>
      </c>
      <c r="C295" s="365">
        <v>1336</v>
      </c>
      <c r="D295" s="365">
        <v>4183</v>
      </c>
      <c r="E295" s="365">
        <v>108</v>
      </c>
      <c r="F295" s="365">
        <v>440</v>
      </c>
      <c r="G295" s="365">
        <v>4914</v>
      </c>
      <c r="H295" s="365">
        <v>13478</v>
      </c>
      <c r="I295" s="365">
        <v>6358</v>
      </c>
      <c r="J295" s="365">
        <v>18101</v>
      </c>
    </row>
    <row r="296" spans="2:10" collapsed="1" x14ac:dyDescent="0.25">
      <c r="B296" s="358">
        <v>2019</v>
      </c>
      <c r="C296" s="364">
        <v>18684</v>
      </c>
      <c r="D296" s="364">
        <v>59185</v>
      </c>
      <c r="E296" s="364">
        <v>1898</v>
      </c>
      <c r="F296" s="364">
        <v>7582</v>
      </c>
      <c r="G296" s="364">
        <v>45308</v>
      </c>
      <c r="H296" s="364">
        <v>126920</v>
      </c>
      <c r="I296" s="364">
        <v>65890</v>
      </c>
      <c r="J296" s="364">
        <v>193687</v>
      </c>
    </row>
    <row r="297" spans="2:10" hidden="1" outlineLevel="1" x14ac:dyDescent="0.25">
      <c r="B297" s="359">
        <v>43831</v>
      </c>
      <c r="C297" s="365">
        <v>2201</v>
      </c>
      <c r="D297" s="365">
        <v>6965</v>
      </c>
      <c r="E297" s="365">
        <v>189</v>
      </c>
      <c r="F297" s="365">
        <v>759</v>
      </c>
      <c r="G297" s="365">
        <v>4583</v>
      </c>
      <c r="H297" s="365">
        <v>12850</v>
      </c>
      <c r="I297" s="365">
        <v>6973</v>
      </c>
      <c r="J297" s="365">
        <v>20574</v>
      </c>
    </row>
    <row r="298" spans="2:10" hidden="1" outlineLevel="1" x14ac:dyDescent="0.25">
      <c r="B298" s="359">
        <v>43862</v>
      </c>
      <c r="C298" s="365">
        <v>1863</v>
      </c>
      <c r="D298" s="365">
        <v>5801</v>
      </c>
      <c r="E298" s="365">
        <v>280</v>
      </c>
      <c r="F298" s="365">
        <v>1068</v>
      </c>
      <c r="G298" s="365">
        <v>4722</v>
      </c>
      <c r="H298" s="365">
        <v>13234</v>
      </c>
      <c r="I298" s="365">
        <v>6865</v>
      </c>
      <c r="J298" s="365">
        <v>20103</v>
      </c>
    </row>
    <row r="299" spans="2:10" hidden="1" outlineLevel="1" x14ac:dyDescent="0.25">
      <c r="B299" s="359">
        <v>43891</v>
      </c>
      <c r="C299" s="365">
        <v>1546</v>
      </c>
      <c r="D299" s="365">
        <v>4795</v>
      </c>
      <c r="E299" s="365">
        <v>263</v>
      </c>
      <c r="F299" s="365">
        <v>982</v>
      </c>
      <c r="G299" s="365">
        <v>4641</v>
      </c>
      <c r="H299" s="365">
        <v>11822</v>
      </c>
      <c r="I299" s="365">
        <v>6450</v>
      </c>
      <c r="J299" s="365">
        <v>17599</v>
      </c>
    </row>
    <row r="300" spans="2:10" hidden="1" outlineLevel="1" x14ac:dyDescent="0.25">
      <c r="B300" s="359">
        <v>43922</v>
      </c>
      <c r="C300" s="365">
        <v>1051</v>
      </c>
      <c r="D300" s="365">
        <v>3202</v>
      </c>
      <c r="E300" s="365">
        <v>187</v>
      </c>
      <c r="F300" s="365">
        <v>651</v>
      </c>
      <c r="G300" s="365">
        <v>1882</v>
      </c>
      <c r="H300" s="365">
        <v>5219</v>
      </c>
      <c r="I300" s="365">
        <v>3120</v>
      </c>
      <c r="J300" s="365">
        <v>9072</v>
      </c>
    </row>
    <row r="301" spans="2:10" hidden="1" outlineLevel="1" x14ac:dyDescent="0.25">
      <c r="B301" s="359">
        <v>43952</v>
      </c>
      <c r="C301" s="365">
        <v>909</v>
      </c>
      <c r="D301" s="365">
        <v>2848</v>
      </c>
      <c r="E301" s="365">
        <v>78</v>
      </c>
      <c r="F301" s="365">
        <v>231</v>
      </c>
      <c r="G301" s="365">
        <v>2681</v>
      </c>
      <c r="H301" s="365">
        <v>7557</v>
      </c>
      <c r="I301" s="365">
        <v>3668</v>
      </c>
      <c r="J301" s="365">
        <v>10636</v>
      </c>
    </row>
    <row r="302" spans="2:10" hidden="1" outlineLevel="1" x14ac:dyDescent="0.25">
      <c r="B302" s="359">
        <v>43983</v>
      </c>
      <c r="C302" s="365">
        <v>993</v>
      </c>
      <c r="D302" s="365">
        <v>3330</v>
      </c>
      <c r="E302" s="365">
        <v>84</v>
      </c>
      <c r="F302" s="365">
        <v>288</v>
      </c>
      <c r="G302" s="365">
        <v>2933</v>
      </c>
      <c r="H302" s="365">
        <v>8252</v>
      </c>
      <c r="I302" s="365">
        <v>4010</v>
      </c>
      <c r="J302" s="365">
        <v>11870</v>
      </c>
    </row>
    <row r="303" spans="2:10" hidden="1" outlineLevel="1" x14ac:dyDescent="0.25">
      <c r="B303" s="359">
        <v>44013</v>
      </c>
      <c r="C303" s="365">
        <v>986</v>
      </c>
      <c r="D303" s="365">
        <v>3235</v>
      </c>
      <c r="E303" s="365">
        <v>89</v>
      </c>
      <c r="F303" s="365">
        <v>315</v>
      </c>
      <c r="G303" s="365">
        <v>2624</v>
      </c>
      <c r="H303" s="365">
        <v>7519</v>
      </c>
      <c r="I303" s="365">
        <v>3699</v>
      </c>
      <c r="J303" s="365">
        <v>11069</v>
      </c>
    </row>
    <row r="304" spans="2:10" hidden="1" outlineLevel="1" x14ac:dyDescent="0.25">
      <c r="B304" s="359">
        <v>44044</v>
      </c>
      <c r="C304" s="365">
        <v>1480</v>
      </c>
      <c r="D304" s="365">
        <v>4797</v>
      </c>
      <c r="E304" s="365">
        <v>118</v>
      </c>
      <c r="F304" s="365">
        <v>473</v>
      </c>
      <c r="G304" s="365">
        <v>4002</v>
      </c>
      <c r="H304" s="365">
        <v>11251</v>
      </c>
      <c r="I304" s="365">
        <v>5600</v>
      </c>
      <c r="J304" s="365">
        <v>16521</v>
      </c>
    </row>
    <row r="305" spans="2:10" hidden="1" outlineLevel="1" x14ac:dyDescent="0.25">
      <c r="B305" s="359">
        <v>44075</v>
      </c>
      <c r="C305" s="365">
        <v>1186</v>
      </c>
      <c r="D305" s="365">
        <v>3543</v>
      </c>
      <c r="E305" s="365">
        <v>159</v>
      </c>
      <c r="F305" s="365">
        <v>638</v>
      </c>
      <c r="G305" s="365">
        <v>4911</v>
      </c>
      <c r="H305" s="365">
        <v>13887</v>
      </c>
      <c r="I305" s="365">
        <v>6256</v>
      </c>
      <c r="J305" s="365">
        <v>18068</v>
      </c>
    </row>
    <row r="306" spans="2:10" hidden="1" outlineLevel="1" x14ac:dyDescent="0.25">
      <c r="B306" s="359">
        <v>44105</v>
      </c>
      <c r="C306" s="365">
        <v>1467</v>
      </c>
      <c r="D306" s="365">
        <v>4681</v>
      </c>
      <c r="E306" s="365">
        <v>192</v>
      </c>
      <c r="F306" s="365">
        <v>699</v>
      </c>
      <c r="G306" s="365">
        <v>5018</v>
      </c>
      <c r="H306" s="365">
        <v>14011</v>
      </c>
      <c r="I306" s="365">
        <v>6677</v>
      </c>
      <c r="J306" s="365">
        <v>19391</v>
      </c>
    </row>
    <row r="307" spans="2:10" hidden="1" outlineLevel="1" x14ac:dyDescent="0.25">
      <c r="B307" s="359">
        <v>44136</v>
      </c>
      <c r="C307" s="365">
        <v>1677</v>
      </c>
      <c r="D307" s="365">
        <v>5559</v>
      </c>
      <c r="E307" s="365">
        <v>165</v>
      </c>
      <c r="F307" s="365">
        <v>618</v>
      </c>
      <c r="G307" s="365">
        <v>5429</v>
      </c>
      <c r="H307" s="365">
        <v>14876</v>
      </c>
      <c r="I307" s="365">
        <v>7271</v>
      </c>
      <c r="J307" s="365">
        <v>21053</v>
      </c>
    </row>
    <row r="308" spans="2:10" hidden="1" outlineLevel="1" x14ac:dyDescent="0.25">
      <c r="B308" s="359">
        <v>44166</v>
      </c>
      <c r="C308" s="365">
        <v>1800</v>
      </c>
      <c r="D308" s="365">
        <v>5642</v>
      </c>
      <c r="E308" s="365">
        <v>202</v>
      </c>
      <c r="F308" s="365">
        <v>734</v>
      </c>
      <c r="G308" s="365">
        <v>5058</v>
      </c>
      <c r="H308" s="365">
        <v>13896</v>
      </c>
      <c r="I308" s="365">
        <v>7060</v>
      </c>
      <c r="J308" s="365">
        <v>20272</v>
      </c>
    </row>
    <row r="309" spans="2:10" collapsed="1" x14ac:dyDescent="0.25">
      <c r="B309" s="358">
        <v>2020</v>
      </c>
      <c r="C309" s="364">
        <v>17159</v>
      </c>
      <c r="D309" s="364">
        <v>54398</v>
      </c>
      <c r="E309" s="364">
        <v>2006</v>
      </c>
      <c r="F309" s="364">
        <v>7456</v>
      </c>
      <c r="G309" s="364">
        <v>48484</v>
      </c>
      <c r="H309" s="364">
        <v>134374</v>
      </c>
      <c r="I309" s="364">
        <v>67649</v>
      </c>
      <c r="J309" s="364">
        <v>196228</v>
      </c>
    </row>
    <row r="310" spans="2:10" hidden="1" outlineLevel="1" x14ac:dyDescent="0.25">
      <c r="B310" s="359">
        <v>44197</v>
      </c>
      <c r="C310" s="365">
        <v>1411</v>
      </c>
      <c r="D310" s="365">
        <v>4622</v>
      </c>
      <c r="E310" s="365">
        <v>155</v>
      </c>
      <c r="F310" s="365">
        <v>625</v>
      </c>
      <c r="G310" s="365">
        <v>4306</v>
      </c>
      <c r="H310" s="365">
        <v>11827</v>
      </c>
      <c r="I310" s="365">
        <v>5872</v>
      </c>
      <c r="J310" s="365">
        <v>17074</v>
      </c>
    </row>
    <row r="311" spans="2:10" hidden="1" outlineLevel="1" x14ac:dyDescent="0.25">
      <c r="B311" s="359">
        <v>44228</v>
      </c>
      <c r="C311" s="365">
        <v>1495</v>
      </c>
      <c r="D311" s="365">
        <v>4904</v>
      </c>
      <c r="E311" s="365">
        <v>139</v>
      </c>
      <c r="F311" s="365">
        <v>531</v>
      </c>
      <c r="G311" s="365">
        <v>4764</v>
      </c>
      <c r="H311" s="365">
        <v>12927</v>
      </c>
      <c r="I311" s="365">
        <v>6398</v>
      </c>
      <c r="J311" s="365">
        <v>18362</v>
      </c>
    </row>
    <row r="312" spans="2:10" hidden="1" outlineLevel="1" x14ac:dyDescent="0.25">
      <c r="B312" s="359">
        <v>44256</v>
      </c>
      <c r="C312" s="365">
        <v>1529</v>
      </c>
      <c r="D312" s="365">
        <v>4851</v>
      </c>
      <c r="E312" s="365">
        <v>159</v>
      </c>
      <c r="F312" s="365">
        <v>584</v>
      </c>
      <c r="G312" s="365">
        <v>4596</v>
      </c>
      <c r="H312" s="365">
        <v>12534</v>
      </c>
      <c r="I312" s="365">
        <v>6284</v>
      </c>
      <c r="J312" s="365">
        <v>17969</v>
      </c>
    </row>
    <row r="313" spans="2:10" hidden="1" outlineLevel="1" x14ac:dyDescent="0.25">
      <c r="B313" s="359">
        <v>44287</v>
      </c>
      <c r="C313" s="365">
        <v>1554</v>
      </c>
      <c r="D313" s="365">
        <v>4890</v>
      </c>
      <c r="E313" s="365">
        <v>204</v>
      </c>
      <c r="F313" s="365">
        <v>672</v>
      </c>
      <c r="G313" s="365">
        <v>3887</v>
      </c>
      <c r="H313" s="365">
        <v>10535</v>
      </c>
      <c r="I313" s="365">
        <v>5645</v>
      </c>
      <c r="J313" s="365">
        <v>16097</v>
      </c>
    </row>
    <row r="314" spans="2:10" hidden="1" outlineLevel="1" x14ac:dyDescent="0.25">
      <c r="B314" s="359">
        <v>44317</v>
      </c>
      <c r="C314" s="365">
        <v>1339</v>
      </c>
      <c r="D314" s="365">
        <v>4387</v>
      </c>
      <c r="E314" s="365">
        <v>188</v>
      </c>
      <c r="F314" s="365">
        <v>681</v>
      </c>
      <c r="G314" s="365">
        <v>4727</v>
      </c>
      <c r="H314" s="365">
        <v>12674</v>
      </c>
      <c r="I314" s="365">
        <v>6254</v>
      </c>
      <c r="J314" s="365">
        <v>17742</v>
      </c>
    </row>
    <row r="315" spans="2:10" hidden="1" outlineLevel="1" x14ac:dyDescent="0.25">
      <c r="B315" s="359">
        <v>44348</v>
      </c>
      <c r="C315" s="365">
        <v>1705</v>
      </c>
      <c r="D315" s="365">
        <v>5296</v>
      </c>
      <c r="E315" s="365">
        <v>180</v>
      </c>
      <c r="F315" s="365">
        <v>647</v>
      </c>
      <c r="G315" s="365">
        <v>4571</v>
      </c>
      <c r="H315" s="365">
        <v>12236</v>
      </c>
      <c r="I315" s="365">
        <v>6456</v>
      </c>
      <c r="J315" s="365">
        <v>18179</v>
      </c>
    </row>
    <row r="316" spans="2:10" hidden="1" outlineLevel="1" x14ac:dyDescent="0.25">
      <c r="B316" s="359">
        <v>44378</v>
      </c>
      <c r="C316" s="365">
        <v>1501</v>
      </c>
      <c r="D316" s="365">
        <v>4957</v>
      </c>
      <c r="E316" s="365">
        <v>165</v>
      </c>
      <c r="F316" s="365">
        <v>584</v>
      </c>
      <c r="G316" s="365">
        <v>4456</v>
      </c>
      <c r="H316" s="365">
        <v>12115</v>
      </c>
      <c r="I316" s="365">
        <v>6122</v>
      </c>
      <c r="J316" s="365">
        <v>17656</v>
      </c>
    </row>
    <row r="317" spans="2:10" hidden="1" outlineLevel="1" x14ac:dyDescent="0.25">
      <c r="B317" s="359">
        <v>44409</v>
      </c>
      <c r="C317" s="365">
        <v>1958</v>
      </c>
      <c r="D317" s="365">
        <v>6075</v>
      </c>
      <c r="E317" s="365">
        <v>199</v>
      </c>
      <c r="F317" s="365">
        <v>683</v>
      </c>
      <c r="G317" s="365">
        <v>5531</v>
      </c>
      <c r="H317" s="365">
        <v>15024</v>
      </c>
      <c r="I317" s="365">
        <v>7688</v>
      </c>
      <c r="J317" s="365">
        <v>21782</v>
      </c>
    </row>
    <row r="318" spans="2:10" hidden="1" outlineLevel="1" x14ac:dyDescent="0.25">
      <c r="B318" s="359">
        <v>44440</v>
      </c>
      <c r="C318" s="365">
        <v>2110</v>
      </c>
      <c r="D318" s="365">
        <v>6529</v>
      </c>
      <c r="E318" s="365">
        <v>220</v>
      </c>
      <c r="F318" s="365">
        <v>837</v>
      </c>
      <c r="G318" s="365">
        <v>5212</v>
      </c>
      <c r="H318" s="365">
        <v>13910</v>
      </c>
      <c r="I318" s="365">
        <v>7542</v>
      </c>
      <c r="J318" s="365">
        <v>21276</v>
      </c>
    </row>
    <row r="319" spans="2:10" hidden="1" outlineLevel="1" x14ac:dyDescent="0.25">
      <c r="B319" s="359">
        <v>44470</v>
      </c>
      <c r="C319" s="365">
        <v>1995</v>
      </c>
      <c r="D319" s="365">
        <v>6274</v>
      </c>
      <c r="E319" s="365">
        <v>253</v>
      </c>
      <c r="F319" s="365">
        <v>909</v>
      </c>
      <c r="G319" s="365">
        <v>5673</v>
      </c>
      <c r="H319" s="365">
        <v>15241</v>
      </c>
      <c r="I319" s="365">
        <v>7921</v>
      </c>
      <c r="J319" s="365">
        <v>22424</v>
      </c>
    </row>
    <row r="320" spans="2:10" hidden="1" outlineLevel="1" x14ac:dyDescent="0.25">
      <c r="B320" s="359">
        <v>44501</v>
      </c>
      <c r="C320" s="365">
        <v>2001</v>
      </c>
      <c r="D320" s="365">
        <v>6341</v>
      </c>
      <c r="E320" s="365">
        <v>307</v>
      </c>
      <c r="F320" s="365">
        <v>1121</v>
      </c>
      <c r="G320" s="365">
        <v>5341</v>
      </c>
      <c r="H320" s="365">
        <v>14390</v>
      </c>
      <c r="I320" s="365">
        <v>7649</v>
      </c>
      <c r="J320" s="365">
        <v>21852</v>
      </c>
    </row>
    <row r="321" spans="2:10" hidden="1" outlineLevel="1" x14ac:dyDescent="0.25">
      <c r="B321" s="359">
        <v>44531</v>
      </c>
      <c r="C321" s="365">
        <v>2034</v>
      </c>
      <c r="D321" s="365">
        <v>6415</v>
      </c>
      <c r="E321" s="365">
        <v>294</v>
      </c>
      <c r="F321" s="365">
        <v>1037</v>
      </c>
      <c r="G321" s="365">
        <v>5520</v>
      </c>
      <c r="H321" s="365">
        <v>14702</v>
      </c>
      <c r="I321" s="365">
        <v>7848</v>
      </c>
      <c r="J321" s="365">
        <v>22154</v>
      </c>
    </row>
    <row r="322" spans="2:10" collapsed="1" x14ac:dyDescent="0.25">
      <c r="B322" s="358">
        <v>2021</v>
      </c>
      <c r="C322" s="364">
        <v>20632</v>
      </c>
      <c r="D322" s="364">
        <v>65541</v>
      </c>
      <c r="E322" s="364">
        <v>2463</v>
      </c>
      <c r="F322" s="364">
        <v>8911</v>
      </c>
      <c r="G322" s="364">
        <v>58584</v>
      </c>
      <c r="H322" s="364">
        <v>158115</v>
      </c>
      <c r="I322" s="364">
        <v>81679</v>
      </c>
      <c r="J322" s="364">
        <v>232567</v>
      </c>
    </row>
    <row r="323" spans="2:10" hidden="1" outlineLevel="1" x14ac:dyDescent="0.25">
      <c r="B323" s="359">
        <v>44562</v>
      </c>
      <c r="C323" s="365">
        <v>2127</v>
      </c>
      <c r="D323" s="365">
        <v>6604</v>
      </c>
      <c r="E323" s="365">
        <v>322</v>
      </c>
      <c r="F323" s="365">
        <v>1143</v>
      </c>
      <c r="G323" s="365">
        <v>5219</v>
      </c>
      <c r="H323" s="365">
        <v>14359</v>
      </c>
      <c r="I323" s="365">
        <v>7668</v>
      </c>
      <c r="J323" s="365">
        <v>22106</v>
      </c>
    </row>
    <row r="324" spans="2:10" hidden="1" outlineLevel="1" x14ac:dyDescent="0.25">
      <c r="B324" s="359">
        <v>44593</v>
      </c>
      <c r="C324" s="365">
        <v>823</v>
      </c>
      <c r="D324" s="365">
        <v>2334</v>
      </c>
      <c r="E324" s="365">
        <v>205</v>
      </c>
      <c r="F324" s="365">
        <v>664</v>
      </c>
      <c r="G324" s="365">
        <v>9346</v>
      </c>
      <c r="H324" s="365">
        <v>23879</v>
      </c>
      <c r="I324" s="365">
        <v>10374</v>
      </c>
      <c r="J324" s="365">
        <v>26877</v>
      </c>
    </row>
    <row r="325" spans="2:10" hidden="1" outlineLevel="1" x14ac:dyDescent="0.25">
      <c r="B325" s="359">
        <v>44621</v>
      </c>
      <c r="C325" s="365">
        <v>2362</v>
      </c>
      <c r="D325" s="365">
        <v>7292</v>
      </c>
      <c r="E325" s="365">
        <v>180</v>
      </c>
      <c r="F325" s="365">
        <v>602</v>
      </c>
      <c r="G325" s="365">
        <v>6973</v>
      </c>
      <c r="H325" s="365">
        <v>17491</v>
      </c>
      <c r="I325" s="365">
        <v>9515</v>
      </c>
      <c r="J325" s="365">
        <v>25385</v>
      </c>
    </row>
    <row r="326" spans="2:10" hidden="1" outlineLevel="1" x14ac:dyDescent="0.25">
      <c r="B326" s="359">
        <v>44652</v>
      </c>
      <c r="C326" s="365">
        <v>4289</v>
      </c>
      <c r="D326" s="365">
        <v>13350</v>
      </c>
      <c r="E326" s="365">
        <v>873</v>
      </c>
      <c r="F326" s="365">
        <v>3126</v>
      </c>
      <c r="G326" s="365">
        <v>6323</v>
      </c>
      <c r="H326" s="365">
        <v>16898</v>
      </c>
      <c r="I326" s="365">
        <v>11485</v>
      </c>
      <c r="J326" s="365">
        <v>33374</v>
      </c>
    </row>
    <row r="327" spans="2:10" hidden="1" outlineLevel="1" x14ac:dyDescent="0.25">
      <c r="B327" s="359">
        <v>44682</v>
      </c>
      <c r="C327" s="365">
        <v>1956</v>
      </c>
      <c r="D327" s="365">
        <v>5953</v>
      </c>
      <c r="E327" s="365">
        <v>514</v>
      </c>
      <c r="F327" s="365">
        <v>1992</v>
      </c>
      <c r="G327" s="365">
        <v>6279</v>
      </c>
      <c r="H327" s="365">
        <v>15696</v>
      </c>
      <c r="I327" s="365">
        <v>8749</v>
      </c>
      <c r="J327" s="365">
        <v>23641</v>
      </c>
    </row>
    <row r="328" spans="2:10" hidden="1" outlineLevel="1" x14ac:dyDescent="0.25">
      <c r="B328" s="359">
        <v>44713</v>
      </c>
      <c r="C328" s="365">
        <v>1649</v>
      </c>
      <c r="D328" s="365">
        <v>5071</v>
      </c>
      <c r="E328" s="365">
        <v>372</v>
      </c>
      <c r="F328" s="365">
        <v>1451</v>
      </c>
      <c r="G328" s="365">
        <v>6680</v>
      </c>
      <c r="H328" s="365">
        <v>17868</v>
      </c>
      <c r="I328" s="365">
        <v>8701</v>
      </c>
      <c r="J328" s="365">
        <v>24390</v>
      </c>
    </row>
    <row r="329" spans="2:10" hidden="1" outlineLevel="1" x14ac:dyDescent="0.25">
      <c r="B329" s="359">
        <v>44743</v>
      </c>
      <c r="C329" s="365">
        <v>1526</v>
      </c>
      <c r="D329" s="365">
        <v>4781</v>
      </c>
      <c r="E329" s="365">
        <v>327</v>
      </c>
      <c r="F329" s="365">
        <v>1197</v>
      </c>
      <c r="G329" s="365">
        <v>5871</v>
      </c>
      <c r="H329" s="365">
        <v>16169</v>
      </c>
      <c r="I329" s="365">
        <v>7724</v>
      </c>
      <c r="J329" s="365">
        <v>22147</v>
      </c>
    </row>
    <row r="330" spans="2:10" hidden="1" outlineLevel="1" x14ac:dyDescent="0.25">
      <c r="B330" s="359">
        <v>44774</v>
      </c>
      <c r="C330" s="365">
        <v>3815</v>
      </c>
      <c r="D330" s="365">
        <v>11553</v>
      </c>
      <c r="E330" s="365">
        <v>768</v>
      </c>
      <c r="F330" s="365">
        <v>2546</v>
      </c>
      <c r="G330" s="365">
        <v>7704</v>
      </c>
      <c r="H330" s="365">
        <v>20253</v>
      </c>
      <c r="I330" s="365">
        <v>12287</v>
      </c>
      <c r="J330" s="365">
        <v>34352</v>
      </c>
    </row>
    <row r="331" spans="2:10" hidden="1" outlineLevel="1" x14ac:dyDescent="0.25">
      <c r="B331" s="359">
        <v>44805</v>
      </c>
      <c r="C331" s="365">
        <v>1554</v>
      </c>
      <c r="D331" s="365">
        <v>4797</v>
      </c>
      <c r="E331" s="365">
        <v>246</v>
      </c>
      <c r="F331" s="365">
        <v>925</v>
      </c>
      <c r="G331" s="365">
        <v>4704</v>
      </c>
      <c r="H331" s="365">
        <v>12244</v>
      </c>
      <c r="I331" s="365">
        <v>6504</v>
      </c>
      <c r="J331" s="365">
        <v>17966</v>
      </c>
    </row>
    <row r="332" spans="2:10" hidden="1" outlineLevel="1" x14ac:dyDescent="0.25">
      <c r="B332" s="359">
        <v>44835</v>
      </c>
      <c r="C332" s="365">
        <v>2371</v>
      </c>
      <c r="D332" s="365">
        <v>7347</v>
      </c>
      <c r="E332" s="365">
        <v>242</v>
      </c>
      <c r="F332" s="365">
        <v>826</v>
      </c>
      <c r="G332" s="365">
        <v>8344</v>
      </c>
      <c r="H332" s="365">
        <v>23067</v>
      </c>
      <c r="I332" s="365">
        <v>10957</v>
      </c>
      <c r="J332" s="365">
        <v>31240</v>
      </c>
    </row>
    <row r="333" spans="2:10" hidden="1" outlineLevel="1" x14ac:dyDescent="0.25">
      <c r="B333" s="359">
        <v>44866</v>
      </c>
      <c r="C333" s="365">
        <v>2730</v>
      </c>
      <c r="D333" s="365">
        <v>8235</v>
      </c>
      <c r="E333" s="365">
        <v>790</v>
      </c>
      <c r="F333" s="365">
        <v>2651</v>
      </c>
      <c r="G333" s="365">
        <v>7647</v>
      </c>
      <c r="H333" s="365">
        <v>20867</v>
      </c>
      <c r="I333" s="365">
        <v>11167</v>
      </c>
      <c r="J333" s="365">
        <v>31753</v>
      </c>
    </row>
    <row r="334" spans="2:10" hidden="1" outlineLevel="1" x14ac:dyDescent="0.25">
      <c r="B334" s="359">
        <v>44896</v>
      </c>
      <c r="C334" s="365">
        <v>2790</v>
      </c>
      <c r="D334" s="365">
        <v>8331</v>
      </c>
      <c r="E334" s="365">
        <v>439</v>
      </c>
      <c r="F334" s="365">
        <v>1454</v>
      </c>
      <c r="G334" s="365">
        <v>7069</v>
      </c>
      <c r="H334" s="365">
        <v>18563</v>
      </c>
      <c r="I334" s="365">
        <v>10298</v>
      </c>
      <c r="J334" s="365">
        <v>28348</v>
      </c>
    </row>
    <row r="335" spans="2:10" collapsed="1" x14ac:dyDescent="0.25">
      <c r="B335" s="358">
        <v>2022</v>
      </c>
      <c r="C335" s="364">
        <v>27992</v>
      </c>
      <c r="D335" s="364">
        <v>85648</v>
      </c>
      <c r="E335" s="364">
        <v>5278</v>
      </c>
      <c r="F335" s="364">
        <v>18577</v>
      </c>
      <c r="G335" s="364">
        <v>82159</v>
      </c>
      <c r="H335" s="364">
        <v>217354</v>
      </c>
      <c r="I335" s="364">
        <v>115429</v>
      </c>
      <c r="J335" s="364">
        <v>321579</v>
      </c>
    </row>
    <row r="336" spans="2:10" hidden="1" outlineLevel="1" x14ac:dyDescent="0.25">
      <c r="B336" s="359">
        <v>44927</v>
      </c>
      <c r="C336" s="365">
        <v>1422</v>
      </c>
      <c r="D336" s="365">
        <v>4423</v>
      </c>
      <c r="E336" s="365">
        <v>121</v>
      </c>
      <c r="F336" s="365">
        <v>395</v>
      </c>
      <c r="G336" s="365">
        <v>5912</v>
      </c>
      <c r="H336" s="365">
        <v>15527</v>
      </c>
      <c r="I336" s="365">
        <v>7455</v>
      </c>
      <c r="J336" s="365">
        <v>20345</v>
      </c>
    </row>
    <row r="337" spans="2:10" hidden="1" outlineLevel="1" x14ac:dyDescent="0.25">
      <c r="B337" s="359">
        <v>44958</v>
      </c>
      <c r="C337" s="365">
        <v>1914</v>
      </c>
      <c r="D337" s="365">
        <v>5826</v>
      </c>
      <c r="E337" s="365">
        <v>244</v>
      </c>
      <c r="F337" s="365">
        <v>881</v>
      </c>
      <c r="G337" s="365">
        <v>6949</v>
      </c>
      <c r="H337" s="365">
        <v>18204</v>
      </c>
      <c r="I337" s="365">
        <v>9107</v>
      </c>
      <c r="J337" s="365">
        <v>24911</v>
      </c>
    </row>
    <row r="338" spans="2:10" hidden="1" outlineLevel="1" x14ac:dyDescent="0.25">
      <c r="B338" s="359">
        <v>44986</v>
      </c>
      <c r="C338" s="365">
        <v>2021</v>
      </c>
      <c r="D338" s="365">
        <v>6149</v>
      </c>
      <c r="E338" s="365">
        <v>269</v>
      </c>
      <c r="F338" s="365">
        <v>932</v>
      </c>
      <c r="G338" s="365">
        <v>4828</v>
      </c>
      <c r="H338" s="365">
        <v>13079</v>
      </c>
      <c r="I338" s="365">
        <v>7118</v>
      </c>
      <c r="J338" s="365">
        <v>20160</v>
      </c>
    </row>
    <row r="339" spans="2:10" hidden="1" outlineLevel="1" x14ac:dyDescent="0.25">
      <c r="B339" s="359">
        <v>45017</v>
      </c>
      <c r="C339" s="365">
        <v>2508</v>
      </c>
      <c r="D339" s="365">
        <v>7519</v>
      </c>
      <c r="E339" s="365">
        <v>710</v>
      </c>
      <c r="F339" s="365">
        <v>2683</v>
      </c>
      <c r="G339" s="365">
        <v>7065</v>
      </c>
      <c r="H339" s="365">
        <v>18024</v>
      </c>
      <c r="I339" s="365">
        <v>10283</v>
      </c>
      <c r="J339" s="365">
        <v>28226</v>
      </c>
    </row>
    <row r="340" spans="2:10" hidden="1" outlineLevel="1" x14ac:dyDescent="0.25">
      <c r="B340" s="359">
        <v>45047</v>
      </c>
      <c r="C340" s="365">
        <v>1650</v>
      </c>
      <c r="D340" s="365">
        <v>4894</v>
      </c>
      <c r="E340" s="365">
        <v>373</v>
      </c>
      <c r="F340" s="365">
        <v>1285</v>
      </c>
      <c r="G340" s="365">
        <v>5000</v>
      </c>
      <c r="H340" s="365">
        <v>13553</v>
      </c>
      <c r="I340" s="365">
        <v>7023</v>
      </c>
      <c r="J340" s="365">
        <v>19732</v>
      </c>
    </row>
    <row r="341" spans="2:10" hidden="1" outlineLevel="1" x14ac:dyDescent="0.25">
      <c r="B341" s="359">
        <v>45078</v>
      </c>
      <c r="C341" s="365">
        <v>1313</v>
      </c>
      <c r="D341" s="365">
        <v>3644</v>
      </c>
      <c r="E341" s="365">
        <v>295</v>
      </c>
      <c r="F341" s="365">
        <v>970</v>
      </c>
      <c r="G341" s="365">
        <v>5445</v>
      </c>
      <c r="H341" s="365">
        <v>14253</v>
      </c>
      <c r="I341" s="365">
        <v>7053</v>
      </c>
      <c r="J341" s="365">
        <v>18867</v>
      </c>
    </row>
    <row r="342" spans="2:10" hidden="1" outlineLevel="1" x14ac:dyDescent="0.25">
      <c r="B342" s="359">
        <v>45108</v>
      </c>
      <c r="C342" s="365">
        <v>1327</v>
      </c>
      <c r="D342" s="365">
        <v>4057</v>
      </c>
      <c r="E342" s="365">
        <v>210</v>
      </c>
      <c r="F342" s="365">
        <v>767</v>
      </c>
      <c r="G342" s="365">
        <v>5271</v>
      </c>
      <c r="H342" s="365">
        <v>14438</v>
      </c>
      <c r="I342" s="365">
        <v>6808</v>
      </c>
      <c r="J342" s="365">
        <v>19262</v>
      </c>
    </row>
    <row r="343" spans="2:10" hidden="1" outlineLevel="1" x14ac:dyDescent="0.25">
      <c r="B343" s="359">
        <v>45139</v>
      </c>
      <c r="C343" s="365">
        <v>1654</v>
      </c>
      <c r="D343" s="365">
        <v>4942</v>
      </c>
      <c r="E343" s="365">
        <v>258</v>
      </c>
      <c r="F343" s="365">
        <v>943</v>
      </c>
      <c r="G343" s="365">
        <v>6382</v>
      </c>
      <c r="H343" s="365">
        <v>16886</v>
      </c>
      <c r="I343" s="365">
        <v>8294</v>
      </c>
      <c r="J343" s="365">
        <v>22771</v>
      </c>
    </row>
    <row r="344" spans="2:10" hidden="1" outlineLevel="1" x14ac:dyDescent="0.25">
      <c r="B344" s="359">
        <v>45170</v>
      </c>
      <c r="C344" s="365">
        <v>1488</v>
      </c>
      <c r="D344" s="365">
        <v>4521</v>
      </c>
      <c r="E344" s="365">
        <v>287</v>
      </c>
      <c r="F344" s="365">
        <v>1043</v>
      </c>
      <c r="G344" s="365">
        <v>6299</v>
      </c>
      <c r="H344" s="365">
        <v>16947</v>
      </c>
      <c r="I344" s="365">
        <v>8074</v>
      </c>
      <c r="J344" s="365">
        <v>22511</v>
      </c>
    </row>
    <row r="345" spans="2:10" hidden="1" outlineLevel="1" x14ac:dyDescent="0.25">
      <c r="B345" s="359">
        <v>45200</v>
      </c>
      <c r="C345" s="365">
        <v>1573</v>
      </c>
      <c r="D345" s="365">
        <v>4965</v>
      </c>
      <c r="E345" s="365">
        <v>193</v>
      </c>
      <c r="F345" s="365">
        <v>685</v>
      </c>
      <c r="G345" s="365">
        <v>7209</v>
      </c>
      <c r="H345" s="365">
        <v>18920</v>
      </c>
      <c r="I345" s="365">
        <v>8975</v>
      </c>
      <c r="J345" s="365">
        <v>24570</v>
      </c>
    </row>
    <row r="346" spans="2:10" hidden="1" outlineLevel="1" x14ac:dyDescent="0.25">
      <c r="B346" s="359">
        <v>45231</v>
      </c>
      <c r="C346" s="365">
        <v>1834</v>
      </c>
      <c r="D346" s="365">
        <v>5577</v>
      </c>
      <c r="E346" s="365">
        <v>266</v>
      </c>
      <c r="F346" s="365">
        <v>891</v>
      </c>
      <c r="G346" s="365">
        <v>6338</v>
      </c>
      <c r="H346" s="365">
        <v>16770</v>
      </c>
      <c r="I346" s="365">
        <v>8438</v>
      </c>
      <c r="J346" s="365">
        <v>23238</v>
      </c>
    </row>
    <row r="347" spans="2:10" hidden="1" outlineLevel="1" x14ac:dyDescent="0.25">
      <c r="B347" s="359">
        <v>45261</v>
      </c>
      <c r="C347" s="365">
        <v>2552</v>
      </c>
      <c r="D347" s="365">
        <v>8023</v>
      </c>
      <c r="E347" s="365">
        <v>221</v>
      </c>
      <c r="F347" s="365">
        <v>732</v>
      </c>
      <c r="G347" s="365">
        <v>6320</v>
      </c>
      <c r="H347" s="365">
        <v>16892</v>
      </c>
      <c r="I347" s="365">
        <v>9093</v>
      </c>
      <c r="J347" s="365">
        <v>25647</v>
      </c>
    </row>
    <row r="348" spans="2:10" collapsed="1" x14ac:dyDescent="0.25">
      <c r="B348" s="358">
        <v>2023</v>
      </c>
      <c r="C348" s="364">
        <v>21256</v>
      </c>
      <c r="D348" s="364">
        <v>64540</v>
      </c>
      <c r="E348" s="364">
        <v>3447</v>
      </c>
      <c r="F348" s="364">
        <v>12207</v>
      </c>
      <c r="G348" s="364">
        <v>73018</v>
      </c>
      <c r="H348" s="364">
        <v>193493</v>
      </c>
      <c r="I348" s="364">
        <v>97721</v>
      </c>
      <c r="J348" s="364">
        <v>270240</v>
      </c>
    </row>
    <row r="349" spans="2:10" outlineLevel="1" x14ac:dyDescent="0.25">
      <c r="B349" s="359">
        <v>45292</v>
      </c>
      <c r="C349" s="365">
        <v>1459</v>
      </c>
      <c r="D349" s="365">
        <v>4263</v>
      </c>
      <c r="E349" s="365">
        <v>200</v>
      </c>
      <c r="F349" s="365">
        <v>621</v>
      </c>
      <c r="G349" s="365">
        <v>5594</v>
      </c>
      <c r="H349" s="365">
        <v>14970</v>
      </c>
      <c r="I349" s="365">
        <v>7253</v>
      </c>
      <c r="J349" s="365">
        <v>19854</v>
      </c>
    </row>
    <row r="350" spans="2:10" outlineLevel="1" x14ac:dyDescent="0.25">
      <c r="B350" s="359">
        <v>45323</v>
      </c>
      <c r="C350" s="365">
        <v>1757</v>
      </c>
      <c r="D350" s="365">
        <v>5289</v>
      </c>
      <c r="E350" s="365">
        <v>215</v>
      </c>
      <c r="F350" s="365">
        <v>727</v>
      </c>
      <c r="G350" s="365">
        <v>5919</v>
      </c>
      <c r="H350" s="365">
        <v>15487</v>
      </c>
      <c r="I350" s="365">
        <v>7891</v>
      </c>
      <c r="J350" s="365">
        <v>21503</v>
      </c>
    </row>
    <row r="351" spans="2:10" outlineLevel="1" x14ac:dyDescent="0.25">
      <c r="B351" s="359">
        <v>45352</v>
      </c>
      <c r="C351" s="365">
        <v>1553</v>
      </c>
      <c r="D351" s="365">
        <v>4730</v>
      </c>
      <c r="E351" s="365">
        <v>247</v>
      </c>
      <c r="F351" s="365">
        <v>888</v>
      </c>
      <c r="G351" s="365">
        <v>6101</v>
      </c>
      <c r="H351" s="365">
        <v>16015</v>
      </c>
      <c r="I351" s="365">
        <v>7901</v>
      </c>
      <c r="J351" s="365">
        <v>21633</v>
      </c>
    </row>
    <row r="352" spans="2:10" outlineLevel="1" x14ac:dyDescent="0.25">
      <c r="B352" s="359">
        <v>45383</v>
      </c>
      <c r="C352" s="365">
        <v>1660</v>
      </c>
      <c r="D352" s="365">
        <v>4856</v>
      </c>
      <c r="E352" s="365">
        <v>252</v>
      </c>
      <c r="F352" s="365">
        <v>847</v>
      </c>
      <c r="G352" s="365">
        <v>6421</v>
      </c>
      <c r="H352" s="365">
        <v>16789</v>
      </c>
      <c r="I352" s="365">
        <v>8333</v>
      </c>
      <c r="J352" s="365">
        <v>22492</v>
      </c>
    </row>
    <row r="353" spans="2:10" outlineLevel="1" x14ac:dyDescent="0.25">
      <c r="B353" s="359">
        <v>45413</v>
      </c>
      <c r="C353" s="365">
        <v>1416</v>
      </c>
      <c r="D353" s="365">
        <v>4157</v>
      </c>
      <c r="E353" s="365">
        <v>290</v>
      </c>
      <c r="F353" s="365">
        <v>1052</v>
      </c>
      <c r="G353" s="365">
        <v>5656</v>
      </c>
      <c r="H353" s="365">
        <v>15345</v>
      </c>
      <c r="I353" s="365">
        <v>7362</v>
      </c>
      <c r="J353" s="365">
        <v>20554</v>
      </c>
    </row>
    <row r="354" spans="2:10" outlineLevel="1" x14ac:dyDescent="0.25">
      <c r="B354" s="359">
        <v>45444</v>
      </c>
      <c r="C354" s="365">
        <v>1579</v>
      </c>
      <c r="D354" s="365">
        <v>4590</v>
      </c>
      <c r="E354" s="365">
        <v>256</v>
      </c>
      <c r="F354" s="365">
        <v>843</v>
      </c>
      <c r="G354" s="365">
        <v>6169</v>
      </c>
      <c r="H354" s="365">
        <v>16176</v>
      </c>
      <c r="I354" s="365">
        <v>8004</v>
      </c>
      <c r="J354" s="365">
        <v>21609</v>
      </c>
    </row>
    <row r="355" spans="2:10" outlineLevel="1" x14ac:dyDescent="0.25">
      <c r="B355" s="359">
        <v>45474</v>
      </c>
      <c r="C355" s="365">
        <v>1216</v>
      </c>
      <c r="D355" s="365">
        <v>3454</v>
      </c>
      <c r="E355" s="365">
        <v>294</v>
      </c>
      <c r="F355" s="365">
        <v>988</v>
      </c>
      <c r="G355" s="365">
        <v>6452</v>
      </c>
      <c r="H355" s="365">
        <v>17230</v>
      </c>
      <c r="I355" s="365">
        <v>7962</v>
      </c>
      <c r="J355" s="365">
        <v>21672</v>
      </c>
    </row>
    <row r="356" spans="2:10" outlineLevel="1" x14ac:dyDescent="0.25">
      <c r="B356" s="359">
        <v>45505</v>
      </c>
      <c r="C356" s="365">
        <v>1700</v>
      </c>
      <c r="D356" s="365">
        <v>5120</v>
      </c>
      <c r="E356" s="365">
        <v>293</v>
      </c>
      <c r="F356" s="365">
        <v>1000</v>
      </c>
      <c r="G356" s="365">
        <v>6465</v>
      </c>
      <c r="H356" s="365">
        <v>16962</v>
      </c>
      <c r="I356" s="365">
        <v>8458</v>
      </c>
      <c r="J356" s="365">
        <v>23082</v>
      </c>
    </row>
    <row r="357" spans="2:10" outlineLevel="1" x14ac:dyDescent="0.25">
      <c r="B357" s="359">
        <v>45536</v>
      </c>
      <c r="C357" s="365">
        <v>1475</v>
      </c>
      <c r="D357" s="365">
        <v>4532</v>
      </c>
      <c r="E357" s="365">
        <v>202</v>
      </c>
      <c r="F357" s="365">
        <v>766</v>
      </c>
      <c r="G357" s="365">
        <v>6332</v>
      </c>
      <c r="H357" s="365">
        <v>16872</v>
      </c>
      <c r="I357" s="365">
        <v>8009</v>
      </c>
      <c r="J357" s="365">
        <v>22170</v>
      </c>
    </row>
    <row r="358" spans="2:10" ht="30" x14ac:dyDescent="0.25">
      <c r="B358" s="357" t="s">
        <v>930</v>
      </c>
      <c r="C358" s="364">
        <v>13815</v>
      </c>
      <c r="D358" s="364">
        <v>40991</v>
      </c>
      <c r="E358" s="364">
        <v>2249</v>
      </c>
      <c r="F358" s="364">
        <v>7732</v>
      </c>
      <c r="G358" s="364">
        <v>55109</v>
      </c>
      <c r="H358" s="364">
        <v>145846</v>
      </c>
      <c r="I358" s="364">
        <v>71173</v>
      </c>
      <c r="J358" s="364">
        <v>194569</v>
      </c>
    </row>
    <row r="359" spans="2:10" x14ac:dyDescent="0.25">
      <c r="B359" s="508" t="s">
        <v>880</v>
      </c>
      <c r="C359" s="509"/>
      <c r="D359" s="509"/>
      <c r="E359" s="509"/>
      <c r="F359" s="509"/>
      <c r="G359" s="509"/>
      <c r="H359" s="510"/>
      <c r="I359" s="366">
        <v>1087940</v>
      </c>
      <c r="J359" s="366">
        <v>3434437</v>
      </c>
    </row>
    <row r="360" spans="2:10" x14ac:dyDescent="0.25">
      <c r="B360" s="4" t="s">
        <v>803</v>
      </c>
    </row>
  </sheetData>
  <mergeCells count="28">
    <mergeCell ref="B25:B26"/>
    <mergeCell ref="B29:B30"/>
    <mergeCell ref="B27:B28"/>
    <mergeCell ref="I200:J200"/>
    <mergeCell ref="B359:H359"/>
    <mergeCell ref="B200:B201"/>
    <mergeCell ref="C200:D200"/>
    <mergeCell ref="E200:F200"/>
    <mergeCell ref="G200:H200"/>
    <mergeCell ref="B41:B42"/>
    <mergeCell ref="B31:B32"/>
    <mergeCell ref="B33:B34"/>
    <mergeCell ref="B35:B36"/>
    <mergeCell ref="B37:B38"/>
    <mergeCell ref="B39:B40"/>
    <mergeCell ref="B13:B14"/>
    <mergeCell ref="B15:B16"/>
    <mergeCell ref="B17:B18"/>
    <mergeCell ref="B19:B20"/>
    <mergeCell ref="B23:B24"/>
    <mergeCell ref="B21:B22"/>
    <mergeCell ref="H7:H8"/>
    <mergeCell ref="B7:B8"/>
    <mergeCell ref="C7:C8"/>
    <mergeCell ref="B9:B10"/>
    <mergeCell ref="B11:B12"/>
    <mergeCell ref="D7:E7"/>
    <mergeCell ref="F7:G7"/>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21"/>
  <sheetViews>
    <sheetView showGridLines="0" workbookViewId="0">
      <selection activeCell="B26" sqref="B26"/>
    </sheetView>
    <sheetView showGridLines="0" workbookViewId="1"/>
  </sheetViews>
  <sheetFormatPr baseColWidth="10" defaultRowHeight="15" x14ac:dyDescent="0.25"/>
  <cols>
    <col min="1" max="1" width="14.42578125" customWidth="1"/>
  </cols>
  <sheetData>
    <row r="1" spans="2:13" x14ac:dyDescent="0.25">
      <c r="B1" s="406" t="s">
        <v>691</v>
      </c>
      <c r="C1" s="407"/>
      <c r="D1" s="407"/>
      <c r="E1" s="407"/>
      <c r="F1" s="407"/>
      <c r="G1" s="407"/>
      <c r="H1" s="407"/>
      <c r="I1" s="407"/>
      <c r="J1" s="407"/>
      <c r="K1" s="407"/>
      <c r="L1" s="407"/>
      <c r="M1" s="407"/>
    </row>
    <row r="2" spans="2:13" x14ac:dyDescent="0.25">
      <c r="B2" s="407"/>
      <c r="C2" s="407"/>
      <c r="D2" s="407"/>
      <c r="E2" s="407"/>
      <c r="F2" s="407"/>
      <c r="G2" s="407"/>
      <c r="H2" s="407"/>
      <c r="I2" s="407"/>
      <c r="J2" s="407"/>
      <c r="K2" s="407"/>
      <c r="L2" s="407"/>
      <c r="M2" s="407"/>
    </row>
    <row r="3" spans="2:13" x14ac:dyDescent="0.25">
      <c r="B3" s="407"/>
      <c r="C3" s="407"/>
      <c r="D3" s="407"/>
      <c r="E3" s="407"/>
      <c r="F3" s="407"/>
      <c r="G3" s="407"/>
      <c r="H3" s="407"/>
      <c r="I3" s="407"/>
      <c r="J3" s="407"/>
      <c r="K3" s="407"/>
      <c r="L3" s="407"/>
      <c r="M3" s="407"/>
    </row>
    <row r="4" spans="2:13" x14ac:dyDescent="0.25">
      <c r="B4" s="407"/>
      <c r="C4" s="407"/>
      <c r="D4" s="407"/>
      <c r="E4" s="407"/>
      <c r="F4" s="407"/>
      <c r="G4" s="407"/>
      <c r="H4" s="407"/>
      <c r="I4" s="407"/>
      <c r="J4" s="407"/>
      <c r="K4" s="407"/>
      <c r="L4" s="407"/>
      <c r="M4" s="407"/>
    </row>
    <row r="5" spans="2:13" x14ac:dyDescent="0.25">
      <c r="B5" s="407"/>
      <c r="C5" s="407"/>
      <c r="D5" s="407"/>
      <c r="E5" s="407"/>
      <c r="F5" s="407"/>
      <c r="G5" s="407"/>
      <c r="H5" s="407"/>
      <c r="I5" s="407"/>
      <c r="J5" s="407"/>
      <c r="K5" s="407"/>
      <c r="L5" s="407"/>
      <c r="M5" s="407"/>
    </row>
    <row r="6" spans="2:13" ht="15.75" x14ac:dyDescent="0.25">
      <c r="B6" s="225"/>
      <c r="C6" s="225"/>
      <c r="D6" s="225"/>
      <c r="E6" s="225"/>
      <c r="F6" s="225"/>
      <c r="G6" s="225"/>
      <c r="H6" s="225"/>
      <c r="I6" s="225"/>
      <c r="J6" s="225"/>
      <c r="K6" s="225"/>
      <c r="L6" s="225"/>
      <c r="M6" s="225"/>
    </row>
    <row r="8" spans="2:13" ht="15.75" thickBot="1" x14ac:dyDescent="0.3"/>
    <row r="9" spans="2:13" ht="21.75" thickBot="1" x14ac:dyDescent="0.4">
      <c r="B9" s="515" t="s">
        <v>734</v>
      </c>
      <c r="C9" s="516"/>
      <c r="D9" s="516"/>
      <c r="E9" s="516"/>
      <c r="F9" s="516"/>
      <c r="G9" s="516"/>
      <c r="H9" s="516"/>
      <c r="I9" s="516"/>
      <c r="J9" s="516"/>
      <c r="K9" s="516"/>
      <c r="L9" s="516"/>
      <c r="M9" s="517"/>
    </row>
    <row r="10" spans="2:13" ht="15.75" x14ac:dyDescent="0.25">
      <c r="B10" s="412" t="s">
        <v>894</v>
      </c>
      <c r="C10" s="412"/>
      <c r="D10" s="412"/>
      <c r="E10" s="412"/>
      <c r="F10" s="412"/>
      <c r="G10" s="412"/>
      <c r="H10" s="412"/>
      <c r="I10" s="412"/>
      <c r="J10" s="412"/>
      <c r="K10" s="412"/>
      <c r="L10" s="412"/>
      <c r="M10" s="412"/>
    </row>
    <row r="11" spans="2:13" x14ac:dyDescent="0.25">
      <c r="B11" s="408"/>
      <c r="C11" s="408"/>
      <c r="D11" s="408"/>
      <c r="E11" s="408"/>
      <c r="F11" s="408"/>
      <c r="G11" s="408"/>
      <c r="H11" s="408"/>
      <c r="I11" s="408"/>
      <c r="J11" s="408"/>
      <c r="K11" s="408"/>
      <c r="L11" s="408"/>
      <c r="M11" s="408"/>
    </row>
    <row r="12" spans="2:13" ht="15.75" x14ac:dyDescent="0.25">
      <c r="B12" s="404" t="s">
        <v>735</v>
      </c>
      <c r="C12" s="404"/>
      <c r="D12" s="404"/>
      <c r="E12" s="404"/>
      <c r="F12" s="404"/>
      <c r="G12" s="404"/>
      <c r="H12" s="404"/>
      <c r="I12" s="404"/>
      <c r="J12" s="404"/>
      <c r="K12" s="404"/>
      <c r="L12" s="404"/>
      <c r="M12" s="404"/>
    </row>
    <row r="13" spans="2:13" x14ac:dyDescent="0.25">
      <c r="B13" s="405" t="s">
        <v>736</v>
      </c>
      <c r="C13" s="405"/>
      <c r="D13" s="405"/>
      <c r="E13" s="405"/>
      <c r="F13" s="405"/>
      <c r="G13" s="405"/>
      <c r="H13" s="405"/>
      <c r="I13" s="405"/>
      <c r="J13" s="405"/>
      <c r="K13" s="405"/>
      <c r="L13" s="405"/>
      <c r="M13" s="405"/>
    </row>
    <row r="14" spans="2:13" x14ac:dyDescent="0.25">
      <c r="B14" s="255"/>
      <c r="C14" s="255"/>
      <c r="D14" s="255"/>
      <c r="E14" s="255"/>
      <c r="F14" s="255"/>
      <c r="G14" s="255"/>
      <c r="H14" s="255"/>
      <c r="I14" s="255"/>
      <c r="J14" s="255"/>
      <c r="K14" s="255"/>
      <c r="L14" s="255"/>
      <c r="M14" s="255"/>
    </row>
    <row r="15" spans="2:13" ht="15.75" x14ac:dyDescent="0.25">
      <c r="B15" s="404" t="s">
        <v>737</v>
      </c>
      <c r="C15" s="404"/>
      <c r="D15" s="404"/>
      <c r="E15" s="404"/>
      <c r="F15" s="404"/>
      <c r="G15" s="404"/>
      <c r="H15" s="404"/>
      <c r="I15" s="404"/>
      <c r="J15" s="404"/>
      <c r="K15" s="404"/>
      <c r="L15" s="404"/>
      <c r="M15" s="404"/>
    </row>
    <row r="16" spans="2:13" x14ac:dyDescent="0.25">
      <c r="B16" s="405" t="s">
        <v>738</v>
      </c>
      <c r="C16" s="405"/>
      <c r="D16" s="405"/>
      <c r="E16" s="405"/>
      <c r="F16" s="405"/>
      <c r="G16" s="405"/>
      <c r="H16" s="405"/>
      <c r="I16" s="405"/>
      <c r="J16" s="405"/>
      <c r="K16" s="405"/>
      <c r="L16" s="405"/>
      <c r="M16" s="405"/>
    </row>
    <row r="17" spans="2:13" x14ac:dyDescent="0.25">
      <c r="B17" s="444" t="s">
        <v>739</v>
      </c>
      <c r="C17" s="444"/>
      <c r="D17" s="444"/>
      <c r="E17" s="444"/>
      <c r="F17" s="444"/>
      <c r="G17" s="444"/>
      <c r="H17" s="444"/>
      <c r="I17" s="444"/>
      <c r="J17" s="444"/>
      <c r="K17" s="444"/>
      <c r="L17" s="444"/>
      <c r="M17" s="444"/>
    </row>
    <row r="18" spans="2:13" x14ac:dyDescent="0.25">
      <c r="B18" s="255"/>
      <c r="C18" s="255"/>
      <c r="D18" s="255"/>
      <c r="E18" s="255"/>
      <c r="F18" s="255"/>
      <c r="G18" s="255"/>
      <c r="H18" s="255"/>
      <c r="I18" s="255"/>
      <c r="J18" s="255"/>
      <c r="K18" s="255"/>
      <c r="L18" s="255"/>
      <c r="M18" s="255"/>
    </row>
    <row r="19" spans="2:13" ht="15.75" x14ac:dyDescent="0.25">
      <c r="B19" s="404" t="s">
        <v>740</v>
      </c>
      <c r="C19" s="404"/>
      <c r="D19" s="404"/>
      <c r="E19" s="404"/>
      <c r="F19" s="404"/>
      <c r="G19" s="404"/>
      <c r="H19" s="404"/>
      <c r="I19" s="404"/>
      <c r="J19" s="404"/>
      <c r="K19" s="404"/>
      <c r="L19" s="404"/>
      <c r="M19" s="404"/>
    </row>
    <row r="20" spans="2:13" x14ac:dyDescent="0.25">
      <c r="B20" s="405" t="s">
        <v>741</v>
      </c>
      <c r="C20" s="405"/>
      <c r="D20" s="405"/>
      <c r="E20" s="405"/>
      <c r="F20" s="405"/>
      <c r="G20" s="405"/>
      <c r="H20" s="405"/>
      <c r="I20" s="405"/>
      <c r="J20" s="405"/>
      <c r="K20" s="405"/>
      <c r="L20" s="405"/>
      <c r="M20" s="405"/>
    </row>
    <row r="21" spans="2:13" x14ac:dyDescent="0.25">
      <c r="B21" s="444" t="s">
        <v>742</v>
      </c>
      <c r="C21" s="444"/>
      <c r="D21" s="444"/>
      <c r="E21" s="444"/>
      <c r="F21" s="444"/>
      <c r="G21" s="444"/>
      <c r="H21" s="444"/>
      <c r="I21" s="444"/>
      <c r="J21" s="444"/>
      <c r="K21" s="444"/>
      <c r="L21" s="444"/>
      <c r="M21" s="444"/>
    </row>
  </sheetData>
  <mergeCells count="12">
    <mergeCell ref="B21:M21"/>
    <mergeCell ref="B1:M5"/>
    <mergeCell ref="B9:M9"/>
    <mergeCell ref="B10:M10"/>
    <mergeCell ref="B11:M11"/>
    <mergeCell ref="B12:M12"/>
    <mergeCell ref="B15:M15"/>
    <mergeCell ref="B19:M19"/>
    <mergeCell ref="B13:M13"/>
    <mergeCell ref="B16:M16"/>
    <mergeCell ref="B17:M17"/>
    <mergeCell ref="B20:M20"/>
  </mergeCells>
  <hyperlinks>
    <hyperlink ref="B12:M12" location="'4.1'!A1" display="1. Pagos del Subsidio al Trabajador Joven (STJ)" xr:uid="{021317FA-C19E-41A6-8F5F-561F1DE12310}"/>
    <hyperlink ref="B15:M15" location="'4.2'!A1" display="2. Subsidio a la Contratación de Trabajadores Jóvenes" xr:uid="{4B5EC86D-571B-4B46-9731-B24CCBD217AD}"/>
    <hyperlink ref="B19:M19" location="'4.3'!A1" display="3. Subsidio a la Cotización de Trabajadores Jóvenes" xr:uid="{7249C3AD-AD97-47C9-8ECC-202DD4AEE235}"/>
    <hyperlink ref="B13:M13" location="'4.1'!B4" display="i. Serie resumen de pagos del subsidio a la contratación y a la cotización de trabajadores jóvenes" xr:uid="{81E43B03-53F4-47E8-A339-AAAD179ADC18}"/>
    <hyperlink ref="B16:M16" location="'4.2'!B4" display="i. Serie resumen del total de solicitudes y trabajadores del Subsidio a la Contratación de Trabajadores Jóvenes" xr:uid="{E74B4E60-3133-478E-9CA8-04B1D666F0EF}"/>
    <hyperlink ref="B20:M20" location="'4.3'!B4" display="i. Serie resumen del total de solicitudes y trabajadores del Subsidio a la Cotización de Trabajadores Jóvenes" xr:uid="{D7185632-A20C-4A61-A296-D543CC9B6F53}"/>
    <hyperlink ref="B17:M17" location="'4.2'!B158" display="ii. Serie resumen del estado de las solicitudes del Subsidio a la Contratación de Trabajadores Jóvenes" xr:uid="{F2E163C7-4570-48DF-9386-C5169D65C92D}"/>
    <hyperlink ref="B21:M21" location="'4.3'!B166" display="ii. Serie resumen del estado de las solicitudes del Subsidio a la Cotización de Trabajadores Jóvenes" xr:uid="{CA323B3C-F4E2-446F-AD7E-6E360DACB88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213"/>
  <sheetViews>
    <sheetView showGridLines="0" workbookViewId="0">
      <selection activeCell="B4" sqref="B4"/>
    </sheetView>
    <sheetView showGridLines="0" workbookViewId="1"/>
  </sheetViews>
  <sheetFormatPr baseColWidth="10" defaultRowHeight="15" outlineLevelRow="1" x14ac:dyDescent="0.25"/>
  <cols>
    <col min="2" max="2" width="20.85546875" customWidth="1"/>
    <col min="3" max="3" width="20.28515625" customWidth="1"/>
    <col min="4" max="4" width="23.5703125" customWidth="1"/>
    <col min="5" max="5" width="17.7109375" customWidth="1"/>
    <col min="6" max="6" width="16.5703125" customWidth="1"/>
    <col min="7" max="7" width="17.42578125" customWidth="1"/>
    <col min="8" max="8" width="18.85546875" customWidth="1"/>
  </cols>
  <sheetData>
    <row r="2" spans="2:9" ht="23.25" x14ac:dyDescent="0.25">
      <c r="B2" s="1" t="s">
        <v>721</v>
      </c>
    </row>
    <row r="4" spans="2:9" ht="18.75" x14ac:dyDescent="0.3">
      <c r="B4" s="2" t="s">
        <v>722</v>
      </c>
      <c r="C4" s="2"/>
      <c r="D4" s="2"/>
      <c r="E4" s="2"/>
      <c r="F4" s="2"/>
      <c r="G4" s="2"/>
      <c r="H4" s="2"/>
      <c r="I4" s="2"/>
    </row>
    <row r="5" spans="2:9" x14ac:dyDescent="0.25">
      <c r="B5" s="15" t="s">
        <v>922</v>
      </c>
    </row>
    <row r="7" spans="2:9" ht="26.25" customHeight="1" x14ac:dyDescent="0.25">
      <c r="B7" s="518" t="s">
        <v>472</v>
      </c>
      <c r="C7" s="519" t="s">
        <v>716</v>
      </c>
      <c r="D7" s="519"/>
      <c r="E7" s="519" t="s">
        <v>717</v>
      </c>
      <c r="F7" s="519"/>
      <c r="G7" s="519"/>
      <c r="H7" s="519"/>
    </row>
    <row r="8" spans="2:9" x14ac:dyDescent="0.25">
      <c r="B8" s="518"/>
      <c r="C8" s="520" t="s">
        <v>799</v>
      </c>
      <c r="D8" s="520" t="s">
        <v>800</v>
      </c>
      <c r="E8" s="521" t="s">
        <v>799</v>
      </c>
      <c r="F8" s="520" t="s">
        <v>801</v>
      </c>
      <c r="G8" s="520"/>
      <c r="H8" s="520"/>
    </row>
    <row r="9" spans="2:9" x14ac:dyDescent="0.25">
      <c r="B9" s="518"/>
      <c r="C9" s="520"/>
      <c r="D9" s="520"/>
      <c r="E9" s="522"/>
      <c r="F9" s="360" t="s">
        <v>718</v>
      </c>
      <c r="G9" s="360" t="s">
        <v>719</v>
      </c>
      <c r="H9" s="360" t="s">
        <v>720</v>
      </c>
    </row>
    <row r="10" spans="2:9" hidden="1" outlineLevel="1" x14ac:dyDescent="0.25">
      <c r="B10" s="368">
        <v>39873</v>
      </c>
      <c r="C10" s="370">
        <v>10625</v>
      </c>
      <c r="D10" s="370">
        <v>174</v>
      </c>
      <c r="E10" s="371"/>
      <c r="F10" s="370"/>
      <c r="G10" s="370"/>
      <c r="H10" s="370"/>
    </row>
    <row r="11" spans="2:9" hidden="1" outlineLevel="1" x14ac:dyDescent="0.25">
      <c r="B11" s="368">
        <v>39904</v>
      </c>
      <c r="C11" s="370">
        <v>6095</v>
      </c>
      <c r="D11" s="370">
        <v>194</v>
      </c>
      <c r="E11" s="371"/>
      <c r="F11" s="370"/>
      <c r="G11" s="370"/>
      <c r="H11" s="370"/>
    </row>
    <row r="12" spans="2:9" hidden="1" outlineLevel="1" x14ac:dyDescent="0.25">
      <c r="B12" s="368">
        <v>39934</v>
      </c>
      <c r="C12" s="370">
        <v>7497</v>
      </c>
      <c r="D12" s="370">
        <v>290</v>
      </c>
      <c r="E12" s="371"/>
      <c r="F12" s="370"/>
      <c r="G12" s="370"/>
      <c r="H12" s="370"/>
    </row>
    <row r="13" spans="2:9" hidden="1" outlineLevel="1" x14ac:dyDescent="0.25">
      <c r="B13" s="368">
        <v>39965</v>
      </c>
      <c r="C13" s="370">
        <v>8878</v>
      </c>
      <c r="D13" s="370">
        <v>241</v>
      </c>
      <c r="E13" s="371"/>
      <c r="F13" s="370"/>
      <c r="G13" s="370"/>
      <c r="H13" s="370"/>
    </row>
    <row r="14" spans="2:9" hidden="1" outlineLevel="1" x14ac:dyDescent="0.25">
      <c r="B14" s="368">
        <v>39995</v>
      </c>
      <c r="C14" s="370">
        <v>13580</v>
      </c>
      <c r="D14" s="370">
        <v>349</v>
      </c>
      <c r="E14" s="371"/>
      <c r="F14" s="370"/>
      <c r="G14" s="370"/>
      <c r="H14" s="370"/>
    </row>
    <row r="15" spans="2:9" hidden="1" outlineLevel="1" x14ac:dyDescent="0.25">
      <c r="B15" s="368">
        <v>40026</v>
      </c>
      <c r="C15" s="370">
        <v>9451</v>
      </c>
      <c r="D15" s="370">
        <v>290</v>
      </c>
      <c r="E15" s="371"/>
      <c r="F15" s="370"/>
      <c r="G15" s="370"/>
      <c r="H15" s="370"/>
    </row>
    <row r="16" spans="2:9" hidden="1" outlineLevel="1" x14ac:dyDescent="0.25">
      <c r="B16" s="368">
        <v>40057</v>
      </c>
      <c r="C16" s="370">
        <v>16175</v>
      </c>
      <c r="D16" s="370">
        <v>423</v>
      </c>
      <c r="E16" s="371"/>
      <c r="F16" s="370"/>
      <c r="G16" s="370"/>
      <c r="H16" s="370"/>
    </row>
    <row r="17" spans="2:8" hidden="1" outlineLevel="1" x14ac:dyDescent="0.25">
      <c r="B17" s="368">
        <v>40087</v>
      </c>
      <c r="C17" s="370">
        <v>21738</v>
      </c>
      <c r="D17" s="370">
        <v>442</v>
      </c>
      <c r="E17" s="371"/>
      <c r="F17" s="370"/>
      <c r="G17" s="370"/>
      <c r="H17" s="370"/>
    </row>
    <row r="18" spans="2:8" hidden="1" outlineLevel="1" x14ac:dyDescent="0.25">
      <c r="B18" s="368">
        <v>40118</v>
      </c>
      <c r="C18" s="370">
        <v>20687</v>
      </c>
      <c r="D18" s="370">
        <v>464</v>
      </c>
      <c r="E18" s="371"/>
      <c r="F18" s="370"/>
      <c r="G18" s="370"/>
      <c r="H18" s="370"/>
    </row>
    <row r="19" spans="2:8" hidden="1" outlineLevel="1" x14ac:dyDescent="0.25">
      <c r="B19" s="368">
        <v>40148</v>
      </c>
      <c r="C19" s="370">
        <v>19925</v>
      </c>
      <c r="D19" s="370">
        <v>464</v>
      </c>
      <c r="E19" s="371"/>
      <c r="F19" s="370"/>
      <c r="G19" s="370"/>
      <c r="H19" s="370"/>
    </row>
    <row r="20" spans="2:8" collapsed="1" x14ac:dyDescent="0.25">
      <c r="B20" s="388" t="s">
        <v>932</v>
      </c>
      <c r="C20" s="279">
        <v>13465.1</v>
      </c>
      <c r="D20" s="279">
        <v>333.1</v>
      </c>
      <c r="E20" s="279"/>
      <c r="F20" s="279"/>
      <c r="G20" s="279"/>
      <c r="H20" s="279"/>
    </row>
    <row r="21" spans="2:8" hidden="1" outlineLevel="1" x14ac:dyDescent="0.25">
      <c r="B21" s="288">
        <v>40179</v>
      </c>
      <c r="C21" s="275">
        <v>14517</v>
      </c>
      <c r="D21" s="275">
        <v>460</v>
      </c>
      <c r="E21" s="275"/>
      <c r="F21" s="275"/>
      <c r="G21" s="275"/>
      <c r="H21" s="275"/>
    </row>
    <row r="22" spans="2:8" hidden="1" outlineLevel="1" x14ac:dyDescent="0.25">
      <c r="B22" s="288">
        <v>40210</v>
      </c>
      <c r="C22" s="275">
        <v>21073</v>
      </c>
      <c r="D22" s="275">
        <v>461</v>
      </c>
      <c r="E22" s="275"/>
      <c r="F22" s="275"/>
      <c r="G22" s="275"/>
      <c r="H22" s="275"/>
    </row>
    <row r="23" spans="2:8" hidden="1" outlineLevel="1" x14ac:dyDescent="0.25">
      <c r="B23" s="288">
        <v>40238</v>
      </c>
      <c r="C23" s="275">
        <v>1853</v>
      </c>
      <c r="D23" s="275">
        <v>230</v>
      </c>
      <c r="E23" s="275"/>
      <c r="F23" s="275"/>
      <c r="G23" s="275"/>
      <c r="H23" s="275"/>
    </row>
    <row r="24" spans="2:8" hidden="1" outlineLevel="1" x14ac:dyDescent="0.25">
      <c r="B24" s="288">
        <v>40269</v>
      </c>
      <c r="C24" s="275">
        <v>34023</v>
      </c>
      <c r="D24" s="275">
        <v>448</v>
      </c>
      <c r="E24" s="275"/>
      <c r="F24" s="275"/>
      <c r="G24" s="275"/>
      <c r="H24" s="275"/>
    </row>
    <row r="25" spans="2:8" hidden="1" outlineLevel="1" x14ac:dyDescent="0.25">
      <c r="B25" s="288">
        <v>40299</v>
      </c>
      <c r="C25" s="275">
        <v>12204</v>
      </c>
      <c r="D25" s="275">
        <v>424</v>
      </c>
      <c r="E25" s="275"/>
      <c r="F25" s="275"/>
      <c r="G25" s="275"/>
      <c r="H25" s="275"/>
    </row>
    <row r="26" spans="2:8" hidden="1" outlineLevel="1" x14ac:dyDescent="0.25">
      <c r="B26" s="288">
        <v>40330</v>
      </c>
      <c r="C26" s="275">
        <v>1575</v>
      </c>
      <c r="D26" s="275">
        <v>167</v>
      </c>
      <c r="E26" s="275"/>
      <c r="F26" s="275"/>
      <c r="G26" s="275"/>
      <c r="H26" s="275"/>
    </row>
    <row r="27" spans="2:8" hidden="1" outlineLevel="1" x14ac:dyDescent="0.25">
      <c r="B27" s="288">
        <v>40360</v>
      </c>
      <c r="C27" s="275">
        <v>1875</v>
      </c>
      <c r="D27" s="275">
        <v>166</v>
      </c>
      <c r="E27" s="275"/>
      <c r="F27" s="275"/>
      <c r="G27" s="275"/>
      <c r="H27" s="275"/>
    </row>
    <row r="28" spans="2:8" hidden="1" outlineLevel="1" x14ac:dyDescent="0.25">
      <c r="B28" s="288">
        <v>40391</v>
      </c>
      <c r="C28" s="275">
        <v>7627</v>
      </c>
      <c r="D28" s="275">
        <v>189</v>
      </c>
      <c r="E28" s="275"/>
      <c r="F28" s="275"/>
      <c r="G28" s="275"/>
      <c r="H28" s="275"/>
    </row>
    <row r="29" spans="2:8" hidden="1" outlineLevel="1" x14ac:dyDescent="0.25">
      <c r="B29" s="288">
        <v>40422</v>
      </c>
      <c r="C29" s="275">
        <v>1802</v>
      </c>
      <c r="D29" s="275">
        <v>151</v>
      </c>
      <c r="E29" s="275"/>
      <c r="F29" s="275"/>
      <c r="G29" s="275"/>
      <c r="H29" s="275"/>
    </row>
    <row r="30" spans="2:8" hidden="1" outlineLevel="1" x14ac:dyDescent="0.25">
      <c r="B30" s="288">
        <v>40452</v>
      </c>
      <c r="C30" s="275">
        <v>3251</v>
      </c>
      <c r="D30" s="275">
        <v>152</v>
      </c>
      <c r="E30" s="275"/>
      <c r="F30" s="275"/>
      <c r="G30" s="275"/>
      <c r="H30" s="275"/>
    </row>
    <row r="31" spans="2:8" hidden="1" outlineLevel="1" x14ac:dyDescent="0.25">
      <c r="B31" s="288">
        <v>40483</v>
      </c>
      <c r="C31" s="275">
        <v>986</v>
      </c>
      <c r="D31" s="275">
        <v>122</v>
      </c>
      <c r="E31" s="275"/>
      <c r="F31" s="275"/>
      <c r="G31" s="275"/>
      <c r="H31" s="275"/>
    </row>
    <row r="32" spans="2:8" hidden="1" outlineLevel="1" x14ac:dyDescent="0.25">
      <c r="B32" s="288">
        <v>40513</v>
      </c>
      <c r="C32" s="275">
        <v>1370</v>
      </c>
      <c r="D32" s="275">
        <v>102</v>
      </c>
      <c r="E32" s="275"/>
      <c r="F32" s="275"/>
      <c r="G32" s="275"/>
      <c r="H32" s="275"/>
    </row>
    <row r="33" spans="2:8" collapsed="1" x14ac:dyDescent="0.25">
      <c r="B33" s="388" t="s">
        <v>933</v>
      </c>
      <c r="C33" s="279">
        <v>8513</v>
      </c>
      <c r="D33" s="279">
        <v>256</v>
      </c>
      <c r="E33" s="279"/>
      <c r="F33" s="279"/>
      <c r="G33" s="279"/>
      <c r="H33" s="279"/>
    </row>
    <row r="34" spans="2:8" hidden="1" outlineLevel="1" x14ac:dyDescent="0.25">
      <c r="B34" s="288">
        <v>40544</v>
      </c>
      <c r="C34" s="275">
        <v>547</v>
      </c>
      <c r="D34" s="275">
        <v>96</v>
      </c>
      <c r="E34" s="275"/>
      <c r="F34" s="275"/>
      <c r="G34" s="275"/>
      <c r="H34" s="275"/>
    </row>
    <row r="35" spans="2:8" hidden="1" outlineLevel="1" x14ac:dyDescent="0.25">
      <c r="B35" s="288">
        <v>40575</v>
      </c>
      <c r="C35" s="275">
        <v>986</v>
      </c>
      <c r="D35" s="275">
        <v>105</v>
      </c>
      <c r="E35" s="275"/>
      <c r="F35" s="275"/>
      <c r="G35" s="275"/>
      <c r="H35" s="275"/>
    </row>
    <row r="36" spans="2:8" hidden="1" outlineLevel="1" x14ac:dyDescent="0.25">
      <c r="B36" s="288">
        <v>40603</v>
      </c>
      <c r="C36" s="275">
        <v>531</v>
      </c>
      <c r="D36" s="275">
        <v>76</v>
      </c>
      <c r="E36" s="275"/>
      <c r="F36" s="275"/>
      <c r="G36" s="275"/>
      <c r="H36" s="275"/>
    </row>
    <row r="37" spans="2:8" hidden="1" outlineLevel="1" x14ac:dyDescent="0.25">
      <c r="B37" s="288">
        <v>40634</v>
      </c>
      <c r="C37" s="275">
        <v>1064</v>
      </c>
      <c r="D37" s="275">
        <v>129</v>
      </c>
      <c r="E37" s="275"/>
      <c r="F37" s="275"/>
      <c r="G37" s="275"/>
      <c r="H37" s="275"/>
    </row>
    <row r="38" spans="2:8" hidden="1" outlineLevel="1" x14ac:dyDescent="0.25">
      <c r="B38" s="288">
        <v>40664</v>
      </c>
      <c r="C38" s="275">
        <v>1100</v>
      </c>
      <c r="D38" s="275">
        <v>91</v>
      </c>
      <c r="E38" s="275"/>
      <c r="F38" s="275"/>
      <c r="G38" s="275"/>
      <c r="H38" s="275"/>
    </row>
    <row r="39" spans="2:8" hidden="1" outlineLevel="1" x14ac:dyDescent="0.25">
      <c r="B39" s="288">
        <v>40695</v>
      </c>
      <c r="C39" s="275">
        <v>1238</v>
      </c>
      <c r="D39" s="275">
        <v>106</v>
      </c>
      <c r="E39" s="275"/>
      <c r="F39" s="275"/>
      <c r="G39" s="275"/>
      <c r="H39" s="275"/>
    </row>
    <row r="40" spans="2:8" hidden="1" outlineLevel="1" x14ac:dyDescent="0.25">
      <c r="B40" s="288">
        <v>40725</v>
      </c>
      <c r="C40" s="275">
        <v>173</v>
      </c>
      <c r="D40" s="275">
        <v>25</v>
      </c>
      <c r="E40" s="275"/>
      <c r="F40" s="275"/>
      <c r="G40" s="275"/>
      <c r="H40" s="275"/>
    </row>
    <row r="41" spans="2:8" hidden="1" outlineLevel="1" x14ac:dyDescent="0.25">
      <c r="B41" s="288">
        <v>40756</v>
      </c>
      <c r="C41" s="275">
        <v>810</v>
      </c>
      <c r="D41" s="275">
        <v>59</v>
      </c>
      <c r="E41" s="275"/>
      <c r="F41" s="275"/>
      <c r="G41" s="275"/>
      <c r="H41" s="275"/>
    </row>
    <row r="42" spans="2:8" hidden="1" outlineLevel="1" x14ac:dyDescent="0.25">
      <c r="B42" s="288">
        <v>40787</v>
      </c>
      <c r="C42" s="275">
        <v>476</v>
      </c>
      <c r="D42" s="275">
        <v>65</v>
      </c>
      <c r="E42" s="275">
        <v>1634</v>
      </c>
      <c r="F42" s="275"/>
      <c r="G42" s="275"/>
      <c r="H42" s="275">
        <v>1620</v>
      </c>
    </row>
    <row r="43" spans="2:8" hidden="1" outlineLevel="1" x14ac:dyDescent="0.25">
      <c r="B43" s="288">
        <v>40817</v>
      </c>
      <c r="C43" s="275">
        <v>1568</v>
      </c>
      <c r="D43" s="275">
        <v>75</v>
      </c>
      <c r="E43" s="275">
        <v>5036</v>
      </c>
      <c r="F43" s="275"/>
      <c r="G43" s="275"/>
      <c r="H43" s="275">
        <v>4518</v>
      </c>
    </row>
    <row r="44" spans="2:8" hidden="1" outlineLevel="1" x14ac:dyDescent="0.25">
      <c r="B44" s="288">
        <v>40848</v>
      </c>
      <c r="C44" s="275">
        <v>906</v>
      </c>
      <c r="D44" s="275">
        <v>39</v>
      </c>
      <c r="E44" s="275">
        <v>12015</v>
      </c>
      <c r="F44" s="275"/>
      <c r="G44" s="275"/>
      <c r="H44" s="275">
        <v>10939</v>
      </c>
    </row>
    <row r="45" spans="2:8" hidden="1" outlineLevel="1" x14ac:dyDescent="0.25">
      <c r="B45" s="288">
        <v>40878</v>
      </c>
      <c r="C45" s="275">
        <v>1270</v>
      </c>
      <c r="D45" s="275">
        <v>71</v>
      </c>
      <c r="E45" s="275">
        <v>22261</v>
      </c>
      <c r="F45" s="275"/>
      <c r="G45" s="275"/>
      <c r="H45" s="275">
        <v>21512</v>
      </c>
    </row>
    <row r="46" spans="2:8" collapsed="1" x14ac:dyDescent="0.25">
      <c r="B46" s="388" t="s">
        <v>934</v>
      </c>
      <c r="C46" s="279">
        <v>889.08333333333337</v>
      </c>
      <c r="D46" s="279">
        <v>78.083333333333329</v>
      </c>
      <c r="E46" s="279">
        <v>10236.5</v>
      </c>
      <c r="F46" s="279"/>
      <c r="G46" s="279"/>
      <c r="H46" s="279">
        <v>9647.25</v>
      </c>
    </row>
    <row r="47" spans="2:8" hidden="1" outlineLevel="1" x14ac:dyDescent="0.25">
      <c r="B47" s="288">
        <v>40909</v>
      </c>
      <c r="C47" s="275">
        <v>1221</v>
      </c>
      <c r="D47" s="275">
        <v>65</v>
      </c>
      <c r="E47" s="275">
        <v>24129</v>
      </c>
      <c r="F47" s="275"/>
      <c r="G47" s="275"/>
      <c r="H47" s="275">
        <v>20099</v>
      </c>
    </row>
    <row r="48" spans="2:8" hidden="1" outlineLevel="1" x14ac:dyDescent="0.25">
      <c r="B48" s="288">
        <v>40940</v>
      </c>
      <c r="C48" s="275">
        <v>902</v>
      </c>
      <c r="D48" s="275">
        <v>58</v>
      </c>
      <c r="E48" s="275">
        <v>22063</v>
      </c>
      <c r="F48" s="275"/>
      <c r="G48" s="275"/>
      <c r="H48" s="275">
        <v>19781</v>
      </c>
    </row>
    <row r="49" spans="2:8" hidden="1" outlineLevel="1" x14ac:dyDescent="0.25">
      <c r="B49" s="288">
        <v>40969</v>
      </c>
      <c r="C49" s="275">
        <v>2605</v>
      </c>
      <c r="D49" s="275">
        <v>58</v>
      </c>
      <c r="E49" s="275">
        <v>36966</v>
      </c>
      <c r="F49" s="275"/>
      <c r="G49" s="275"/>
      <c r="H49" s="275">
        <v>28773</v>
      </c>
    </row>
    <row r="50" spans="2:8" hidden="1" outlineLevel="1" x14ac:dyDescent="0.25">
      <c r="B50" s="288">
        <v>41000</v>
      </c>
      <c r="C50" s="275">
        <v>982</v>
      </c>
      <c r="D50" s="275">
        <v>44</v>
      </c>
      <c r="E50" s="275">
        <v>16479</v>
      </c>
      <c r="F50" s="275"/>
      <c r="G50" s="275"/>
      <c r="H50" s="275">
        <v>16232</v>
      </c>
    </row>
    <row r="51" spans="2:8" hidden="1" outlineLevel="1" x14ac:dyDescent="0.25">
      <c r="B51" s="288">
        <v>41030</v>
      </c>
      <c r="C51" s="275">
        <v>3220</v>
      </c>
      <c r="D51" s="275">
        <v>72</v>
      </c>
      <c r="E51" s="275">
        <v>28814</v>
      </c>
      <c r="F51" s="275"/>
      <c r="G51" s="275"/>
      <c r="H51" s="275">
        <v>23849</v>
      </c>
    </row>
    <row r="52" spans="2:8" hidden="1" outlineLevel="1" x14ac:dyDescent="0.25">
      <c r="B52" s="288">
        <v>41061</v>
      </c>
      <c r="C52" s="275">
        <v>1267</v>
      </c>
      <c r="D52" s="275">
        <v>49</v>
      </c>
      <c r="E52" s="275">
        <v>25375</v>
      </c>
      <c r="F52" s="275"/>
      <c r="G52" s="275"/>
      <c r="H52" s="275">
        <v>22057</v>
      </c>
    </row>
    <row r="53" spans="2:8" hidden="1" outlineLevel="1" x14ac:dyDescent="0.25">
      <c r="B53" s="288">
        <v>41091</v>
      </c>
      <c r="C53" s="275">
        <v>1000</v>
      </c>
      <c r="D53" s="275">
        <v>53</v>
      </c>
      <c r="E53" s="275">
        <v>23209</v>
      </c>
      <c r="F53" s="275"/>
      <c r="G53" s="275"/>
      <c r="H53" s="275">
        <v>21672</v>
      </c>
    </row>
    <row r="54" spans="2:8" hidden="1" outlineLevel="1" x14ac:dyDescent="0.25">
      <c r="B54" s="288">
        <v>41122</v>
      </c>
      <c r="C54" s="275">
        <v>1130</v>
      </c>
      <c r="D54" s="275">
        <v>58</v>
      </c>
      <c r="E54" s="275">
        <v>21429</v>
      </c>
      <c r="F54" s="275"/>
      <c r="G54" s="275"/>
      <c r="H54" s="275">
        <v>20285</v>
      </c>
    </row>
    <row r="55" spans="2:8" hidden="1" outlineLevel="1" x14ac:dyDescent="0.25">
      <c r="B55" s="288">
        <v>41153</v>
      </c>
      <c r="C55" s="275">
        <v>1082</v>
      </c>
      <c r="D55" s="275">
        <v>56</v>
      </c>
      <c r="E55" s="275">
        <v>26360</v>
      </c>
      <c r="F55" s="275"/>
      <c r="G55" s="275"/>
      <c r="H55" s="275">
        <v>23448</v>
      </c>
    </row>
    <row r="56" spans="2:8" hidden="1" outlineLevel="1" x14ac:dyDescent="0.25">
      <c r="B56" s="288">
        <v>41183</v>
      </c>
      <c r="C56" s="275">
        <v>1205</v>
      </c>
      <c r="D56" s="275">
        <v>63</v>
      </c>
      <c r="E56" s="275">
        <v>24056</v>
      </c>
      <c r="F56" s="275"/>
      <c r="G56" s="275"/>
      <c r="H56" s="275">
        <v>22693</v>
      </c>
    </row>
    <row r="57" spans="2:8" hidden="1" outlineLevel="1" x14ac:dyDescent="0.25">
      <c r="B57" s="288">
        <v>41214</v>
      </c>
      <c r="C57" s="275">
        <v>637</v>
      </c>
      <c r="D57" s="275">
        <v>47</v>
      </c>
      <c r="E57" s="275">
        <v>19225</v>
      </c>
      <c r="F57" s="275"/>
      <c r="G57" s="275"/>
      <c r="H57" s="275">
        <v>18399</v>
      </c>
    </row>
    <row r="58" spans="2:8" hidden="1" outlineLevel="1" x14ac:dyDescent="0.25">
      <c r="B58" s="288">
        <v>41244</v>
      </c>
      <c r="C58" s="275">
        <v>840</v>
      </c>
      <c r="D58" s="275">
        <v>32</v>
      </c>
      <c r="E58" s="275">
        <v>11256</v>
      </c>
      <c r="F58" s="275"/>
      <c r="G58" s="275"/>
      <c r="H58" s="275">
        <v>10911</v>
      </c>
    </row>
    <row r="59" spans="2:8" collapsed="1" x14ac:dyDescent="0.25">
      <c r="B59" s="388" t="s">
        <v>935</v>
      </c>
      <c r="C59" s="279">
        <v>1340.9166666666667</v>
      </c>
      <c r="D59" s="279">
        <v>54.583333333333336</v>
      </c>
      <c r="E59" s="279">
        <v>23280.083333333332</v>
      </c>
      <c r="F59" s="279"/>
      <c r="G59" s="279"/>
      <c r="H59" s="279">
        <v>20683.25</v>
      </c>
    </row>
    <row r="60" spans="2:8" hidden="1" outlineLevel="1" x14ac:dyDescent="0.25">
      <c r="B60" s="288">
        <v>41275</v>
      </c>
      <c r="C60" s="275">
        <v>931</v>
      </c>
      <c r="D60" s="275">
        <v>56</v>
      </c>
      <c r="E60" s="275">
        <v>40005</v>
      </c>
      <c r="F60" s="275"/>
      <c r="G60" s="275"/>
      <c r="H60" s="275">
        <v>27853</v>
      </c>
    </row>
    <row r="61" spans="2:8" hidden="1" outlineLevel="1" x14ac:dyDescent="0.25">
      <c r="B61" s="288">
        <v>41306</v>
      </c>
      <c r="C61" s="275">
        <v>1270</v>
      </c>
      <c r="D61" s="275">
        <v>64</v>
      </c>
      <c r="E61" s="275">
        <v>24170</v>
      </c>
      <c r="F61" s="275"/>
      <c r="G61" s="275"/>
      <c r="H61" s="275">
        <v>22694</v>
      </c>
    </row>
    <row r="62" spans="2:8" hidden="1" outlineLevel="1" x14ac:dyDescent="0.25">
      <c r="B62" s="288">
        <v>41334</v>
      </c>
      <c r="C62" s="275">
        <v>826</v>
      </c>
      <c r="D62" s="275">
        <v>41</v>
      </c>
      <c r="E62" s="275">
        <v>23845</v>
      </c>
      <c r="F62" s="275"/>
      <c r="G62" s="275"/>
      <c r="H62" s="275">
        <v>22309</v>
      </c>
    </row>
    <row r="63" spans="2:8" hidden="1" outlineLevel="1" x14ac:dyDescent="0.25">
      <c r="B63" s="288">
        <v>41365</v>
      </c>
      <c r="C63" s="275">
        <v>1037</v>
      </c>
      <c r="D63" s="275">
        <v>51</v>
      </c>
      <c r="E63" s="275">
        <v>26008</v>
      </c>
      <c r="F63" s="275"/>
      <c r="G63" s="275"/>
      <c r="H63" s="275">
        <v>23693</v>
      </c>
    </row>
    <row r="64" spans="2:8" hidden="1" outlineLevel="1" x14ac:dyDescent="0.25">
      <c r="B64" s="288">
        <v>41395</v>
      </c>
      <c r="C64" s="275">
        <v>436</v>
      </c>
      <c r="D64" s="275">
        <v>34</v>
      </c>
      <c r="E64" s="275">
        <v>21038</v>
      </c>
      <c r="F64" s="275"/>
      <c r="G64" s="275"/>
      <c r="H64" s="275">
        <v>19845</v>
      </c>
    </row>
    <row r="65" spans="2:8" hidden="1" outlineLevel="1" x14ac:dyDescent="0.25">
      <c r="B65" s="288">
        <v>41426</v>
      </c>
      <c r="C65" s="275">
        <v>848</v>
      </c>
      <c r="D65" s="275">
        <v>44</v>
      </c>
      <c r="E65" s="275">
        <v>22037</v>
      </c>
      <c r="F65" s="275"/>
      <c r="G65" s="275"/>
      <c r="H65" s="275">
        <v>20065</v>
      </c>
    </row>
    <row r="66" spans="2:8" hidden="1" outlineLevel="1" x14ac:dyDescent="0.25">
      <c r="B66" s="288">
        <v>41456</v>
      </c>
      <c r="C66" s="275">
        <v>747</v>
      </c>
      <c r="D66" s="275">
        <v>36</v>
      </c>
      <c r="E66" s="275">
        <v>22506</v>
      </c>
      <c r="F66" s="275"/>
      <c r="G66" s="275"/>
      <c r="H66" s="275">
        <v>20780</v>
      </c>
    </row>
    <row r="67" spans="2:8" hidden="1" outlineLevel="1" x14ac:dyDescent="0.25">
      <c r="B67" s="288">
        <v>41487</v>
      </c>
      <c r="C67" s="275">
        <v>719</v>
      </c>
      <c r="D67" s="275">
        <v>35</v>
      </c>
      <c r="E67" s="275">
        <v>23869</v>
      </c>
      <c r="F67" s="275"/>
      <c r="G67" s="275"/>
      <c r="H67" s="275">
        <v>21924</v>
      </c>
    </row>
    <row r="68" spans="2:8" hidden="1" outlineLevel="1" x14ac:dyDescent="0.25">
      <c r="B68" s="288">
        <v>41518</v>
      </c>
      <c r="C68" s="275">
        <v>908</v>
      </c>
      <c r="D68" s="275">
        <v>30</v>
      </c>
      <c r="E68" s="275">
        <v>22797</v>
      </c>
      <c r="F68" s="275"/>
      <c r="G68" s="275"/>
      <c r="H68" s="275">
        <v>21715</v>
      </c>
    </row>
    <row r="69" spans="2:8" hidden="1" outlineLevel="1" x14ac:dyDescent="0.25">
      <c r="B69" s="288">
        <v>41548</v>
      </c>
      <c r="C69" s="275">
        <v>907</v>
      </c>
      <c r="D69" s="275">
        <v>34</v>
      </c>
      <c r="E69" s="275">
        <v>23258</v>
      </c>
      <c r="F69" s="275"/>
      <c r="G69" s="275"/>
      <c r="H69" s="275">
        <v>22266</v>
      </c>
    </row>
    <row r="70" spans="2:8" hidden="1" outlineLevel="1" x14ac:dyDescent="0.25">
      <c r="B70" s="288">
        <v>41579</v>
      </c>
      <c r="C70" s="275">
        <v>684</v>
      </c>
      <c r="D70" s="275">
        <v>32</v>
      </c>
      <c r="E70" s="275">
        <v>21758</v>
      </c>
      <c r="F70" s="275"/>
      <c r="G70" s="275"/>
      <c r="H70" s="275">
        <v>20561</v>
      </c>
    </row>
    <row r="71" spans="2:8" hidden="1" outlineLevel="1" x14ac:dyDescent="0.25">
      <c r="B71" s="288">
        <v>41609</v>
      </c>
      <c r="C71" s="275">
        <v>731</v>
      </c>
      <c r="D71" s="275">
        <v>40</v>
      </c>
      <c r="E71" s="275">
        <v>21567</v>
      </c>
      <c r="F71" s="275"/>
      <c r="G71" s="275"/>
      <c r="H71" s="275">
        <v>20466</v>
      </c>
    </row>
    <row r="72" spans="2:8" collapsed="1" x14ac:dyDescent="0.25">
      <c r="B72" s="388" t="s">
        <v>936</v>
      </c>
      <c r="C72" s="279">
        <v>837</v>
      </c>
      <c r="D72" s="279">
        <v>41.416666666666664</v>
      </c>
      <c r="E72" s="279">
        <v>24404.833333333332</v>
      </c>
      <c r="F72" s="279"/>
      <c r="G72" s="279"/>
      <c r="H72" s="279">
        <v>22014.25</v>
      </c>
    </row>
    <row r="73" spans="2:8" hidden="1" outlineLevel="1" x14ac:dyDescent="0.25">
      <c r="B73" s="288">
        <v>41640</v>
      </c>
      <c r="C73" s="275">
        <v>642</v>
      </c>
      <c r="D73" s="275">
        <v>27</v>
      </c>
      <c r="E73" s="275">
        <v>16702</v>
      </c>
      <c r="F73" s="275"/>
      <c r="G73" s="275"/>
      <c r="H73" s="275">
        <v>15794</v>
      </c>
    </row>
    <row r="74" spans="2:8" hidden="1" outlineLevel="1" x14ac:dyDescent="0.25">
      <c r="B74" s="288">
        <v>41671</v>
      </c>
      <c r="C74" s="275">
        <v>687</v>
      </c>
      <c r="D74" s="275">
        <v>25</v>
      </c>
      <c r="E74" s="275">
        <v>23938</v>
      </c>
      <c r="F74" s="275"/>
      <c r="G74" s="275"/>
      <c r="H74" s="275">
        <v>20912</v>
      </c>
    </row>
    <row r="75" spans="2:8" hidden="1" outlineLevel="1" x14ac:dyDescent="0.25">
      <c r="B75" s="288">
        <v>41699</v>
      </c>
      <c r="C75" s="275">
        <v>1022</v>
      </c>
      <c r="D75" s="275">
        <v>47</v>
      </c>
      <c r="E75" s="275">
        <v>28622</v>
      </c>
      <c r="F75" s="275"/>
      <c r="G75" s="275"/>
      <c r="H75" s="275">
        <v>24920</v>
      </c>
    </row>
    <row r="76" spans="2:8" hidden="1" outlineLevel="1" x14ac:dyDescent="0.25">
      <c r="B76" s="288">
        <v>41730</v>
      </c>
      <c r="C76" s="275">
        <v>645</v>
      </c>
      <c r="D76" s="275">
        <v>29</v>
      </c>
      <c r="E76" s="275">
        <v>22470</v>
      </c>
      <c r="F76" s="275"/>
      <c r="G76" s="275"/>
      <c r="H76" s="275">
        <v>20858</v>
      </c>
    </row>
    <row r="77" spans="2:8" hidden="1" outlineLevel="1" x14ac:dyDescent="0.25">
      <c r="B77" s="288">
        <v>41760</v>
      </c>
      <c r="C77" s="275">
        <v>697</v>
      </c>
      <c r="D77" s="275">
        <v>31</v>
      </c>
      <c r="E77" s="275">
        <v>14929</v>
      </c>
      <c r="F77" s="275"/>
      <c r="G77" s="275"/>
      <c r="H77" s="275">
        <v>13783</v>
      </c>
    </row>
    <row r="78" spans="2:8" hidden="1" outlineLevel="1" x14ac:dyDescent="0.25">
      <c r="B78" s="288">
        <v>41791</v>
      </c>
      <c r="C78" s="275">
        <v>708</v>
      </c>
      <c r="D78" s="275">
        <v>29</v>
      </c>
      <c r="E78" s="275">
        <v>28107</v>
      </c>
      <c r="F78" s="275"/>
      <c r="G78" s="275"/>
      <c r="H78" s="275">
        <v>22029</v>
      </c>
    </row>
    <row r="79" spans="2:8" hidden="1" outlineLevel="1" x14ac:dyDescent="0.25">
      <c r="B79" s="288">
        <v>41821</v>
      </c>
      <c r="C79" s="275">
        <v>848</v>
      </c>
      <c r="D79" s="275">
        <v>30</v>
      </c>
      <c r="E79" s="275">
        <v>20305</v>
      </c>
      <c r="F79" s="275"/>
      <c r="G79" s="275"/>
      <c r="H79" s="275">
        <v>18703</v>
      </c>
    </row>
    <row r="80" spans="2:8" hidden="1" outlineLevel="1" x14ac:dyDescent="0.25">
      <c r="B80" s="288">
        <v>41852</v>
      </c>
      <c r="C80" s="275">
        <v>418</v>
      </c>
      <c r="D80" s="275">
        <v>21</v>
      </c>
      <c r="E80" s="275">
        <v>20026</v>
      </c>
      <c r="F80" s="275"/>
      <c r="G80" s="275"/>
      <c r="H80" s="275">
        <v>17896</v>
      </c>
    </row>
    <row r="81" spans="2:8" hidden="1" outlineLevel="1" x14ac:dyDescent="0.25">
      <c r="B81" s="288">
        <v>41883</v>
      </c>
      <c r="C81" s="275">
        <v>449</v>
      </c>
      <c r="D81" s="275">
        <v>20</v>
      </c>
      <c r="E81" s="275">
        <v>17518</v>
      </c>
      <c r="F81" s="275"/>
      <c r="G81" s="275"/>
      <c r="H81" s="275">
        <v>15614</v>
      </c>
    </row>
    <row r="82" spans="2:8" hidden="1" outlineLevel="1" x14ac:dyDescent="0.25">
      <c r="B82" s="288">
        <v>41913</v>
      </c>
      <c r="C82" s="275">
        <v>386</v>
      </c>
      <c r="D82" s="275">
        <v>21</v>
      </c>
      <c r="E82" s="275">
        <v>25867</v>
      </c>
      <c r="F82" s="275"/>
      <c r="G82" s="275"/>
      <c r="H82" s="275">
        <v>21002</v>
      </c>
    </row>
    <row r="83" spans="2:8" hidden="1" outlineLevel="1" x14ac:dyDescent="0.25">
      <c r="B83" s="288">
        <v>41944</v>
      </c>
      <c r="C83" s="275">
        <v>614</v>
      </c>
      <c r="D83" s="275">
        <v>17</v>
      </c>
      <c r="E83" s="275">
        <v>16769</v>
      </c>
      <c r="F83" s="275"/>
      <c r="G83" s="275"/>
      <c r="H83" s="275">
        <v>15842</v>
      </c>
    </row>
    <row r="84" spans="2:8" hidden="1" outlineLevel="1" x14ac:dyDescent="0.25">
      <c r="B84" s="288">
        <v>41974</v>
      </c>
      <c r="C84" s="275">
        <v>534</v>
      </c>
      <c r="D84" s="275">
        <v>22</v>
      </c>
      <c r="E84" s="275">
        <v>23318</v>
      </c>
      <c r="F84" s="275"/>
      <c r="G84" s="275"/>
      <c r="H84" s="275">
        <v>20226</v>
      </c>
    </row>
    <row r="85" spans="2:8" collapsed="1" x14ac:dyDescent="0.25">
      <c r="B85" s="388" t="s">
        <v>937</v>
      </c>
      <c r="C85" s="279">
        <v>637.5</v>
      </c>
      <c r="D85" s="279">
        <v>26.583333333333332</v>
      </c>
      <c r="E85" s="279">
        <v>21547.583333333332</v>
      </c>
      <c r="F85" s="279"/>
      <c r="G85" s="279"/>
      <c r="H85" s="279">
        <v>18964.916666666668</v>
      </c>
    </row>
    <row r="86" spans="2:8" hidden="1" outlineLevel="1" x14ac:dyDescent="0.25">
      <c r="B86" s="288">
        <v>42005</v>
      </c>
      <c r="C86" s="275">
        <v>478</v>
      </c>
      <c r="D86" s="275">
        <v>21</v>
      </c>
      <c r="E86" s="275">
        <v>23056</v>
      </c>
      <c r="F86" s="275"/>
      <c r="G86" s="275"/>
      <c r="H86" s="275">
        <v>21061</v>
      </c>
    </row>
    <row r="87" spans="2:8" hidden="1" outlineLevel="1" x14ac:dyDescent="0.25">
      <c r="B87" s="288">
        <v>42036</v>
      </c>
      <c r="C87" s="275">
        <v>361</v>
      </c>
      <c r="D87" s="275">
        <v>24</v>
      </c>
      <c r="E87" s="275">
        <v>18524</v>
      </c>
      <c r="F87" s="275"/>
      <c r="G87" s="275"/>
      <c r="H87" s="275">
        <v>17192</v>
      </c>
    </row>
    <row r="88" spans="2:8" hidden="1" outlineLevel="1" x14ac:dyDescent="0.25">
      <c r="B88" s="288">
        <v>42064</v>
      </c>
      <c r="C88" s="275">
        <v>712</v>
      </c>
      <c r="D88" s="275">
        <v>28</v>
      </c>
      <c r="E88" s="275">
        <v>26002</v>
      </c>
      <c r="F88" s="275"/>
      <c r="G88" s="275"/>
      <c r="H88" s="275">
        <v>22027</v>
      </c>
    </row>
    <row r="89" spans="2:8" hidden="1" outlineLevel="1" x14ac:dyDescent="0.25">
      <c r="B89" s="288">
        <v>42095</v>
      </c>
      <c r="C89" s="275">
        <v>255</v>
      </c>
      <c r="D89" s="275">
        <v>22</v>
      </c>
      <c r="E89" s="275">
        <v>23093</v>
      </c>
      <c r="F89" s="275"/>
      <c r="G89" s="275"/>
      <c r="H89" s="275">
        <v>21546</v>
      </c>
    </row>
    <row r="90" spans="2:8" hidden="1" outlineLevel="1" x14ac:dyDescent="0.25">
      <c r="B90" s="288">
        <v>42125</v>
      </c>
      <c r="C90" s="275">
        <v>891</v>
      </c>
      <c r="D90" s="275">
        <v>21</v>
      </c>
      <c r="E90" s="275">
        <v>22362</v>
      </c>
      <c r="F90" s="275"/>
      <c r="G90" s="275"/>
      <c r="H90" s="275">
        <v>20850</v>
      </c>
    </row>
    <row r="91" spans="2:8" hidden="1" outlineLevel="1" x14ac:dyDescent="0.25">
      <c r="B91" s="288">
        <v>42156</v>
      </c>
      <c r="C91" s="275">
        <v>117</v>
      </c>
      <c r="D91" s="275">
        <v>14</v>
      </c>
      <c r="E91" s="275">
        <v>12627</v>
      </c>
      <c r="F91" s="275"/>
      <c r="G91" s="275"/>
      <c r="H91" s="275">
        <v>11681</v>
      </c>
    </row>
    <row r="92" spans="2:8" hidden="1" outlineLevel="1" x14ac:dyDescent="0.25">
      <c r="B92" s="288">
        <v>42186</v>
      </c>
      <c r="C92" s="275">
        <v>181</v>
      </c>
      <c r="D92" s="275">
        <v>18</v>
      </c>
      <c r="E92" s="275">
        <v>19638</v>
      </c>
      <c r="F92" s="275"/>
      <c r="G92" s="275"/>
      <c r="H92" s="275">
        <v>18282</v>
      </c>
    </row>
    <row r="93" spans="2:8" hidden="1" outlineLevel="1" x14ac:dyDescent="0.25">
      <c r="B93" s="288">
        <v>42217</v>
      </c>
      <c r="C93" s="275">
        <v>128</v>
      </c>
      <c r="D93" s="275">
        <v>14</v>
      </c>
      <c r="E93" s="275">
        <v>21146</v>
      </c>
      <c r="F93" s="275"/>
      <c r="G93" s="275"/>
      <c r="H93" s="275">
        <v>19598</v>
      </c>
    </row>
    <row r="94" spans="2:8" hidden="1" outlineLevel="1" x14ac:dyDescent="0.25">
      <c r="B94" s="288">
        <v>42248</v>
      </c>
      <c r="C94" s="275">
        <v>161</v>
      </c>
      <c r="D94" s="275">
        <v>18</v>
      </c>
      <c r="E94" s="275">
        <v>27499</v>
      </c>
      <c r="F94" s="275"/>
      <c r="G94" s="275"/>
      <c r="H94" s="275">
        <v>21738</v>
      </c>
    </row>
    <row r="95" spans="2:8" hidden="1" outlineLevel="1" x14ac:dyDescent="0.25">
      <c r="B95" s="288">
        <v>42278</v>
      </c>
      <c r="C95" s="275">
        <v>195</v>
      </c>
      <c r="D95" s="275">
        <v>21</v>
      </c>
      <c r="E95" s="275">
        <v>25195</v>
      </c>
      <c r="F95" s="275"/>
      <c r="G95" s="275"/>
      <c r="H95" s="275">
        <v>20911</v>
      </c>
    </row>
    <row r="96" spans="2:8" hidden="1" outlineLevel="1" x14ac:dyDescent="0.25">
      <c r="B96" s="288">
        <v>42309</v>
      </c>
      <c r="C96" s="275">
        <v>225</v>
      </c>
      <c r="D96" s="275">
        <v>20</v>
      </c>
      <c r="E96" s="275">
        <v>22695</v>
      </c>
      <c r="F96" s="275"/>
      <c r="G96" s="275"/>
      <c r="H96" s="275">
        <v>19610</v>
      </c>
    </row>
    <row r="97" spans="2:8" hidden="1" outlineLevel="1" x14ac:dyDescent="0.25">
      <c r="B97" s="288">
        <v>42339</v>
      </c>
      <c r="C97" s="275">
        <v>212</v>
      </c>
      <c r="D97" s="275">
        <v>27</v>
      </c>
      <c r="E97" s="275">
        <v>22984</v>
      </c>
      <c r="F97" s="275"/>
      <c r="G97" s="275"/>
      <c r="H97" s="275">
        <v>20973</v>
      </c>
    </row>
    <row r="98" spans="2:8" collapsed="1" x14ac:dyDescent="0.25">
      <c r="B98" s="388" t="s">
        <v>938</v>
      </c>
      <c r="C98" s="279">
        <v>326.33333333333331</v>
      </c>
      <c r="D98" s="279">
        <v>20.666666666666668</v>
      </c>
      <c r="E98" s="279">
        <v>22068.416666666668</v>
      </c>
      <c r="F98" s="279"/>
      <c r="G98" s="279"/>
      <c r="H98" s="279">
        <v>19622.416666666668</v>
      </c>
    </row>
    <row r="99" spans="2:8" hidden="1" outlineLevel="1" x14ac:dyDescent="0.25">
      <c r="B99" s="288">
        <v>42370</v>
      </c>
      <c r="C99" s="275">
        <v>352</v>
      </c>
      <c r="D99" s="275">
        <v>37</v>
      </c>
      <c r="E99" s="275">
        <v>22006</v>
      </c>
      <c r="F99" s="275"/>
      <c r="G99" s="275"/>
      <c r="H99" s="275">
        <v>20462</v>
      </c>
    </row>
    <row r="100" spans="2:8" hidden="1" outlineLevel="1" x14ac:dyDescent="0.25">
      <c r="B100" s="288">
        <v>42401</v>
      </c>
      <c r="C100" s="275">
        <v>370</v>
      </c>
      <c r="D100" s="275">
        <v>34</v>
      </c>
      <c r="E100" s="275">
        <v>21509</v>
      </c>
      <c r="F100" s="275"/>
      <c r="G100" s="275"/>
      <c r="H100" s="275">
        <v>20333</v>
      </c>
    </row>
    <row r="101" spans="2:8" hidden="1" outlineLevel="1" x14ac:dyDescent="0.25">
      <c r="B101" s="288">
        <v>42430</v>
      </c>
      <c r="C101" s="275">
        <v>389</v>
      </c>
      <c r="D101" s="275">
        <v>23</v>
      </c>
      <c r="E101" s="275">
        <v>21336</v>
      </c>
      <c r="F101" s="275"/>
      <c r="G101" s="275"/>
      <c r="H101" s="275">
        <v>19910</v>
      </c>
    </row>
    <row r="102" spans="2:8" hidden="1" outlineLevel="1" x14ac:dyDescent="0.25">
      <c r="B102" s="288">
        <v>42461</v>
      </c>
      <c r="C102" s="275">
        <v>285</v>
      </c>
      <c r="D102" s="275">
        <v>18</v>
      </c>
      <c r="E102" s="275">
        <v>5659</v>
      </c>
      <c r="F102" s="275"/>
      <c r="G102" s="275"/>
      <c r="H102" s="275">
        <v>5480</v>
      </c>
    </row>
    <row r="103" spans="2:8" hidden="1" outlineLevel="1" x14ac:dyDescent="0.25">
      <c r="B103" s="288">
        <v>42491</v>
      </c>
      <c r="C103" s="275">
        <v>288</v>
      </c>
      <c r="D103" s="275">
        <v>16</v>
      </c>
      <c r="E103" s="275">
        <v>6651</v>
      </c>
      <c r="F103" s="275">
        <v>3426</v>
      </c>
      <c r="G103" s="275">
        <v>2372</v>
      </c>
      <c r="H103" s="275">
        <v>5798</v>
      </c>
    </row>
    <row r="104" spans="2:8" hidden="1" outlineLevel="1" x14ac:dyDescent="0.25">
      <c r="B104" s="288">
        <v>42522</v>
      </c>
      <c r="C104" s="275">
        <v>21</v>
      </c>
      <c r="D104" s="275">
        <v>15</v>
      </c>
      <c r="E104" s="275">
        <v>5426</v>
      </c>
      <c r="F104" s="275">
        <v>2014</v>
      </c>
      <c r="G104" s="275">
        <v>2742</v>
      </c>
      <c r="H104" s="275">
        <v>4756</v>
      </c>
    </row>
    <row r="105" spans="2:8" hidden="1" outlineLevel="1" x14ac:dyDescent="0.25">
      <c r="B105" s="288">
        <v>42552</v>
      </c>
      <c r="C105" s="275">
        <v>9</v>
      </c>
      <c r="D105" s="275">
        <v>9</v>
      </c>
      <c r="E105" s="275">
        <v>3253</v>
      </c>
      <c r="F105" s="275">
        <v>1416</v>
      </c>
      <c r="G105" s="275">
        <v>1620</v>
      </c>
      <c r="H105" s="275">
        <v>3036</v>
      </c>
    </row>
    <row r="106" spans="2:8" hidden="1" outlineLevel="1" x14ac:dyDescent="0.25">
      <c r="B106" s="288">
        <v>42583</v>
      </c>
      <c r="C106" s="275">
        <v>13</v>
      </c>
      <c r="D106" s="275">
        <v>10</v>
      </c>
      <c r="E106" s="275">
        <v>3343</v>
      </c>
      <c r="F106" s="275">
        <v>1336</v>
      </c>
      <c r="G106" s="275">
        <v>1688</v>
      </c>
      <c r="H106" s="275">
        <v>3024</v>
      </c>
    </row>
    <row r="107" spans="2:8" hidden="1" outlineLevel="1" x14ac:dyDescent="0.25">
      <c r="B107" s="288">
        <v>42614</v>
      </c>
      <c r="C107" s="275">
        <v>16</v>
      </c>
      <c r="D107" s="275">
        <v>11</v>
      </c>
      <c r="E107" s="275">
        <v>3298</v>
      </c>
      <c r="F107" s="275">
        <v>1358</v>
      </c>
      <c r="G107" s="275">
        <v>1715</v>
      </c>
      <c r="H107" s="275">
        <v>3073</v>
      </c>
    </row>
    <row r="108" spans="2:8" hidden="1" outlineLevel="1" x14ac:dyDescent="0.25">
      <c r="B108" s="288">
        <v>42644</v>
      </c>
      <c r="C108" s="275">
        <v>28</v>
      </c>
      <c r="D108" s="275">
        <v>12</v>
      </c>
      <c r="E108" s="275">
        <v>3465</v>
      </c>
      <c r="F108" s="275">
        <v>1455</v>
      </c>
      <c r="G108" s="275">
        <v>1819</v>
      </c>
      <c r="H108" s="275">
        <v>3274</v>
      </c>
    </row>
    <row r="109" spans="2:8" hidden="1" outlineLevel="1" x14ac:dyDescent="0.25">
      <c r="B109" s="288">
        <v>42675</v>
      </c>
      <c r="C109" s="275">
        <v>38</v>
      </c>
      <c r="D109" s="275">
        <v>13</v>
      </c>
      <c r="E109" s="275">
        <v>3225</v>
      </c>
      <c r="F109" s="275">
        <v>1369</v>
      </c>
      <c r="G109" s="275">
        <v>1699</v>
      </c>
      <c r="H109" s="275">
        <v>3068</v>
      </c>
    </row>
    <row r="110" spans="2:8" hidden="1" outlineLevel="1" x14ac:dyDescent="0.25">
      <c r="B110" s="288">
        <v>42705</v>
      </c>
      <c r="C110" s="275">
        <v>48</v>
      </c>
      <c r="D110" s="275">
        <v>20</v>
      </c>
      <c r="E110" s="275">
        <v>2951</v>
      </c>
      <c r="F110" s="275">
        <v>1273</v>
      </c>
      <c r="G110" s="275">
        <v>1530</v>
      </c>
      <c r="H110" s="275">
        <v>2803</v>
      </c>
    </row>
    <row r="111" spans="2:8" collapsed="1" x14ac:dyDescent="0.25">
      <c r="B111" s="388" t="s">
        <v>939</v>
      </c>
      <c r="C111" s="279">
        <v>154.75</v>
      </c>
      <c r="D111" s="279">
        <v>18.166666666666668</v>
      </c>
      <c r="E111" s="279">
        <v>8510.1666666666661</v>
      </c>
      <c r="F111" s="279">
        <v>1705.875</v>
      </c>
      <c r="G111" s="279">
        <v>1898.125</v>
      </c>
      <c r="H111" s="279">
        <v>7918.083333333333</v>
      </c>
    </row>
    <row r="112" spans="2:8" hidden="1" outlineLevel="1" x14ac:dyDescent="0.25">
      <c r="B112" s="288">
        <v>42736</v>
      </c>
      <c r="C112" s="275">
        <v>28</v>
      </c>
      <c r="D112" s="275">
        <v>16</v>
      </c>
      <c r="E112" s="275">
        <v>4231</v>
      </c>
      <c r="F112" s="275">
        <v>1377</v>
      </c>
      <c r="G112" s="275">
        <v>2288</v>
      </c>
      <c r="H112" s="275">
        <v>3665</v>
      </c>
    </row>
    <row r="113" spans="2:8" hidden="1" outlineLevel="1" x14ac:dyDescent="0.25">
      <c r="B113" s="288">
        <v>42767</v>
      </c>
      <c r="C113" s="275">
        <v>40</v>
      </c>
      <c r="D113" s="275">
        <v>21</v>
      </c>
      <c r="E113" s="275">
        <v>2725</v>
      </c>
      <c r="F113" s="275">
        <v>1152</v>
      </c>
      <c r="G113" s="275">
        <v>1411</v>
      </c>
      <c r="H113" s="275">
        <v>2563</v>
      </c>
    </row>
    <row r="114" spans="2:8" hidden="1" outlineLevel="1" x14ac:dyDescent="0.25">
      <c r="B114" s="288">
        <v>42795</v>
      </c>
      <c r="C114" s="275">
        <v>51</v>
      </c>
      <c r="D114" s="275">
        <v>19</v>
      </c>
      <c r="E114" s="275">
        <v>2482</v>
      </c>
      <c r="F114" s="275">
        <v>1042</v>
      </c>
      <c r="G114" s="275">
        <v>1321</v>
      </c>
      <c r="H114" s="275">
        <v>2363</v>
      </c>
    </row>
    <row r="115" spans="2:8" hidden="1" outlineLevel="1" x14ac:dyDescent="0.25">
      <c r="B115" s="288">
        <v>42826</v>
      </c>
      <c r="C115" s="275">
        <v>52</v>
      </c>
      <c r="D115" s="275">
        <v>16</v>
      </c>
      <c r="E115" s="275">
        <v>2908</v>
      </c>
      <c r="F115" s="275">
        <v>1301</v>
      </c>
      <c r="G115" s="275">
        <v>1304</v>
      </c>
      <c r="H115" s="275">
        <v>2605</v>
      </c>
    </row>
    <row r="116" spans="2:8" hidden="1" outlineLevel="1" x14ac:dyDescent="0.25">
      <c r="B116" s="288">
        <v>42856</v>
      </c>
      <c r="C116" s="275">
        <v>33</v>
      </c>
      <c r="D116" s="275">
        <v>11</v>
      </c>
      <c r="E116" s="275">
        <v>2762</v>
      </c>
      <c r="F116" s="275">
        <v>1203</v>
      </c>
      <c r="G116" s="275">
        <v>1396</v>
      </c>
      <c r="H116" s="275">
        <v>2599</v>
      </c>
    </row>
    <row r="117" spans="2:8" hidden="1" outlineLevel="1" x14ac:dyDescent="0.25">
      <c r="B117" s="288">
        <v>42887</v>
      </c>
      <c r="C117" s="275">
        <v>4096</v>
      </c>
      <c r="D117" s="275">
        <v>40</v>
      </c>
      <c r="E117" s="275">
        <v>176735</v>
      </c>
      <c r="F117" s="275">
        <v>21206</v>
      </c>
      <c r="G117" s="275">
        <v>29918</v>
      </c>
      <c r="H117" s="275">
        <v>51124</v>
      </c>
    </row>
    <row r="118" spans="2:8" hidden="1" outlineLevel="1" x14ac:dyDescent="0.25">
      <c r="B118" s="288">
        <v>42917</v>
      </c>
      <c r="C118" s="275">
        <v>6517</v>
      </c>
      <c r="D118" s="275">
        <v>46</v>
      </c>
      <c r="E118" s="275">
        <v>93102</v>
      </c>
      <c r="F118" s="275">
        <v>16060</v>
      </c>
      <c r="G118" s="275">
        <v>22383</v>
      </c>
      <c r="H118" s="275">
        <v>38443</v>
      </c>
    </row>
    <row r="119" spans="2:8" hidden="1" outlineLevel="1" x14ac:dyDescent="0.25">
      <c r="B119" s="288">
        <v>42948</v>
      </c>
      <c r="C119" s="275">
        <v>7909</v>
      </c>
      <c r="D119" s="275">
        <v>49</v>
      </c>
      <c r="E119" s="275">
        <v>2314</v>
      </c>
      <c r="F119" s="275">
        <v>1181</v>
      </c>
      <c r="G119" s="275">
        <v>999</v>
      </c>
      <c r="H119" s="275">
        <v>2180</v>
      </c>
    </row>
    <row r="120" spans="2:8" hidden="1" outlineLevel="1" x14ac:dyDescent="0.25">
      <c r="B120" s="288">
        <v>42979</v>
      </c>
      <c r="C120" s="275">
        <v>2045</v>
      </c>
      <c r="D120" s="275">
        <v>33</v>
      </c>
      <c r="E120" s="275">
        <v>37486</v>
      </c>
      <c r="F120" s="275">
        <v>9638</v>
      </c>
      <c r="G120" s="275">
        <v>14569</v>
      </c>
      <c r="H120" s="275">
        <v>24207</v>
      </c>
    </row>
    <row r="121" spans="2:8" hidden="1" outlineLevel="1" x14ac:dyDescent="0.25">
      <c r="B121" s="288">
        <v>43009</v>
      </c>
      <c r="C121" s="275">
        <v>1138</v>
      </c>
      <c r="D121" s="275">
        <v>31</v>
      </c>
      <c r="E121" s="275">
        <v>33256</v>
      </c>
      <c r="F121" s="275">
        <v>9130</v>
      </c>
      <c r="G121" s="275">
        <v>15883</v>
      </c>
      <c r="H121" s="275">
        <v>25013</v>
      </c>
    </row>
    <row r="122" spans="2:8" hidden="1" outlineLevel="1" x14ac:dyDescent="0.25">
      <c r="B122" s="288">
        <v>43040</v>
      </c>
      <c r="C122" s="275">
        <v>989</v>
      </c>
      <c r="D122" s="275">
        <v>32</v>
      </c>
      <c r="E122" s="275">
        <v>26590</v>
      </c>
      <c r="F122" s="275">
        <v>8080</v>
      </c>
      <c r="G122" s="275">
        <v>12842</v>
      </c>
      <c r="H122" s="275">
        <v>20922</v>
      </c>
    </row>
    <row r="123" spans="2:8" hidden="1" outlineLevel="1" x14ac:dyDescent="0.25">
      <c r="B123" s="288">
        <v>43070</v>
      </c>
      <c r="C123" s="275">
        <v>1027</v>
      </c>
      <c r="D123" s="275">
        <v>26</v>
      </c>
      <c r="E123" s="275">
        <v>18586</v>
      </c>
      <c r="F123" s="275">
        <v>7147</v>
      </c>
      <c r="G123" s="275">
        <v>10315</v>
      </c>
      <c r="H123" s="275">
        <v>17462</v>
      </c>
    </row>
    <row r="124" spans="2:8" collapsed="1" x14ac:dyDescent="0.25">
      <c r="B124" s="388" t="s">
        <v>940</v>
      </c>
      <c r="C124" s="279">
        <v>1993.75</v>
      </c>
      <c r="D124" s="279">
        <v>28.333333333333332</v>
      </c>
      <c r="E124" s="279">
        <v>33598.083333333336</v>
      </c>
      <c r="F124" s="279">
        <v>6543.083333333333</v>
      </c>
      <c r="G124" s="279">
        <v>9552.4166666666661</v>
      </c>
      <c r="H124" s="279">
        <v>16095.5</v>
      </c>
    </row>
    <row r="125" spans="2:8" hidden="1" outlineLevel="1" x14ac:dyDescent="0.25">
      <c r="B125" s="288">
        <v>43101</v>
      </c>
      <c r="C125" s="275">
        <v>1354</v>
      </c>
      <c r="D125" s="275">
        <v>30</v>
      </c>
      <c r="E125" s="275">
        <v>18570</v>
      </c>
      <c r="F125" s="275">
        <v>7039</v>
      </c>
      <c r="G125" s="275">
        <v>10476</v>
      </c>
      <c r="H125" s="275">
        <v>17515</v>
      </c>
    </row>
    <row r="126" spans="2:8" hidden="1" outlineLevel="1" x14ac:dyDescent="0.25">
      <c r="B126" s="288">
        <v>43132</v>
      </c>
      <c r="C126" s="275">
        <v>1044</v>
      </c>
      <c r="D126" s="275">
        <v>26</v>
      </c>
      <c r="E126" s="275">
        <v>12624</v>
      </c>
      <c r="F126" s="275">
        <v>7245</v>
      </c>
      <c r="G126" s="275">
        <v>4546</v>
      </c>
      <c r="H126" s="275">
        <v>11791</v>
      </c>
    </row>
    <row r="127" spans="2:8" hidden="1" outlineLevel="1" x14ac:dyDescent="0.25">
      <c r="B127" s="288">
        <v>43160</v>
      </c>
      <c r="C127" s="275">
        <v>923</v>
      </c>
      <c r="D127" s="275">
        <v>42</v>
      </c>
      <c r="E127" s="275">
        <v>19233</v>
      </c>
      <c r="F127" s="275">
        <v>7306</v>
      </c>
      <c r="G127" s="275">
        <v>10727</v>
      </c>
      <c r="H127" s="275">
        <v>18033</v>
      </c>
    </row>
    <row r="128" spans="2:8" hidden="1" outlineLevel="1" x14ac:dyDescent="0.25">
      <c r="B128" s="288">
        <v>43191</v>
      </c>
      <c r="C128" s="275">
        <v>1496</v>
      </c>
      <c r="D128" s="275">
        <v>53</v>
      </c>
      <c r="E128" s="275">
        <v>27469</v>
      </c>
      <c r="F128" s="275">
        <v>12706</v>
      </c>
      <c r="G128" s="275">
        <v>9262</v>
      </c>
      <c r="H128" s="275">
        <v>21968</v>
      </c>
    </row>
    <row r="129" spans="2:8" hidden="1" outlineLevel="1" x14ac:dyDescent="0.25">
      <c r="B129" s="288">
        <v>43221</v>
      </c>
      <c r="C129" s="275">
        <v>1099</v>
      </c>
      <c r="D129" s="275">
        <v>44</v>
      </c>
      <c r="E129" s="275">
        <v>19923</v>
      </c>
      <c r="F129" s="275">
        <v>7814</v>
      </c>
      <c r="G129" s="275">
        <v>11003</v>
      </c>
      <c r="H129" s="275">
        <v>18817</v>
      </c>
    </row>
    <row r="130" spans="2:8" hidden="1" outlineLevel="1" x14ac:dyDescent="0.25">
      <c r="B130" s="288">
        <v>43252</v>
      </c>
      <c r="C130" s="275">
        <v>2919</v>
      </c>
      <c r="D130" s="275">
        <v>53</v>
      </c>
      <c r="E130" s="275">
        <v>33135</v>
      </c>
      <c r="F130" s="275">
        <v>8927</v>
      </c>
      <c r="G130" s="275">
        <v>12977</v>
      </c>
      <c r="H130" s="275">
        <v>21904</v>
      </c>
    </row>
    <row r="131" spans="2:8" hidden="1" outlineLevel="1" x14ac:dyDescent="0.25">
      <c r="B131" s="288">
        <v>43282</v>
      </c>
      <c r="C131" s="275">
        <v>643</v>
      </c>
      <c r="D131" s="275">
        <v>53</v>
      </c>
      <c r="E131" s="275">
        <v>16559</v>
      </c>
      <c r="F131" s="275">
        <v>6259</v>
      </c>
      <c r="G131" s="275">
        <v>9397</v>
      </c>
      <c r="H131" s="275">
        <v>15656</v>
      </c>
    </row>
    <row r="132" spans="2:8" hidden="1" outlineLevel="1" x14ac:dyDescent="0.25">
      <c r="B132" s="288">
        <v>43313</v>
      </c>
      <c r="C132" s="275">
        <v>542</v>
      </c>
      <c r="D132" s="275">
        <v>55</v>
      </c>
      <c r="E132" s="275">
        <v>16468</v>
      </c>
      <c r="F132" s="275">
        <v>9380</v>
      </c>
      <c r="G132" s="275">
        <v>6293</v>
      </c>
      <c r="H132" s="275">
        <v>15673</v>
      </c>
    </row>
    <row r="133" spans="2:8" hidden="1" outlineLevel="1" x14ac:dyDescent="0.25">
      <c r="B133" s="288">
        <v>43344</v>
      </c>
      <c r="C133" s="275">
        <v>542</v>
      </c>
      <c r="D133" s="275">
        <v>47</v>
      </c>
      <c r="E133" s="275">
        <v>20636</v>
      </c>
      <c r="F133" s="275">
        <v>10966</v>
      </c>
      <c r="G133" s="275">
        <v>7467</v>
      </c>
      <c r="H133" s="275">
        <v>18433</v>
      </c>
    </row>
    <row r="134" spans="2:8" hidden="1" outlineLevel="1" x14ac:dyDescent="0.25">
      <c r="B134" s="288">
        <v>43374</v>
      </c>
      <c r="C134" s="275">
        <v>1166</v>
      </c>
      <c r="D134" s="275">
        <v>64</v>
      </c>
      <c r="E134" s="275">
        <v>18153</v>
      </c>
      <c r="F134" s="275">
        <v>6728</v>
      </c>
      <c r="G134" s="275">
        <v>9884</v>
      </c>
      <c r="H134" s="275">
        <v>16612</v>
      </c>
    </row>
    <row r="135" spans="2:8" hidden="1" outlineLevel="1" x14ac:dyDescent="0.25">
      <c r="B135" s="288">
        <v>43405</v>
      </c>
      <c r="C135" s="275">
        <v>684</v>
      </c>
      <c r="D135" s="275">
        <v>59</v>
      </c>
      <c r="E135" s="275">
        <v>22023</v>
      </c>
      <c r="F135" s="275">
        <v>10985</v>
      </c>
      <c r="G135" s="275">
        <v>7542</v>
      </c>
      <c r="H135" s="275">
        <v>18527</v>
      </c>
    </row>
    <row r="136" spans="2:8" hidden="1" outlineLevel="1" x14ac:dyDescent="0.25">
      <c r="B136" s="288">
        <v>43435</v>
      </c>
      <c r="C136" s="275">
        <v>1306</v>
      </c>
      <c r="D136" s="275">
        <v>51</v>
      </c>
      <c r="E136" s="275">
        <v>25922</v>
      </c>
      <c r="F136" s="275">
        <v>12754</v>
      </c>
      <c r="G136" s="275">
        <v>8814</v>
      </c>
      <c r="H136" s="275">
        <v>21568</v>
      </c>
    </row>
    <row r="137" spans="2:8" collapsed="1" x14ac:dyDescent="0.25">
      <c r="B137" s="388" t="s">
        <v>941</v>
      </c>
      <c r="C137" s="279">
        <v>1143.1666666666667</v>
      </c>
      <c r="D137" s="279">
        <v>48.083333333333336</v>
      </c>
      <c r="E137" s="279">
        <v>20892.916666666668</v>
      </c>
      <c r="F137" s="279">
        <v>9009.0833333333339</v>
      </c>
      <c r="G137" s="279">
        <v>9032.3333333333339</v>
      </c>
      <c r="H137" s="279">
        <v>18041.416666666668</v>
      </c>
    </row>
    <row r="138" spans="2:8" hidden="1" outlineLevel="1" x14ac:dyDescent="0.25">
      <c r="B138" s="288">
        <v>43466</v>
      </c>
      <c r="C138" s="275">
        <v>800</v>
      </c>
      <c r="D138" s="275">
        <v>51</v>
      </c>
      <c r="E138" s="275">
        <v>28255</v>
      </c>
      <c r="F138" s="275">
        <v>13972</v>
      </c>
      <c r="G138" s="275">
        <v>9596</v>
      </c>
      <c r="H138" s="275">
        <v>23568</v>
      </c>
    </row>
    <row r="139" spans="2:8" hidden="1" outlineLevel="1" x14ac:dyDescent="0.25">
      <c r="B139" s="288">
        <v>43497</v>
      </c>
      <c r="C139" s="275">
        <v>819</v>
      </c>
      <c r="D139" s="275">
        <v>47</v>
      </c>
      <c r="E139" s="275">
        <v>24473</v>
      </c>
      <c r="F139" s="275">
        <v>12346</v>
      </c>
      <c r="G139" s="275">
        <v>8362</v>
      </c>
      <c r="H139" s="275">
        <v>20708</v>
      </c>
    </row>
    <row r="140" spans="2:8" hidden="1" outlineLevel="1" x14ac:dyDescent="0.25">
      <c r="B140" s="288">
        <v>43525</v>
      </c>
      <c r="C140" s="275">
        <v>1105</v>
      </c>
      <c r="D140" s="275">
        <v>42</v>
      </c>
      <c r="E140" s="275">
        <v>20396</v>
      </c>
      <c r="F140" s="275">
        <v>11217</v>
      </c>
      <c r="G140" s="275">
        <v>7436</v>
      </c>
      <c r="H140" s="275">
        <v>18653</v>
      </c>
    </row>
    <row r="141" spans="2:8" hidden="1" outlineLevel="1" x14ac:dyDescent="0.25">
      <c r="B141" s="288">
        <v>43556</v>
      </c>
      <c r="C141" s="275">
        <v>1016</v>
      </c>
      <c r="D141" s="275">
        <v>35</v>
      </c>
      <c r="E141" s="275">
        <v>17319</v>
      </c>
      <c r="F141" s="275">
        <v>9829</v>
      </c>
      <c r="G141" s="275">
        <v>6577</v>
      </c>
      <c r="H141" s="275">
        <v>16406</v>
      </c>
    </row>
    <row r="142" spans="2:8" hidden="1" outlineLevel="1" x14ac:dyDescent="0.25">
      <c r="B142" s="288">
        <v>43586</v>
      </c>
      <c r="C142" s="275">
        <v>1094</v>
      </c>
      <c r="D142" s="275">
        <v>44</v>
      </c>
      <c r="E142" s="275">
        <v>26936</v>
      </c>
      <c r="F142" s="275">
        <v>8619</v>
      </c>
      <c r="G142" s="275">
        <v>12910</v>
      </c>
      <c r="H142" s="275">
        <v>21529</v>
      </c>
    </row>
    <row r="143" spans="2:8" hidden="1" outlineLevel="1" x14ac:dyDescent="0.25">
      <c r="B143" s="288">
        <v>43617</v>
      </c>
      <c r="C143" s="275">
        <v>962</v>
      </c>
      <c r="D143" s="275">
        <v>41</v>
      </c>
      <c r="E143" s="275">
        <v>17186</v>
      </c>
      <c r="F143" s="275">
        <v>6205</v>
      </c>
      <c r="G143" s="275">
        <v>9829</v>
      </c>
      <c r="H143" s="275">
        <v>16034</v>
      </c>
    </row>
    <row r="144" spans="2:8" hidden="1" outlineLevel="1" x14ac:dyDescent="0.25">
      <c r="B144" s="288">
        <v>43647</v>
      </c>
      <c r="C144" s="275">
        <v>1148</v>
      </c>
      <c r="D144" s="275">
        <v>41</v>
      </c>
      <c r="E144" s="275">
        <v>17113</v>
      </c>
      <c r="F144" s="275">
        <v>9788</v>
      </c>
      <c r="G144" s="275">
        <v>6179</v>
      </c>
      <c r="H144" s="275">
        <v>15967</v>
      </c>
    </row>
    <row r="145" spans="2:8" hidden="1" outlineLevel="1" x14ac:dyDescent="0.25">
      <c r="B145" s="288">
        <v>43678</v>
      </c>
      <c r="C145" s="275">
        <v>896</v>
      </c>
      <c r="D145" s="275">
        <v>34</v>
      </c>
      <c r="E145" s="275">
        <v>17644</v>
      </c>
      <c r="F145" s="275">
        <v>10151</v>
      </c>
      <c r="G145" s="275">
        <v>6422</v>
      </c>
      <c r="H145" s="275">
        <v>16573</v>
      </c>
    </row>
    <row r="146" spans="2:8" hidden="1" outlineLevel="1" x14ac:dyDescent="0.25">
      <c r="B146" s="288">
        <v>43709</v>
      </c>
      <c r="C146" s="275">
        <v>926</v>
      </c>
      <c r="D146" s="275">
        <v>31</v>
      </c>
      <c r="E146" s="275">
        <v>17905</v>
      </c>
      <c r="F146" s="275">
        <v>10281</v>
      </c>
      <c r="G146" s="275">
        <v>6541</v>
      </c>
      <c r="H146" s="275">
        <v>16573</v>
      </c>
    </row>
    <row r="147" spans="2:8" hidden="1" outlineLevel="1" x14ac:dyDescent="0.25">
      <c r="B147" s="288">
        <v>43739</v>
      </c>
      <c r="C147" s="275">
        <v>1371</v>
      </c>
      <c r="D147" s="275">
        <v>30</v>
      </c>
      <c r="E147" s="275">
        <v>18586</v>
      </c>
      <c r="F147" s="275">
        <v>6769</v>
      </c>
      <c r="G147" s="275">
        <v>10563</v>
      </c>
      <c r="H147" s="275">
        <v>17332</v>
      </c>
    </row>
    <row r="148" spans="2:8" hidden="1" outlineLevel="1" x14ac:dyDescent="0.25">
      <c r="B148" s="288">
        <v>43770</v>
      </c>
      <c r="C148" s="275">
        <v>1269</v>
      </c>
      <c r="D148" s="275">
        <v>37</v>
      </c>
      <c r="E148" s="275">
        <v>18254</v>
      </c>
      <c r="F148" s="275">
        <v>10266</v>
      </c>
      <c r="G148" s="275">
        <v>6534</v>
      </c>
      <c r="H148" s="275">
        <v>16800</v>
      </c>
    </row>
    <row r="149" spans="2:8" hidden="1" outlineLevel="1" x14ac:dyDescent="0.25">
      <c r="B149" s="288">
        <v>43800</v>
      </c>
      <c r="C149" s="275">
        <v>819</v>
      </c>
      <c r="D149" s="275">
        <v>36</v>
      </c>
      <c r="E149" s="275">
        <v>18254</v>
      </c>
      <c r="F149" s="275">
        <v>10460</v>
      </c>
      <c r="G149" s="275">
        <v>6540</v>
      </c>
      <c r="H149" s="275">
        <v>17000</v>
      </c>
    </row>
    <row r="150" spans="2:8" collapsed="1" x14ac:dyDescent="0.25">
      <c r="B150" s="388" t="s">
        <v>942</v>
      </c>
      <c r="C150" s="279">
        <v>1018.75</v>
      </c>
      <c r="D150" s="279">
        <v>39.083333333333336</v>
      </c>
      <c r="E150" s="279">
        <v>20193.416666666668</v>
      </c>
      <c r="F150" s="279">
        <v>9991.9166666666661</v>
      </c>
      <c r="G150" s="279">
        <v>8124.083333333333</v>
      </c>
      <c r="H150" s="279">
        <v>18095.25</v>
      </c>
    </row>
    <row r="151" spans="2:8" hidden="1" outlineLevel="1" x14ac:dyDescent="0.25">
      <c r="B151" s="288">
        <v>43831</v>
      </c>
      <c r="C151" s="275">
        <v>834</v>
      </c>
      <c r="D151" s="275">
        <v>42</v>
      </c>
      <c r="E151" s="275">
        <v>18617</v>
      </c>
      <c r="F151" s="275">
        <v>6664</v>
      </c>
      <c r="G151" s="275">
        <v>10715</v>
      </c>
      <c r="H151" s="275">
        <v>17379</v>
      </c>
    </row>
    <row r="152" spans="2:8" hidden="1" outlineLevel="1" x14ac:dyDescent="0.25">
      <c r="B152" s="288">
        <v>43862</v>
      </c>
      <c r="C152" s="275">
        <v>698</v>
      </c>
      <c r="D152" s="275">
        <v>37</v>
      </c>
      <c r="E152" s="275">
        <v>18087</v>
      </c>
      <c r="F152" s="275">
        <v>6398</v>
      </c>
      <c r="G152" s="275">
        <v>10470</v>
      </c>
      <c r="H152" s="275">
        <v>16868</v>
      </c>
    </row>
    <row r="153" spans="2:8" hidden="1" outlineLevel="1" x14ac:dyDescent="0.25">
      <c r="B153" s="288">
        <v>43891</v>
      </c>
      <c r="C153" s="275">
        <v>335</v>
      </c>
      <c r="D153" s="275">
        <v>11</v>
      </c>
      <c r="E153" s="275">
        <v>2479</v>
      </c>
      <c r="F153" s="275">
        <v>833</v>
      </c>
      <c r="G153" s="275">
        <v>1333</v>
      </c>
      <c r="H153" s="275">
        <v>2166</v>
      </c>
    </row>
    <row r="154" spans="2:8" hidden="1" outlineLevel="1" x14ac:dyDescent="0.25">
      <c r="B154" s="288">
        <v>43922</v>
      </c>
      <c r="C154" s="275">
        <v>1807</v>
      </c>
      <c r="D154" s="275">
        <v>46</v>
      </c>
      <c r="E154" s="275">
        <v>35380</v>
      </c>
      <c r="F154" s="275">
        <v>8953</v>
      </c>
      <c r="G154" s="275">
        <v>13726</v>
      </c>
      <c r="H154" s="275">
        <v>22679</v>
      </c>
    </row>
    <row r="155" spans="2:8" hidden="1" outlineLevel="1" x14ac:dyDescent="0.25">
      <c r="B155" s="288">
        <v>43952</v>
      </c>
      <c r="C155" s="275">
        <v>812</v>
      </c>
      <c r="D155" s="275">
        <v>43</v>
      </c>
      <c r="E155" s="275">
        <v>19198</v>
      </c>
      <c r="F155" s="275">
        <v>7081</v>
      </c>
      <c r="G155" s="275">
        <v>10993</v>
      </c>
      <c r="H155" s="275">
        <v>18074</v>
      </c>
    </row>
    <row r="156" spans="2:8" hidden="1" outlineLevel="1" x14ac:dyDescent="0.25">
      <c r="B156" s="288">
        <v>43983</v>
      </c>
      <c r="C156" s="275">
        <v>717</v>
      </c>
      <c r="D156" s="275">
        <v>40</v>
      </c>
      <c r="E156" s="275">
        <v>21037</v>
      </c>
      <c r="F156" s="275">
        <v>6751</v>
      </c>
      <c r="G156" s="275">
        <v>10650</v>
      </c>
      <c r="H156" s="275">
        <v>17401</v>
      </c>
    </row>
    <row r="157" spans="2:8" hidden="1" outlineLevel="1" x14ac:dyDescent="0.25">
      <c r="B157" s="288" t="s">
        <v>792</v>
      </c>
      <c r="C157" s="275">
        <v>403</v>
      </c>
      <c r="D157" s="275">
        <v>40</v>
      </c>
      <c r="E157" s="275">
        <v>15217</v>
      </c>
      <c r="F157" s="275">
        <v>5506</v>
      </c>
      <c r="G157" s="275">
        <v>8781</v>
      </c>
      <c r="H157" s="275">
        <v>14287</v>
      </c>
    </row>
    <row r="158" spans="2:8" hidden="1" outlineLevel="1" x14ac:dyDescent="0.25">
      <c r="B158" s="288">
        <v>44044</v>
      </c>
      <c r="C158" s="275">
        <v>226</v>
      </c>
      <c r="D158" s="275">
        <v>29</v>
      </c>
      <c r="E158" s="275">
        <v>16560</v>
      </c>
      <c r="F158" s="275">
        <v>9684</v>
      </c>
      <c r="G158" s="275">
        <v>6022</v>
      </c>
      <c r="H158" s="275">
        <v>15706</v>
      </c>
    </row>
    <row r="159" spans="2:8" hidden="1" outlineLevel="1" x14ac:dyDescent="0.25">
      <c r="B159" s="288">
        <v>44075</v>
      </c>
      <c r="C159" s="275">
        <v>130</v>
      </c>
      <c r="D159" s="275">
        <v>26</v>
      </c>
      <c r="E159" s="275">
        <v>17807</v>
      </c>
      <c r="F159" s="275">
        <v>6374</v>
      </c>
      <c r="G159" s="275">
        <v>10337</v>
      </c>
      <c r="H159" s="275">
        <v>16711</v>
      </c>
    </row>
    <row r="160" spans="2:8" hidden="1" outlineLevel="1" x14ac:dyDescent="0.25">
      <c r="B160" s="288">
        <v>44105</v>
      </c>
      <c r="C160" s="275">
        <v>85</v>
      </c>
      <c r="D160" s="275">
        <v>26</v>
      </c>
      <c r="E160" s="275">
        <v>19642</v>
      </c>
      <c r="F160" s="275">
        <v>7053</v>
      </c>
      <c r="G160" s="275">
        <v>11284</v>
      </c>
      <c r="H160" s="275">
        <v>18337</v>
      </c>
    </row>
    <row r="161" spans="2:8" hidden="1" outlineLevel="1" x14ac:dyDescent="0.25">
      <c r="B161" s="288">
        <v>44136</v>
      </c>
      <c r="C161" s="275">
        <v>64</v>
      </c>
      <c r="D161" s="275">
        <v>27</v>
      </c>
      <c r="E161" s="275">
        <v>20331</v>
      </c>
      <c r="F161" s="275">
        <v>7299</v>
      </c>
      <c r="G161" s="275">
        <v>11518</v>
      </c>
      <c r="H161" s="275">
        <v>18817</v>
      </c>
    </row>
    <row r="162" spans="2:8" hidden="1" outlineLevel="1" x14ac:dyDescent="0.25">
      <c r="B162" s="288">
        <v>44166</v>
      </c>
      <c r="C162" s="275">
        <v>61</v>
      </c>
      <c r="D162" s="275">
        <v>28</v>
      </c>
      <c r="E162" s="275">
        <v>22733</v>
      </c>
      <c r="F162" s="275">
        <v>8214</v>
      </c>
      <c r="G162" s="275">
        <v>12811</v>
      </c>
      <c r="H162" s="275">
        <v>21025</v>
      </c>
    </row>
    <row r="163" spans="2:8" collapsed="1" x14ac:dyDescent="0.25">
      <c r="B163" s="388" t="s">
        <v>943</v>
      </c>
      <c r="C163" s="279">
        <v>514.33333333333337</v>
      </c>
      <c r="D163" s="279">
        <v>32.916666666666664</v>
      </c>
      <c r="E163" s="279">
        <v>18924</v>
      </c>
      <c r="F163" s="279">
        <v>6734.166666666667</v>
      </c>
      <c r="G163" s="279">
        <v>9886.6666666666661</v>
      </c>
      <c r="H163" s="279">
        <v>16620.833333333332</v>
      </c>
    </row>
    <row r="164" spans="2:8" hidden="1" outlineLevel="1" x14ac:dyDescent="0.25">
      <c r="B164" s="288">
        <v>44197</v>
      </c>
      <c r="C164" s="275">
        <v>61</v>
      </c>
      <c r="D164" s="275">
        <v>23</v>
      </c>
      <c r="E164" s="275">
        <v>24914</v>
      </c>
      <c r="F164" s="275">
        <v>8732</v>
      </c>
      <c r="G164" s="275">
        <v>14109</v>
      </c>
      <c r="H164" s="275">
        <v>22841</v>
      </c>
    </row>
    <row r="165" spans="2:8" hidden="1" outlineLevel="1" x14ac:dyDescent="0.25">
      <c r="B165" s="288">
        <v>44228</v>
      </c>
      <c r="C165" s="275">
        <v>52</v>
      </c>
      <c r="D165" s="275">
        <v>18</v>
      </c>
      <c r="E165" s="275">
        <v>25495</v>
      </c>
      <c r="F165" s="275">
        <v>8692</v>
      </c>
      <c r="G165" s="275">
        <v>14503</v>
      </c>
      <c r="H165" s="275">
        <v>23195</v>
      </c>
    </row>
    <row r="166" spans="2:8" hidden="1" outlineLevel="1" x14ac:dyDescent="0.25">
      <c r="B166" s="288">
        <v>44256</v>
      </c>
      <c r="C166" s="275">
        <v>89</v>
      </c>
      <c r="D166" s="275">
        <v>22</v>
      </c>
      <c r="E166" s="275">
        <v>26451</v>
      </c>
      <c r="F166" s="275">
        <v>9196</v>
      </c>
      <c r="G166" s="275">
        <v>14960</v>
      </c>
      <c r="H166" s="275">
        <v>24156</v>
      </c>
    </row>
    <row r="167" spans="2:8" hidden="1" outlineLevel="1" x14ac:dyDescent="0.25">
      <c r="B167" s="288">
        <v>44287</v>
      </c>
      <c r="C167" s="275">
        <v>35</v>
      </c>
      <c r="D167" s="275">
        <v>19</v>
      </c>
      <c r="E167" s="275">
        <v>27062</v>
      </c>
      <c r="F167" s="275">
        <v>9299</v>
      </c>
      <c r="G167" s="275">
        <v>15603</v>
      </c>
      <c r="H167" s="275">
        <v>24902</v>
      </c>
    </row>
    <row r="168" spans="2:8" hidden="1" outlineLevel="1" x14ac:dyDescent="0.25">
      <c r="B168" s="288">
        <v>44317</v>
      </c>
      <c r="C168" s="275">
        <v>43</v>
      </c>
      <c r="D168" s="275">
        <v>18</v>
      </c>
      <c r="E168" s="275">
        <v>30323</v>
      </c>
      <c r="F168" s="275">
        <v>9912</v>
      </c>
      <c r="G168" s="275">
        <v>16497</v>
      </c>
      <c r="H168" s="275">
        <v>26409</v>
      </c>
    </row>
    <row r="169" spans="2:8" hidden="1" outlineLevel="1" x14ac:dyDescent="0.25">
      <c r="B169" s="288">
        <v>44348</v>
      </c>
      <c r="C169" s="275">
        <v>49</v>
      </c>
      <c r="D169" s="275">
        <v>20</v>
      </c>
      <c r="E169" s="275">
        <v>25728</v>
      </c>
      <c r="F169" s="275">
        <v>8894</v>
      </c>
      <c r="G169" s="275">
        <v>14936</v>
      </c>
      <c r="H169" s="275">
        <v>23830</v>
      </c>
    </row>
    <row r="170" spans="2:8" hidden="1" outlineLevel="1" x14ac:dyDescent="0.25">
      <c r="B170" s="288">
        <v>44378</v>
      </c>
      <c r="C170" s="275">
        <v>54</v>
      </c>
      <c r="D170" s="275">
        <v>25</v>
      </c>
      <c r="E170" s="275">
        <v>27581</v>
      </c>
      <c r="F170" s="275">
        <v>9481</v>
      </c>
      <c r="G170" s="275">
        <v>16038</v>
      </c>
      <c r="H170" s="275">
        <v>25519</v>
      </c>
    </row>
    <row r="171" spans="2:8" hidden="1" outlineLevel="1" x14ac:dyDescent="0.25">
      <c r="B171" s="288">
        <v>44409</v>
      </c>
      <c r="C171" s="275">
        <v>36</v>
      </c>
      <c r="D171" s="275">
        <v>24</v>
      </c>
      <c r="E171" s="275">
        <v>28456</v>
      </c>
      <c r="F171" s="275">
        <v>9849</v>
      </c>
      <c r="G171" s="275">
        <v>16277</v>
      </c>
      <c r="H171" s="275">
        <v>26126</v>
      </c>
    </row>
    <row r="172" spans="2:8" hidden="1" outlineLevel="1" x14ac:dyDescent="0.25">
      <c r="B172" s="288">
        <v>44440</v>
      </c>
      <c r="C172" s="275">
        <v>35</v>
      </c>
      <c r="D172" s="275">
        <v>24</v>
      </c>
      <c r="E172" s="275">
        <v>29198</v>
      </c>
      <c r="F172" s="275">
        <v>9726</v>
      </c>
      <c r="G172" s="275">
        <v>16702</v>
      </c>
      <c r="H172" s="275">
        <v>26428</v>
      </c>
    </row>
    <row r="173" spans="2:8" hidden="1" outlineLevel="1" x14ac:dyDescent="0.25">
      <c r="B173" s="288">
        <v>44470</v>
      </c>
      <c r="C173" s="275">
        <v>55</v>
      </c>
      <c r="D173" s="275">
        <v>24</v>
      </c>
      <c r="E173" s="275">
        <v>31131</v>
      </c>
      <c r="F173" s="275">
        <v>10352</v>
      </c>
      <c r="G173" s="275">
        <v>18028</v>
      </c>
      <c r="H173" s="275">
        <v>28380</v>
      </c>
    </row>
    <row r="174" spans="2:8" hidden="1" outlineLevel="1" x14ac:dyDescent="0.25">
      <c r="B174" s="288">
        <v>44501</v>
      </c>
      <c r="C174" s="275">
        <v>45</v>
      </c>
      <c r="D174" s="275">
        <v>18</v>
      </c>
      <c r="E174" s="275">
        <v>30171</v>
      </c>
      <c r="F174" s="275">
        <v>9798</v>
      </c>
      <c r="G174" s="275">
        <v>17755</v>
      </c>
      <c r="H174" s="275">
        <v>27553</v>
      </c>
    </row>
    <row r="175" spans="2:8" hidden="1" outlineLevel="1" x14ac:dyDescent="0.25">
      <c r="B175" s="288">
        <v>44531</v>
      </c>
      <c r="C175" s="275">
        <v>26</v>
      </c>
      <c r="D175" s="275">
        <v>17</v>
      </c>
      <c r="E175" s="275">
        <v>30869</v>
      </c>
      <c r="F175" s="275">
        <v>10052</v>
      </c>
      <c r="G175" s="275">
        <v>18529</v>
      </c>
      <c r="H175" s="275">
        <v>28581</v>
      </c>
    </row>
    <row r="176" spans="2:8" collapsed="1" x14ac:dyDescent="0.25">
      <c r="B176" s="388" t="s">
        <v>944</v>
      </c>
      <c r="C176" s="279">
        <v>48.333333333333336</v>
      </c>
      <c r="D176" s="279">
        <v>21</v>
      </c>
      <c r="E176" s="279">
        <v>28114.916666666668</v>
      </c>
      <c r="F176" s="279">
        <v>9498.5833333333339</v>
      </c>
      <c r="G176" s="279">
        <v>16161.416666666666</v>
      </c>
      <c r="H176" s="279">
        <v>25660</v>
      </c>
    </row>
    <row r="177" spans="2:8" hidden="1" outlineLevel="1" x14ac:dyDescent="0.25">
      <c r="B177" s="288">
        <v>44562</v>
      </c>
      <c r="C177" s="275">
        <v>46</v>
      </c>
      <c r="D177" s="275">
        <v>20</v>
      </c>
      <c r="E177" s="275">
        <v>32712</v>
      </c>
      <c r="F177" s="275">
        <v>10458</v>
      </c>
      <c r="G177" s="275">
        <v>19591</v>
      </c>
      <c r="H177" s="275">
        <v>30049</v>
      </c>
    </row>
    <row r="178" spans="2:8" hidden="1" outlineLevel="1" x14ac:dyDescent="0.25">
      <c r="B178" s="288">
        <v>44593</v>
      </c>
      <c r="C178" s="275">
        <v>63</v>
      </c>
      <c r="D178" s="275">
        <v>28</v>
      </c>
      <c r="E178" s="275">
        <v>31230</v>
      </c>
      <c r="F178" s="275">
        <v>9626</v>
      </c>
      <c r="G178" s="275">
        <v>18893</v>
      </c>
      <c r="H178" s="275">
        <v>28519</v>
      </c>
    </row>
    <row r="179" spans="2:8" hidden="1" outlineLevel="1" x14ac:dyDescent="0.25">
      <c r="B179" s="288">
        <v>44621</v>
      </c>
      <c r="C179" s="275">
        <v>118</v>
      </c>
      <c r="D179" s="275">
        <v>46</v>
      </c>
      <c r="E179" s="275">
        <v>31857</v>
      </c>
      <c r="F179" s="275">
        <v>10028</v>
      </c>
      <c r="G179" s="275">
        <v>19428</v>
      </c>
      <c r="H179" s="275">
        <v>29456</v>
      </c>
    </row>
    <row r="180" spans="2:8" hidden="1" outlineLevel="1" x14ac:dyDescent="0.25">
      <c r="B180" s="288">
        <v>44652</v>
      </c>
      <c r="C180" s="275">
        <v>20</v>
      </c>
      <c r="D180" s="275">
        <v>12</v>
      </c>
      <c r="E180" s="275">
        <v>4626</v>
      </c>
      <c r="F180" s="275">
        <v>1247</v>
      </c>
      <c r="G180" s="275">
        <v>2850</v>
      </c>
      <c r="H180" s="275">
        <v>4097</v>
      </c>
    </row>
    <row r="181" spans="2:8" hidden="1" outlineLevel="1" x14ac:dyDescent="0.25">
      <c r="B181" s="288">
        <v>44682</v>
      </c>
      <c r="C181" s="275">
        <v>1528</v>
      </c>
      <c r="D181" s="275">
        <v>104</v>
      </c>
      <c r="E181" s="275">
        <v>52617</v>
      </c>
      <c r="F181" s="275">
        <v>12016</v>
      </c>
      <c r="G181" s="275">
        <v>23615</v>
      </c>
      <c r="H181" s="275">
        <v>35631</v>
      </c>
    </row>
    <row r="182" spans="2:8" hidden="1" outlineLevel="1" x14ac:dyDescent="0.25">
      <c r="B182" s="288">
        <v>44713</v>
      </c>
      <c r="C182" s="275">
        <v>720</v>
      </c>
      <c r="D182" s="275">
        <v>113</v>
      </c>
      <c r="E182" s="275">
        <v>34898</v>
      </c>
      <c r="F182" s="275">
        <v>9940</v>
      </c>
      <c r="G182" s="275">
        <v>19746</v>
      </c>
      <c r="H182" s="275">
        <v>29686</v>
      </c>
    </row>
    <row r="183" spans="2:8" hidden="1" outlineLevel="1" x14ac:dyDescent="0.25">
      <c r="B183" s="288">
        <v>44743</v>
      </c>
      <c r="C183" s="275">
        <v>609</v>
      </c>
      <c r="D183" s="275">
        <v>137</v>
      </c>
      <c r="E183" s="275">
        <v>33331</v>
      </c>
      <c r="F183" s="275">
        <v>10125</v>
      </c>
      <c r="G183" s="275">
        <v>20535</v>
      </c>
      <c r="H183" s="275">
        <v>30660</v>
      </c>
    </row>
    <row r="184" spans="2:8" hidden="1" outlineLevel="1" x14ac:dyDescent="0.25">
      <c r="B184" s="288">
        <v>44774</v>
      </c>
      <c r="C184" s="275">
        <v>323</v>
      </c>
      <c r="D184" s="275">
        <v>128</v>
      </c>
      <c r="E184" s="275">
        <v>32908</v>
      </c>
      <c r="F184" s="275">
        <v>10040</v>
      </c>
      <c r="G184" s="275">
        <v>20415</v>
      </c>
      <c r="H184" s="275">
        <v>30455</v>
      </c>
    </row>
    <row r="185" spans="2:8" hidden="1" outlineLevel="1" x14ac:dyDescent="0.25">
      <c r="B185" s="288">
        <v>44805</v>
      </c>
      <c r="C185" s="275">
        <v>282</v>
      </c>
      <c r="D185" s="275">
        <v>117</v>
      </c>
      <c r="E185" s="275">
        <v>34010</v>
      </c>
      <c r="F185" s="275">
        <v>10341</v>
      </c>
      <c r="G185" s="275">
        <v>20999</v>
      </c>
      <c r="H185" s="275">
        <v>31340</v>
      </c>
    </row>
    <row r="186" spans="2:8" hidden="1" outlineLevel="1" x14ac:dyDescent="0.25">
      <c r="B186" s="288">
        <v>44835</v>
      </c>
      <c r="C186" s="275">
        <v>260</v>
      </c>
      <c r="D186" s="275">
        <v>116</v>
      </c>
      <c r="E186" s="275">
        <v>35879</v>
      </c>
      <c r="F186" s="275">
        <v>10893</v>
      </c>
      <c r="G186" s="275">
        <v>22543</v>
      </c>
      <c r="H186" s="275">
        <v>33436</v>
      </c>
    </row>
    <row r="187" spans="2:8" hidden="1" outlineLevel="1" x14ac:dyDescent="0.25">
      <c r="B187" s="288">
        <v>44866</v>
      </c>
      <c r="C187" s="275">
        <v>215</v>
      </c>
      <c r="D187" s="275">
        <v>99</v>
      </c>
      <c r="E187" s="275">
        <v>35422</v>
      </c>
      <c r="F187" s="275">
        <v>10570</v>
      </c>
      <c r="G187" s="275">
        <v>21747</v>
      </c>
      <c r="H187" s="275">
        <v>32317</v>
      </c>
    </row>
    <row r="188" spans="2:8" hidden="1" outlineLevel="1" x14ac:dyDescent="0.25">
      <c r="B188" s="288">
        <v>44896</v>
      </c>
      <c r="C188" s="275">
        <v>198</v>
      </c>
      <c r="D188" s="275">
        <v>103</v>
      </c>
      <c r="E188" s="275">
        <v>36687</v>
      </c>
      <c r="F188" s="275">
        <v>10925</v>
      </c>
      <c r="G188" s="275">
        <v>23077</v>
      </c>
      <c r="H188" s="275">
        <v>34002</v>
      </c>
    </row>
    <row r="189" spans="2:8" collapsed="1" x14ac:dyDescent="0.25">
      <c r="B189" s="388" t="s">
        <v>945</v>
      </c>
      <c r="C189" s="279">
        <v>365.16666666666669</v>
      </c>
      <c r="D189" s="279">
        <v>85.25</v>
      </c>
      <c r="E189" s="279">
        <v>33014.75</v>
      </c>
      <c r="F189" s="279">
        <v>9684.0833333333339</v>
      </c>
      <c r="G189" s="279">
        <v>19453.25</v>
      </c>
      <c r="H189" s="279">
        <v>29137.333333333332</v>
      </c>
    </row>
    <row r="190" spans="2:8" hidden="1" outlineLevel="1" x14ac:dyDescent="0.25">
      <c r="B190" s="288">
        <v>44927</v>
      </c>
      <c r="C190" s="275">
        <v>189</v>
      </c>
      <c r="D190" s="275">
        <v>102</v>
      </c>
      <c r="E190" s="275">
        <v>36869</v>
      </c>
      <c r="F190" s="275">
        <v>10688</v>
      </c>
      <c r="G190" s="275">
        <v>23174</v>
      </c>
      <c r="H190" s="275">
        <v>33862</v>
      </c>
    </row>
    <row r="191" spans="2:8" hidden="1" outlineLevel="1" x14ac:dyDescent="0.25">
      <c r="B191" s="288">
        <v>44958</v>
      </c>
      <c r="C191" s="275">
        <v>174</v>
      </c>
      <c r="D191" s="275">
        <v>81</v>
      </c>
      <c r="E191" s="275">
        <v>32585</v>
      </c>
      <c r="F191" s="275">
        <v>8981</v>
      </c>
      <c r="G191" s="275">
        <v>20134</v>
      </c>
      <c r="H191" s="275">
        <v>29115</v>
      </c>
    </row>
    <row r="192" spans="2:8" hidden="1" outlineLevel="1" x14ac:dyDescent="0.25">
      <c r="B192" s="288">
        <v>44986</v>
      </c>
      <c r="C192" s="275">
        <v>19</v>
      </c>
      <c r="D192" s="275">
        <v>5</v>
      </c>
      <c r="E192" s="275">
        <v>10516</v>
      </c>
      <c r="F192" s="275">
        <v>6615</v>
      </c>
      <c r="G192" s="275">
        <v>2718</v>
      </c>
      <c r="H192" s="275">
        <v>9333</v>
      </c>
    </row>
    <row r="193" spans="2:8" hidden="1" outlineLevel="1" x14ac:dyDescent="0.25">
      <c r="B193" s="288">
        <v>45017</v>
      </c>
      <c r="C193" s="275">
        <v>564</v>
      </c>
      <c r="D193" s="275">
        <v>89</v>
      </c>
      <c r="E193" s="275">
        <v>58536</v>
      </c>
      <c r="F193" s="275">
        <v>12865</v>
      </c>
      <c r="G193" s="275">
        <v>27365</v>
      </c>
      <c r="H193" s="275">
        <v>40230</v>
      </c>
    </row>
    <row r="194" spans="2:8" hidden="1" outlineLevel="1" x14ac:dyDescent="0.25">
      <c r="B194" s="288">
        <v>45047</v>
      </c>
      <c r="C194" s="275">
        <v>312</v>
      </c>
      <c r="D194" s="275">
        <v>92</v>
      </c>
      <c r="E194" s="275">
        <v>58591</v>
      </c>
      <c r="F194" s="275">
        <v>13865</v>
      </c>
      <c r="G194" s="275">
        <v>29696</v>
      </c>
      <c r="H194" s="275">
        <v>43561</v>
      </c>
    </row>
    <row r="195" spans="2:8" hidden="1" outlineLevel="1" x14ac:dyDescent="0.25">
      <c r="B195" s="288">
        <v>45078</v>
      </c>
      <c r="C195" s="275">
        <v>326</v>
      </c>
      <c r="D195" s="275">
        <v>71</v>
      </c>
      <c r="E195" s="275">
        <v>35028</v>
      </c>
      <c r="F195" s="275">
        <v>9883</v>
      </c>
      <c r="G195" s="275">
        <v>22235</v>
      </c>
      <c r="H195" s="275">
        <v>32118</v>
      </c>
    </row>
    <row r="196" spans="2:8" hidden="1" outlineLevel="1" x14ac:dyDescent="0.25">
      <c r="B196" s="288">
        <v>45108</v>
      </c>
      <c r="C196" s="275">
        <v>385</v>
      </c>
      <c r="D196" s="275">
        <v>76</v>
      </c>
      <c r="E196" s="275">
        <v>37977</v>
      </c>
      <c r="F196" s="275">
        <v>10938</v>
      </c>
      <c r="G196" s="275">
        <v>24101</v>
      </c>
      <c r="H196" s="275">
        <v>35039</v>
      </c>
    </row>
    <row r="197" spans="2:8" hidden="1" outlineLevel="1" x14ac:dyDescent="0.25">
      <c r="B197" s="288">
        <v>45139</v>
      </c>
      <c r="C197" s="275">
        <v>156</v>
      </c>
      <c r="D197" s="275">
        <v>76</v>
      </c>
      <c r="E197" s="275">
        <v>37789</v>
      </c>
      <c r="F197" s="275">
        <v>10655</v>
      </c>
      <c r="G197" s="275">
        <v>23927</v>
      </c>
      <c r="H197" s="275">
        <v>34582</v>
      </c>
    </row>
    <row r="198" spans="2:8" hidden="1" outlineLevel="1" x14ac:dyDescent="0.25">
      <c r="B198" s="288">
        <v>45170</v>
      </c>
      <c r="C198" s="275">
        <v>316</v>
      </c>
      <c r="D198" s="275">
        <v>61</v>
      </c>
      <c r="E198" s="275">
        <v>36982</v>
      </c>
      <c r="F198" s="275">
        <v>10620</v>
      </c>
      <c r="G198" s="275">
        <v>23610</v>
      </c>
      <c r="H198" s="275">
        <v>34230</v>
      </c>
    </row>
    <row r="199" spans="2:8" hidden="1" outlineLevel="1" x14ac:dyDescent="0.25">
      <c r="B199" s="288">
        <v>45200</v>
      </c>
      <c r="C199" s="275">
        <v>123</v>
      </c>
      <c r="D199" s="275">
        <v>58</v>
      </c>
      <c r="E199" s="275">
        <v>38309</v>
      </c>
      <c r="F199" s="275">
        <v>10873</v>
      </c>
      <c r="G199" s="275">
        <v>24153</v>
      </c>
      <c r="H199" s="275">
        <v>35026</v>
      </c>
    </row>
    <row r="200" spans="2:8" hidden="1" outlineLevel="1" x14ac:dyDescent="0.25">
      <c r="B200" s="288">
        <v>45231</v>
      </c>
      <c r="C200" s="275">
        <v>6</v>
      </c>
      <c r="D200" s="275">
        <v>3</v>
      </c>
      <c r="E200" s="275">
        <v>5792</v>
      </c>
      <c r="F200" s="275">
        <v>1312</v>
      </c>
      <c r="G200" s="275">
        <v>3664</v>
      </c>
      <c r="H200" s="275">
        <v>4976</v>
      </c>
    </row>
    <row r="201" spans="2:8" hidden="1" outlineLevel="1" x14ac:dyDescent="0.25">
      <c r="B201" s="288">
        <v>45261</v>
      </c>
      <c r="C201" s="275">
        <v>211</v>
      </c>
      <c r="D201" s="275">
        <v>63</v>
      </c>
      <c r="E201" s="275">
        <v>62916</v>
      </c>
      <c r="F201" s="275">
        <v>11994</v>
      </c>
      <c r="G201" s="275">
        <v>26509</v>
      </c>
      <c r="H201" s="275">
        <v>38503</v>
      </c>
    </row>
    <row r="202" spans="2:8" collapsed="1" x14ac:dyDescent="0.25">
      <c r="B202" s="388" t="s">
        <v>946</v>
      </c>
      <c r="C202" s="279">
        <v>231.75</v>
      </c>
      <c r="D202" s="279">
        <v>64.75</v>
      </c>
      <c r="E202" s="279">
        <v>37657.5</v>
      </c>
      <c r="F202" s="279">
        <v>9940.75</v>
      </c>
      <c r="G202" s="279">
        <v>20940.5</v>
      </c>
      <c r="H202" s="279">
        <v>30881.25</v>
      </c>
    </row>
    <row r="203" spans="2:8" outlineLevel="1" x14ac:dyDescent="0.25">
      <c r="B203" s="288">
        <v>45292</v>
      </c>
      <c r="C203" s="275">
        <v>110</v>
      </c>
      <c r="D203" s="275">
        <v>43</v>
      </c>
      <c r="E203" s="275">
        <v>30154</v>
      </c>
      <c r="F203" s="275">
        <v>8510</v>
      </c>
      <c r="G203" s="275">
        <v>19130</v>
      </c>
      <c r="H203" s="275">
        <v>27640</v>
      </c>
    </row>
    <row r="204" spans="2:8" outlineLevel="1" x14ac:dyDescent="0.25">
      <c r="B204" s="288">
        <v>45323</v>
      </c>
      <c r="C204" s="275">
        <v>143</v>
      </c>
      <c r="D204" s="275">
        <v>41</v>
      </c>
      <c r="E204" s="275">
        <v>41342</v>
      </c>
      <c r="F204" s="275">
        <v>10376</v>
      </c>
      <c r="G204" s="275">
        <v>23796</v>
      </c>
      <c r="H204" s="275">
        <v>34172</v>
      </c>
    </row>
    <row r="205" spans="2:8" outlineLevel="1" x14ac:dyDescent="0.25">
      <c r="B205" s="288">
        <v>45352</v>
      </c>
      <c r="C205" s="275">
        <v>236</v>
      </c>
      <c r="D205" s="275">
        <v>38</v>
      </c>
      <c r="E205" s="275">
        <v>31561</v>
      </c>
      <c r="F205" s="275">
        <v>9013</v>
      </c>
      <c r="G205" s="275">
        <v>19872</v>
      </c>
      <c r="H205" s="275">
        <v>28885</v>
      </c>
    </row>
    <row r="206" spans="2:8" outlineLevel="1" x14ac:dyDescent="0.25">
      <c r="B206" s="288">
        <v>45383</v>
      </c>
      <c r="C206" s="275">
        <v>367</v>
      </c>
      <c r="D206" s="275">
        <v>41</v>
      </c>
      <c r="E206" s="275">
        <v>40938</v>
      </c>
      <c r="F206" s="275">
        <v>11222</v>
      </c>
      <c r="G206" s="275">
        <v>23139</v>
      </c>
      <c r="H206" s="275">
        <v>34361</v>
      </c>
    </row>
    <row r="207" spans="2:8" outlineLevel="1" x14ac:dyDescent="0.25">
      <c r="B207" s="288">
        <v>45413</v>
      </c>
      <c r="C207" s="275">
        <v>485</v>
      </c>
      <c r="D207" s="275">
        <v>38</v>
      </c>
      <c r="E207" s="275">
        <v>40096</v>
      </c>
      <c r="F207" s="275">
        <v>10792</v>
      </c>
      <c r="G207" s="275">
        <v>22492</v>
      </c>
      <c r="H207" s="275">
        <v>33284</v>
      </c>
    </row>
    <row r="208" spans="2:8" outlineLevel="1" x14ac:dyDescent="0.25">
      <c r="B208" s="288">
        <v>45444</v>
      </c>
      <c r="C208" s="275">
        <v>188</v>
      </c>
      <c r="D208" s="275">
        <v>30</v>
      </c>
      <c r="E208" s="275">
        <v>30045</v>
      </c>
      <c r="F208" s="275">
        <v>8788</v>
      </c>
      <c r="G208" s="275">
        <v>18518</v>
      </c>
      <c r="H208" s="275">
        <v>27306</v>
      </c>
    </row>
    <row r="209" spans="2:8" outlineLevel="1" x14ac:dyDescent="0.25">
      <c r="B209" s="288">
        <v>45474</v>
      </c>
      <c r="C209" s="275">
        <v>352</v>
      </c>
      <c r="D209" s="275">
        <v>30</v>
      </c>
      <c r="E209" s="275">
        <v>28220</v>
      </c>
      <c r="F209" s="275">
        <v>8221</v>
      </c>
      <c r="G209" s="275">
        <v>17756</v>
      </c>
      <c r="H209" s="275">
        <v>25977</v>
      </c>
    </row>
    <row r="210" spans="2:8" outlineLevel="1" x14ac:dyDescent="0.25">
      <c r="B210" s="288">
        <v>45505</v>
      </c>
      <c r="C210" s="275">
        <v>376</v>
      </c>
      <c r="D210" s="275">
        <v>28</v>
      </c>
      <c r="E210" s="275">
        <v>27430</v>
      </c>
      <c r="F210" s="275">
        <v>7942</v>
      </c>
      <c r="G210" s="275">
        <v>17044</v>
      </c>
      <c r="H210" s="275">
        <v>24986</v>
      </c>
    </row>
    <row r="211" spans="2:8" outlineLevel="1" x14ac:dyDescent="0.25">
      <c r="B211" s="288">
        <v>45536</v>
      </c>
      <c r="C211" s="275">
        <v>444</v>
      </c>
      <c r="D211" s="275">
        <v>32</v>
      </c>
      <c r="E211" s="275">
        <v>29282</v>
      </c>
      <c r="F211" s="275">
        <v>18290</v>
      </c>
      <c r="G211" s="275">
        <v>8780</v>
      </c>
      <c r="H211" s="275">
        <v>27070</v>
      </c>
    </row>
    <row r="212" spans="2:8" ht="30" x14ac:dyDescent="0.25">
      <c r="B212" s="388" t="s">
        <v>947</v>
      </c>
      <c r="C212" s="279">
        <v>300.11111111111109</v>
      </c>
      <c r="D212" s="279">
        <v>35.666666666666664</v>
      </c>
      <c r="E212" s="279">
        <v>33229.777777777781</v>
      </c>
      <c r="F212" s="279">
        <v>10350.444444444445</v>
      </c>
      <c r="G212" s="279">
        <v>18947.444444444445</v>
      </c>
      <c r="H212" s="279">
        <v>29297.888888888891</v>
      </c>
    </row>
    <row r="213" spans="2:8" x14ac:dyDescent="0.25">
      <c r="B213" s="4" t="s">
        <v>803</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321"/>
  <sheetViews>
    <sheetView showGridLines="0" workbookViewId="0">
      <selection activeCell="B158" sqref="B158"/>
    </sheetView>
    <sheetView showGridLines="0" workbookViewId="1"/>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724</v>
      </c>
    </row>
    <row r="4" spans="2:12" ht="18.75" x14ac:dyDescent="0.3">
      <c r="B4" s="2" t="s">
        <v>725</v>
      </c>
      <c r="C4" s="2"/>
      <c r="D4" s="2"/>
      <c r="E4" s="2"/>
      <c r="F4" s="2"/>
      <c r="G4" s="2"/>
      <c r="H4" s="2"/>
      <c r="I4" s="2"/>
      <c r="J4" s="2"/>
      <c r="K4" s="2"/>
      <c r="L4" s="2"/>
    </row>
    <row r="5" spans="2:12" x14ac:dyDescent="0.25">
      <c r="B5" s="15" t="s">
        <v>923</v>
      </c>
    </row>
    <row r="7" spans="2:12" ht="15" customHeight="1" x14ac:dyDescent="0.25">
      <c r="B7" s="528" t="s">
        <v>472</v>
      </c>
      <c r="C7" s="520" t="s">
        <v>726</v>
      </c>
      <c r="D7" s="525" t="s">
        <v>720</v>
      </c>
      <c r="E7" s="526"/>
      <c r="F7" s="527"/>
    </row>
    <row r="8" spans="2:12" x14ac:dyDescent="0.25">
      <c r="B8" s="529"/>
      <c r="C8" s="520"/>
      <c r="D8" s="360" t="s">
        <v>73</v>
      </c>
      <c r="E8" s="360" t="s">
        <v>74</v>
      </c>
      <c r="F8" s="360" t="s">
        <v>588</v>
      </c>
    </row>
    <row r="9" spans="2:12" x14ac:dyDescent="0.25">
      <c r="B9" s="389" t="s">
        <v>723</v>
      </c>
      <c r="C9" s="390">
        <v>333</v>
      </c>
      <c r="D9" s="390"/>
      <c r="E9" s="390"/>
      <c r="F9" s="390"/>
    </row>
    <row r="10" spans="2:12" x14ac:dyDescent="0.25">
      <c r="B10" s="245" t="s">
        <v>28</v>
      </c>
      <c r="C10" s="390">
        <v>2105</v>
      </c>
      <c r="D10" s="390"/>
      <c r="E10" s="390"/>
      <c r="F10" s="390"/>
    </row>
    <row r="11" spans="2:12" x14ac:dyDescent="0.25">
      <c r="B11" s="245" t="s">
        <v>29</v>
      </c>
      <c r="C11" s="390">
        <v>1759</v>
      </c>
      <c r="D11" s="390"/>
      <c r="E11" s="390"/>
      <c r="F11" s="390"/>
    </row>
    <row r="12" spans="2:12" x14ac:dyDescent="0.25">
      <c r="B12" s="245" t="s">
        <v>30</v>
      </c>
      <c r="C12" s="391">
        <v>1026</v>
      </c>
      <c r="D12" s="391"/>
      <c r="E12" s="391"/>
      <c r="F12" s="391"/>
    </row>
    <row r="13" spans="2:12" x14ac:dyDescent="0.25">
      <c r="B13" s="245" t="s">
        <v>707</v>
      </c>
      <c r="C13" s="391">
        <v>807</v>
      </c>
      <c r="D13" s="391"/>
      <c r="E13" s="391"/>
      <c r="F13" s="391">
        <v>75178</v>
      </c>
    </row>
    <row r="14" spans="2:12" x14ac:dyDescent="0.25">
      <c r="B14" s="245" t="s">
        <v>34</v>
      </c>
      <c r="C14" s="390">
        <v>654</v>
      </c>
      <c r="D14" s="390"/>
      <c r="E14" s="390"/>
      <c r="F14" s="390">
        <v>114198</v>
      </c>
    </row>
    <row r="15" spans="2:12" hidden="1" outlineLevel="1" x14ac:dyDescent="0.25">
      <c r="B15" s="373">
        <v>41640</v>
      </c>
      <c r="C15" s="374">
        <v>57</v>
      </c>
      <c r="D15" s="374"/>
      <c r="E15" s="374"/>
      <c r="F15" s="374">
        <v>10003</v>
      </c>
    </row>
    <row r="16" spans="2:12" hidden="1" outlineLevel="1" x14ac:dyDescent="0.25">
      <c r="B16" s="373">
        <v>41671</v>
      </c>
      <c r="C16" s="374">
        <v>36</v>
      </c>
      <c r="D16" s="374"/>
      <c r="E16" s="374"/>
      <c r="F16" s="374">
        <v>8116</v>
      </c>
    </row>
    <row r="17" spans="2:6" hidden="1" outlineLevel="1" x14ac:dyDescent="0.25">
      <c r="B17" s="373">
        <v>41699</v>
      </c>
      <c r="C17" s="374">
        <v>43</v>
      </c>
      <c r="D17" s="374"/>
      <c r="E17" s="374"/>
      <c r="F17" s="374">
        <v>3794</v>
      </c>
    </row>
    <row r="18" spans="2:6" hidden="1" outlineLevel="1" x14ac:dyDescent="0.25">
      <c r="B18" s="373">
        <v>41730</v>
      </c>
      <c r="C18" s="374">
        <v>44</v>
      </c>
      <c r="D18" s="374"/>
      <c r="E18" s="374"/>
      <c r="F18" s="374">
        <v>5833</v>
      </c>
    </row>
    <row r="19" spans="2:6" hidden="1" outlineLevel="1" x14ac:dyDescent="0.25">
      <c r="B19" s="373">
        <v>41760</v>
      </c>
      <c r="C19" s="374">
        <v>47</v>
      </c>
      <c r="D19" s="374"/>
      <c r="E19" s="374"/>
      <c r="F19" s="374">
        <v>3916</v>
      </c>
    </row>
    <row r="20" spans="2:6" hidden="1" outlineLevel="1" x14ac:dyDescent="0.25">
      <c r="B20" s="373">
        <v>41791</v>
      </c>
      <c r="C20" s="374">
        <v>48</v>
      </c>
      <c r="D20" s="374"/>
      <c r="E20" s="374"/>
      <c r="F20" s="374">
        <v>3251</v>
      </c>
    </row>
    <row r="21" spans="2:6" hidden="1" outlineLevel="1" x14ac:dyDescent="0.25">
      <c r="B21" s="373">
        <v>41821</v>
      </c>
      <c r="C21" s="374">
        <v>47</v>
      </c>
      <c r="D21" s="374"/>
      <c r="E21" s="374"/>
      <c r="F21" s="374">
        <v>3190</v>
      </c>
    </row>
    <row r="22" spans="2:6" hidden="1" outlineLevel="1" x14ac:dyDescent="0.25">
      <c r="B22" s="373">
        <v>41852</v>
      </c>
      <c r="C22" s="374">
        <v>44</v>
      </c>
      <c r="D22" s="374"/>
      <c r="E22" s="374"/>
      <c r="F22" s="374">
        <v>3136</v>
      </c>
    </row>
    <row r="23" spans="2:6" hidden="1" outlineLevel="1" x14ac:dyDescent="0.25">
      <c r="B23" s="373">
        <v>41883</v>
      </c>
      <c r="C23" s="374">
        <v>41</v>
      </c>
      <c r="D23" s="374"/>
      <c r="E23" s="374"/>
      <c r="F23" s="374">
        <v>2928</v>
      </c>
    </row>
    <row r="24" spans="2:6" hidden="1" outlineLevel="1" x14ac:dyDescent="0.25">
      <c r="B24" s="373">
        <v>41913</v>
      </c>
      <c r="C24" s="374">
        <v>34</v>
      </c>
      <c r="D24" s="374"/>
      <c r="E24" s="374"/>
      <c r="F24" s="374">
        <v>2732</v>
      </c>
    </row>
    <row r="25" spans="2:6" hidden="1" outlineLevel="1" x14ac:dyDescent="0.25">
      <c r="B25" s="373">
        <v>41944</v>
      </c>
      <c r="C25" s="374">
        <v>25</v>
      </c>
      <c r="D25" s="374"/>
      <c r="E25" s="374"/>
      <c r="F25" s="374">
        <v>3936</v>
      </c>
    </row>
    <row r="26" spans="2:6" hidden="1" outlineLevel="1" x14ac:dyDescent="0.25">
      <c r="B26" s="373">
        <v>41974</v>
      </c>
      <c r="C26" s="374">
        <v>47</v>
      </c>
      <c r="D26" s="374"/>
      <c r="E26" s="374"/>
      <c r="F26" s="374">
        <v>3018</v>
      </c>
    </row>
    <row r="27" spans="2:6" collapsed="1" x14ac:dyDescent="0.25">
      <c r="B27" s="389" t="s">
        <v>36</v>
      </c>
      <c r="C27" s="390">
        <v>513</v>
      </c>
      <c r="D27" s="390"/>
      <c r="E27" s="390"/>
      <c r="F27" s="390">
        <v>53853</v>
      </c>
    </row>
    <row r="28" spans="2:6" hidden="1" outlineLevel="1" x14ac:dyDescent="0.25">
      <c r="B28" s="373">
        <v>42005</v>
      </c>
      <c r="C28" s="374">
        <v>40</v>
      </c>
      <c r="D28" s="374"/>
      <c r="E28" s="374"/>
      <c r="F28" s="374">
        <v>2343</v>
      </c>
    </row>
    <row r="29" spans="2:6" hidden="1" outlineLevel="1" x14ac:dyDescent="0.25">
      <c r="B29" s="373">
        <v>42036</v>
      </c>
      <c r="C29" s="374">
        <v>37</v>
      </c>
      <c r="D29" s="374"/>
      <c r="E29" s="374"/>
      <c r="F29" s="374">
        <v>2758</v>
      </c>
    </row>
    <row r="30" spans="2:6" hidden="1" outlineLevel="1" x14ac:dyDescent="0.25">
      <c r="B30" s="373">
        <v>42064</v>
      </c>
      <c r="C30" s="374">
        <v>39</v>
      </c>
      <c r="D30" s="374"/>
      <c r="E30" s="374"/>
      <c r="F30" s="374">
        <v>2319</v>
      </c>
    </row>
    <row r="31" spans="2:6" hidden="1" outlineLevel="1" x14ac:dyDescent="0.25">
      <c r="B31" s="373">
        <v>42095</v>
      </c>
      <c r="C31" s="374">
        <v>33</v>
      </c>
      <c r="D31" s="374"/>
      <c r="E31" s="374"/>
      <c r="F31" s="374">
        <v>1250</v>
      </c>
    </row>
    <row r="32" spans="2:6" hidden="1" outlineLevel="1" x14ac:dyDescent="0.25">
      <c r="B32" s="373">
        <v>42125</v>
      </c>
      <c r="C32" s="374">
        <v>31</v>
      </c>
      <c r="D32" s="374"/>
      <c r="E32" s="374"/>
      <c r="F32" s="374">
        <v>1952</v>
      </c>
    </row>
    <row r="33" spans="2:6" hidden="1" outlineLevel="1" x14ac:dyDescent="0.25">
      <c r="B33" s="373">
        <v>42156</v>
      </c>
      <c r="C33" s="374">
        <v>38</v>
      </c>
      <c r="D33" s="374"/>
      <c r="E33" s="374"/>
      <c r="F33" s="374">
        <v>1536</v>
      </c>
    </row>
    <row r="34" spans="2:6" hidden="1" outlineLevel="1" x14ac:dyDescent="0.25">
      <c r="B34" s="373">
        <v>42186</v>
      </c>
      <c r="C34" s="374">
        <v>33</v>
      </c>
      <c r="D34" s="374"/>
      <c r="E34" s="374"/>
      <c r="F34" s="374">
        <v>2640</v>
      </c>
    </row>
    <row r="35" spans="2:6" hidden="1" outlineLevel="1" x14ac:dyDescent="0.25">
      <c r="B35" s="373">
        <v>42217</v>
      </c>
      <c r="C35" s="374">
        <v>37</v>
      </c>
      <c r="D35" s="374"/>
      <c r="E35" s="374"/>
      <c r="F35" s="374">
        <v>1723</v>
      </c>
    </row>
    <row r="36" spans="2:6" hidden="1" outlineLevel="1" x14ac:dyDescent="0.25">
      <c r="B36" s="373">
        <v>42248</v>
      </c>
      <c r="C36" s="374">
        <v>40</v>
      </c>
      <c r="D36" s="374"/>
      <c r="E36" s="374"/>
      <c r="F36" s="374">
        <v>2602</v>
      </c>
    </row>
    <row r="37" spans="2:6" hidden="1" outlineLevel="1" x14ac:dyDescent="0.25">
      <c r="B37" s="373">
        <v>42278</v>
      </c>
      <c r="C37" s="374">
        <v>39</v>
      </c>
      <c r="D37" s="374"/>
      <c r="E37" s="374"/>
      <c r="F37" s="374">
        <v>2691</v>
      </c>
    </row>
    <row r="38" spans="2:6" hidden="1" outlineLevel="1" x14ac:dyDescent="0.25">
      <c r="B38" s="373">
        <v>42309</v>
      </c>
      <c r="C38" s="374">
        <v>37</v>
      </c>
      <c r="D38" s="374"/>
      <c r="E38" s="374"/>
      <c r="F38" s="374">
        <v>2518</v>
      </c>
    </row>
    <row r="39" spans="2:6" hidden="1" outlineLevel="1" x14ac:dyDescent="0.25">
      <c r="B39" s="373">
        <v>42339</v>
      </c>
      <c r="C39" s="374">
        <v>33</v>
      </c>
      <c r="D39" s="374"/>
      <c r="E39" s="374"/>
      <c r="F39" s="374">
        <v>2358</v>
      </c>
    </row>
    <row r="40" spans="2:6" collapsed="1" x14ac:dyDescent="0.25">
      <c r="B40" s="389" t="s">
        <v>38</v>
      </c>
      <c r="C40" s="390">
        <v>437</v>
      </c>
      <c r="D40" s="390"/>
      <c r="E40" s="390"/>
      <c r="F40" s="390">
        <v>26690</v>
      </c>
    </row>
    <row r="41" spans="2:6" hidden="1" outlineLevel="1" x14ac:dyDescent="0.25">
      <c r="B41" s="373">
        <v>42370</v>
      </c>
      <c r="C41" s="374">
        <v>33</v>
      </c>
      <c r="D41" s="374"/>
      <c r="E41" s="374"/>
      <c r="F41" s="374">
        <v>3308</v>
      </c>
    </row>
    <row r="42" spans="2:6" hidden="1" outlineLevel="1" x14ac:dyDescent="0.25">
      <c r="B42" s="373">
        <v>42401</v>
      </c>
      <c r="C42" s="374">
        <v>33</v>
      </c>
      <c r="D42" s="374"/>
      <c r="E42" s="374"/>
      <c r="F42" s="374">
        <v>2327</v>
      </c>
    </row>
    <row r="43" spans="2:6" hidden="1" outlineLevel="1" x14ac:dyDescent="0.25">
      <c r="B43" s="373">
        <v>42430</v>
      </c>
      <c r="C43" s="374">
        <v>40</v>
      </c>
      <c r="D43" s="374"/>
      <c r="E43" s="374"/>
      <c r="F43" s="374">
        <v>2621</v>
      </c>
    </row>
    <row r="44" spans="2:6" hidden="1" outlineLevel="1" x14ac:dyDescent="0.25">
      <c r="B44" s="373">
        <v>42461</v>
      </c>
      <c r="C44" s="374">
        <v>39</v>
      </c>
      <c r="D44" s="374"/>
      <c r="E44" s="374"/>
      <c r="F44" s="374">
        <v>2495</v>
      </c>
    </row>
    <row r="45" spans="2:6" hidden="1" outlineLevel="1" x14ac:dyDescent="0.25">
      <c r="B45" s="373">
        <v>42491</v>
      </c>
      <c r="C45" s="374">
        <v>40</v>
      </c>
      <c r="D45" s="374">
        <v>1000</v>
      </c>
      <c r="E45" s="374">
        <v>1038</v>
      </c>
      <c r="F45" s="374">
        <v>2038</v>
      </c>
    </row>
    <row r="46" spans="2:6" hidden="1" outlineLevel="1" x14ac:dyDescent="0.25">
      <c r="B46" s="373">
        <v>42522</v>
      </c>
      <c r="C46" s="374">
        <v>37</v>
      </c>
      <c r="D46" s="374" t="s">
        <v>793</v>
      </c>
      <c r="E46" s="374" t="s">
        <v>793</v>
      </c>
      <c r="F46" s="374">
        <v>1960</v>
      </c>
    </row>
    <row r="47" spans="2:6" hidden="1" outlineLevel="1" x14ac:dyDescent="0.25">
      <c r="B47" s="373">
        <v>42552</v>
      </c>
      <c r="C47" s="374">
        <v>46</v>
      </c>
      <c r="D47" s="374">
        <v>1739</v>
      </c>
      <c r="E47" s="374">
        <v>1498</v>
      </c>
      <c r="F47" s="374">
        <v>3237</v>
      </c>
    </row>
    <row r="48" spans="2:6" hidden="1" outlineLevel="1" x14ac:dyDescent="0.25">
      <c r="B48" s="373">
        <v>42583</v>
      </c>
      <c r="C48" s="374">
        <v>47</v>
      </c>
      <c r="D48" s="374">
        <v>1262</v>
      </c>
      <c r="E48" s="374">
        <v>1077</v>
      </c>
      <c r="F48" s="374">
        <v>2339</v>
      </c>
    </row>
    <row r="49" spans="2:6" hidden="1" outlineLevel="1" x14ac:dyDescent="0.25">
      <c r="B49" s="373">
        <v>42614</v>
      </c>
      <c r="C49" s="374">
        <v>38</v>
      </c>
      <c r="D49" s="374">
        <v>1119</v>
      </c>
      <c r="E49" s="374">
        <v>1309</v>
      </c>
      <c r="F49" s="374">
        <v>2428</v>
      </c>
    </row>
    <row r="50" spans="2:6" hidden="1" outlineLevel="1" x14ac:dyDescent="0.25">
      <c r="B50" s="373">
        <v>42644</v>
      </c>
      <c r="C50" s="374">
        <v>36</v>
      </c>
      <c r="D50" s="374">
        <v>943</v>
      </c>
      <c r="E50" s="374">
        <v>705</v>
      </c>
      <c r="F50" s="374">
        <v>1648</v>
      </c>
    </row>
    <row r="51" spans="2:6" hidden="1" outlineLevel="1" x14ac:dyDescent="0.25">
      <c r="B51" s="373">
        <v>42675</v>
      </c>
      <c r="C51" s="374">
        <v>42</v>
      </c>
      <c r="D51" s="374">
        <v>2225</v>
      </c>
      <c r="E51" s="374">
        <v>1770</v>
      </c>
      <c r="F51" s="374">
        <v>3995</v>
      </c>
    </row>
    <row r="52" spans="2:6" hidden="1" outlineLevel="1" x14ac:dyDescent="0.25">
      <c r="B52" s="373">
        <v>42705</v>
      </c>
      <c r="C52" s="374">
        <v>50</v>
      </c>
      <c r="D52" s="374">
        <v>3021</v>
      </c>
      <c r="E52" s="374">
        <v>2296</v>
      </c>
      <c r="F52" s="374">
        <v>5317</v>
      </c>
    </row>
    <row r="53" spans="2:6" collapsed="1" x14ac:dyDescent="0.25">
      <c r="B53" s="389" t="s">
        <v>55</v>
      </c>
      <c r="C53" s="390">
        <v>481</v>
      </c>
      <c r="D53" s="390"/>
      <c r="E53" s="390"/>
      <c r="F53" s="390">
        <v>33713</v>
      </c>
    </row>
    <row r="54" spans="2:6" hidden="1" outlineLevel="1" x14ac:dyDescent="0.25">
      <c r="B54" s="373">
        <v>42736</v>
      </c>
      <c r="C54" s="374">
        <v>40</v>
      </c>
      <c r="D54" s="374">
        <v>2335</v>
      </c>
      <c r="E54" s="374">
        <v>1830</v>
      </c>
      <c r="F54" s="374">
        <v>4165</v>
      </c>
    </row>
    <row r="55" spans="2:6" hidden="1" outlineLevel="1" x14ac:dyDescent="0.25">
      <c r="B55" s="373">
        <v>42767</v>
      </c>
      <c r="C55" s="374">
        <v>32</v>
      </c>
      <c r="D55" s="374">
        <v>2075</v>
      </c>
      <c r="E55" s="374">
        <v>1511</v>
      </c>
      <c r="F55" s="374">
        <v>3586</v>
      </c>
    </row>
    <row r="56" spans="2:6" hidden="1" outlineLevel="1" x14ac:dyDescent="0.25">
      <c r="B56" s="373">
        <v>42795</v>
      </c>
      <c r="C56" s="374">
        <v>37</v>
      </c>
      <c r="D56" s="374">
        <v>922</v>
      </c>
      <c r="E56" s="374">
        <v>763</v>
      </c>
      <c r="F56" s="374">
        <v>1685</v>
      </c>
    </row>
    <row r="57" spans="2:6" hidden="1" outlineLevel="1" x14ac:dyDescent="0.25">
      <c r="B57" s="373">
        <v>42826</v>
      </c>
      <c r="C57" s="374">
        <v>27</v>
      </c>
      <c r="D57" s="374">
        <v>464</v>
      </c>
      <c r="E57" s="374">
        <v>377</v>
      </c>
      <c r="F57" s="374">
        <v>841</v>
      </c>
    </row>
    <row r="58" spans="2:6" hidden="1" outlineLevel="1" x14ac:dyDescent="0.25">
      <c r="B58" s="373">
        <v>42856</v>
      </c>
      <c r="C58" s="374">
        <v>36</v>
      </c>
      <c r="D58" s="374">
        <v>870</v>
      </c>
      <c r="E58" s="374">
        <v>555</v>
      </c>
      <c r="F58" s="374">
        <v>1425</v>
      </c>
    </row>
    <row r="59" spans="2:6" hidden="1" outlineLevel="1" x14ac:dyDescent="0.25">
      <c r="B59" s="373">
        <v>42887</v>
      </c>
      <c r="C59" s="374">
        <v>38</v>
      </c>
      <c r="D59" s="374">
        <v>479</v>
      </c>
      <c r="E59" s="374">
        <v>437</v>
      </c>
      <c r="F59" s="374">
        <v>916</v>
      </c>
    </row>
    <row r="60" spans="2:6" hidden="1" outlineLevel="1" x14ac:dyDescent="0.25">
      <c r="B60" s="373">
        <v>42917</v>
      </c>
      <c r="C60" s="374">
        <v>31</v>
      </c>
      <c r="D60" s="374">
        <v>544</v>
      </c>
      <c r="E60" s="374">
        <v>385</v>
      </c>
      <c r="F60" s="374">
        <v>929</v>
      </c>
    </row>
    <row r="61" spans="2:6" hidden="1" outlineLevel="1" x14ac:dyDescent="0.25">
      <c r="B61" s="373">
        <v>42948</v>
      </c>
      <c r="C61" s="374">
        <v>34</v>
      </c>
      <c r="D61" s="374">
        <v>715</v>
      </c>
      <c r="E61" s="374">
        <v>414</v>
      </c>
      <c r="F61" s="374">
        <v>1129</v>
      </c>
    </row>
    <row r="62" spans="2:6" hidden="1" outlineLevel="1" x14ac:dyDescent="0.25">
      <c r="B62" s="373">
        <v>42979</v>
      </c>
      <c r="C62" s="374">
        <v>36</v>
      </c>
      <c r="D62" s="374">
        <v>680</v>
      </c>
      <c r="E62" s="374">
        <v>537</v>
      </c>
      <c r="F62" s="374">
        <v>1217</v>
      </c>
    </row>
    <row r="63" spans="2:6" hidden="1" outlineLevel="1" x14ac:dyDescent="0.25">
      <c r="B63" s="373">
        <v>43009</v>
      </c>
      <c r="C63" s="374">
        <v>33</v>
      </c>
      <c r="D63" s="374">
        <v>503</v>
      </c>
      <c r="E63" s="374">
        <v>374</v>
      </c>
      <c r="F63" s="374">
        <v>877</v>
      </c>
    </row>
    <row r="64" spans="2:6" hidden="1" outlineLevel="1" x14ac:dyDescent="0.25">
      <c r="B64" s="373">
        <v>43040</v>
      </c>
      <c r="C64" s="374">
        <v>40</v>
      </c>
      <c r="D64" s="374">
        <v>676</v>
      </c>
      <c r="E64" s="374">
        <v>640</v>
      </c>
      <c r="F64" s="374">
        <v>1316</v>
      </c>
    </row>
    <row r="65" spans="2:6" hidden="1" outlineLevel="1" x14ac:dyDescent="0.25">
      <c r="B65" s="373">
        <v>43070</v>
      </c>
      <c r="C65" s="374">
        <v>56</v>
      </c>
      <c r="D65" s="374">
        <v>742</v>
      </c>
      <c r="E65" s="374">
        <v>697</v>
      </c>
      <c r="F65" s="374">
        <v>1439</v>
      </c>
    </row>
    <row r="66" spans="2:6" collapsed="1" x14ac:dyDescent="0.25">
      <c r="B66" s="389" t="s">
        <v>58</v>
      </c>
      <c r="C66" s="390">
        <v>440</v>
      </c>
      <c r="D66" s="390">
        <v>11005</v>
      </c>
      <c r="E66" s="390">
        <v>8520</v>
      </c>
      <c r="F66" s="390">
        <v>19525</v>
      </c>
    </row>
    <row r="67" spans="2:6" hidden="1" outlineLevel="1" x14ac:dyDescent="0.25">
      <c r="B67" s="373">
        <v>43101</v>
      </c>
      <c r="C67" s="374">
        <v>46</v>
      </c>
      <c r="D67" s="374">
        <v>1310</v>
      </c>
      <c r="E67" s="374">
        <v>1294</v>
      </c>
      <c r="F67" s="374">
        <v>2604</v>
      </c>
    </row>
    <row r="68" spans="2:6" hidden="1" outlineLevel="1" x14ac:dyDescent="0.25">
      <c r="B68" s="373">
        <v>43132</v>
      </c>
      <c r="C68" s="374">
        <v>61</v>
      </c>
      <c r="D68" s="374">
        <v>1107</v>
      </c>
      <c r="E68" s="374">
        <v>809</v>
      </c>
      <c r="F68" s="374">
        <v>1916</v>
      </c>
    </row>
    <row r="69" spans="2:6" hidden="1" outlineLevel="1" x14ac:dyDescent="0.25">
      <c r="B69" s="373">
        <v>43160</v>
      </c>
      <c r="C69" s="374">
        <v>44</v>
      </c>
      <c r="D69" s="374">
        <v>861</v>
      </c>
      <c r="E69" s="374">
        <v>608</v>
      </c>
      <c r="F69" s="374">
        <v>1469</v>
      </c>
    </row>
    <row r="70" spans="2:6" hidden="1" outlineLevel="1" x14ac:dyDescent="0.25">
      <c r="B70" s="373">
        <v>43191</v>
      </c>
      <c r="C70" s="374">
        <v>39</v>
      </c>
      <c r="D70" s="374">
        <v>653</v>
      </c>
      <c r="E70" s="374">
        <v>498</v>
      </c>
      <c r="F70" s="374">
        <v>1151</v>
      </c>
    </row>
    <row r="71" spans="2:6" hidden="1" outlineLevel="1" x14ac:dyDescent="0.25">
      <c r="B71" s="373">
        <v>43221</v>
      </c>
      <c r="C71" s="374">
        <v>40</v>
      </c>
      <c r="D71" s="374">
        <v>965</v>
      </c>
      <c r="E71" s="374">
        <v>663</v>
      </c>
      <c r="F71" s="374">
        <v>1628</v>
      </c>
    </row>
    <row r="72" spans="2:6" hidden="1" outlineLevel="1" x14ac:dyDescent="0.25">
      <c r="B72" s="373">
        <v>43252</v>
      </c>
      <c r="C72" s="374">
        <v>55</v>
      </c>
      <c r="D72" s="374">
        <v>836</v>
      </c>
      <c r="E72" s="374">
        <v>774</v>
      </c>
      <c r="F72" s="374">
        <v>1610</v>
      </c>
    </row>
    <row r="73" spans="2:6" hidden="1" outlineLevel="1" x14ac:dyDescent="0.25">
      <c r="B73" s="373">
        <v>43282</v>
      </c>
      <c r="C73" s="374">
        <v>54</v>
      </c>
      <c r="D73" s="374">
        <v>1124</v>
      </c>
      <c r="E73" s="374">
        <v>980</v>
      </c>
      <c r="F73" s="374">
        <v>2104</v>
      </c>
    </row>
    <row r="74" spans="2:6" hidden="1" outlineLevel="1" x14ac:dyDescent="0.25">
      <c r="B74" s="373">
        <v>43313</v>
      </c>
      <c r="C74" s="374">
        <v>74</v>
      </c>
      <c r="D74" s="374">
        <v>1725</v>
      </c>
      <c r="E74" s="374">
        <v>1398</v>
      </c>
      <c r="F74" s="374">
        <v>3123</v>
      </c>
    </row>
    <row r="75" spans="2:6" hidden="1" outlineLevel="1" x14ac:dyDescent="0.25">
      <c r="B75" s="373">
        <v>43344</v>
      </c>
      <c r="C75" s="374">
        <v>50</v>
      </c>
      <c r="D75" s="374">
        <v>1229</v>
      </c>
      <c r="E75" s="374">
        <v>1067</v>
      </c>
      <c r="F75" s="374">
        <v>2296</v>
      </c>
    </row>
    <row r="76" spans="2:6" hidden="1" outlineLevel="1" x14ac:dyDescent="0.25">
      <c r="B76" s="373">
        <v>43374</v>
      </c>
      <c r="C76" s="374">
        <v>31</v>
      </c>
      <c r="D76" s="374">
        <v>1359</v>
      </c>
      <c r="E76" s="374">
        <v>477</v>
      </c>
      <c r="F76" s="374">
        <v>1836</v>
      </c>
    </row>
    <row r="77" spans="2:6" hidden="1" outlineLevel="1" x14ac:dyDescent="0.25">
      <c r="B77" s="373">
        <v>43405</v>
      </c>
      <c r="C77" s="374">
        <v>21</v>
      </c>
      <c r="D77" s="374">
        <v>1224</v>
      </c>
      <c r="E77" s="374">
        <v>699</v>
      </c>
      <c r="F77" s="374">
        <v>1923</v>
      </c>
    </row>
    <row r="78" spans="2:6" hidden="1" outlineLevel="1" x14ac:dyDescent="0.25">
      <c r="B78" s="373">
        <v>43435</v>
      </c>
      <c r="C78" s="374">
        <v>63</v>
      </c>
      <c r="D78" s="374">
        <v>1322</v>
      </c>
      <c r="E78" s="374">
        <v>1102</v>
      </c>
      <c r="F78" s="374">
        <v>2424</v>
      </c>
    </row>
    <row r="79" spans="2:6" collapsed="1" x14ac:dyDescent="0.25">
      <c r="B79" s="389" t="s">
        <v>59</v>
      </c>
      <c r="C79" s="390">
        <v>578</v>
      </c>
      <c r="D79" s="390">
        <v>13715</v>
      </c>
      <c r="E79" s="390">
        <v>10369</v>
      </c>
      <c r="F79" s="390">
        <v>24084</v>
      </c>
    </row>
    <row r="80" spans="2:6" hidden="1" outlineLevel="1" x14ac:dyDescent="0.25">
      <c r="B80" s="373">
        <v>43466</v>
      </c>
      <c r="C80" s="374">
        <v>46</v>
      </c>
      <c r="D80" s="374">
        <v>1409</v>
      </c>
      <c r="E80" s="374">
        <v>848</v>
      </c>
      <c r="F80" s="374">
        <v>2257</v>
      </c>
    </row>
    <row r="81" spans="2:6" hidden="1" outlineLevel="1" x14ac:dyDescent="0.25">
      <c r="B81" s="373">
        <v>43497</v>
      </c>
      <c r="C81" s="374">
        <v>47</v>
      </c>
      <c r="D81" s="374">
        <v>543</v>
      </c>
      <c r="E81" s="374">
        <v>395</v>
      </c>
      <c r="F81" s="374">
        <v>938</v>
      </c>
    </row>
    <row r="82" spans="2:6" hidden="1" outlineLevel="1" x14ac:dyDescent="0.25">
      <c r="B82" s="373">
        <v>43525</v>
      </c>
      <c r="C82" s="374">
        <v>42</v>
      </c>
      <c r="D82" s="374">
        <v>524</v>
      </c>
      <c r="E82" s="374">
        <v>314</v>
      </c>
      <c r="F82" s="374">
        <v>838</v>
      </c>
    </row>
    <row r="83" spans="2:6" hidden="1" outlineLevel="1" x14ac:dyDescent="0.25">
      <c r="B83" s="373">
        <v>43556</v>
      </c>
      <c r="C83" s="374">
        <v>49</v>
      </c>
      <c r="D83" s="374">
        <v>627</v>
      </c>
      <c r="E83" s="374">
        <v>551</v>
      </c>
      <c r="F83" s="374">
        <v>1178</v>
      </c>
    </row>
    <row r="84" spans="2:6" hidden="1" outlineLevel="1" x14ac:dyDescent="0.25">
      <c r="B84" s="373">
        <v>43586</v>
      </c>
      <c r="C84" s="374">
        <v>71</v>
      </c>
      <c r="D84" s="374">
        <v>1402</v>
      </c>
      <c r="E84" s="374">
        <v>1306</v>
      </c>
      <c r="F84" s="374">
        <v>2708</v>
      </c>
    </row>
    <row r="85" spans="2:6" hidden="1" outlineLevel="1" x14ac:dyDescent="0.25">
      <c r="B85" s="373">
        <v>43617</v>
      </c>
      <c r="C85" s="374">
        <v>68</v>
      </c>
      <c r="D85" s="374">
        <v>1687</v>
      </c>
      <c r="E85" s="374">
        <v>1029</v>
      </c>
      <c r="F85" s="374">
        <v>2716</v>
      </c>
    </row>
    <row r="86" spans="2:6" hidden="1" outlineLevel="1" x14ac:dyDescent="0.25">
      <c r="B86" s="373">
        <v>43647</v>
      </c>
      <c r="C86" s="374">
        <v>73</v>
      </c>
      <c r="D86" s="374">
        <v>1201</v>
      </c>
      <c r="E86" s="374">
        <v>953</v>
      </c>
      <c r="F86" s="374">
        <v>2154</v>
      </c>
    </row>
    <row r="87" spans="2:6" hidden="1" outlineLevel="1" x14ac:dyDescent="0.25">
      <c r="B87" s="373">
        <v>43678</v>
      </c>
      <c r="C87" s="374">
        <v>72</v>
      </c>
      <c r="D87" s="374">
        <v>1090</v>
      </c>
      <c r="E87" s="374">
        <v>1128</v>
      </c>
      <c r="F87" s="374">
        <v>2218</v>
      </c>
    </row>
    <row r="88" spans="2:6" hidden="1" outlineLevel="1" x14ac:dyDescent="0.25">
      <c r="B88" s="373">
        <v>43709</v>
      </c>
      <c r="C88" s="374">
        <v>81</v>
      </c>
      <c r="D88" s="374">
        <v>620</v>
      </c>
      <c r="E88" s="374">
        <v>590</v>
      </c>
      <c r="F88" s="374">
        <v>1210</v>
      </c>
    </row>
    <row r="89" spans="2:6" hidden="1" outlineLevel="1" x14ac:dyDescent="0.25">
      <c r="B89" s="373">
        <v>43739</v>
      </c>
      <c r="C89" s="374">
        <v>33</v>
      </c>
      <c r="D89" s="374">
        <v>599</v>
      </c>
      <c r="E89" s="374">
        <v>438</v>
      </c>
      <c r="F89" s="374">
        <v>1037</v>
      </c>
    </row>
    <row r="90" spans="2:6" hidden="1" outlineLevel="1" x14ac:dyDescent="0.25">
      <c r="B90" s="373">
        <v>43770</v>
      </c>
      <c r="C90" s="374">
        <v>78</v>
      </c>
      <c r="D90" s="374">
        <v>535</v>
      </c>
      <c r="E90" s="374">
        <v>508</v>
      </c>
      <c r="F90" s="374">
        <v>1043</v>
      </c>
    </row>
    <row r="91" spans="2:6" hidden="1" outlineLevel="1" x14ac:dyDescent="0.25">
      <c r="B91" s="373">
        <v>43800</v>
      </c>
      <c r="C91" s="374">
        <v>77</v>
      </c>
      <c r="D91" s="374">
        <v>536</v>
      </c>
      <c r="E91" s="374">
        <v>544</v>
      </c>
      <c r="F91" s="374">
        <v>1080</v>
      </c>
    </row>
    <row r="92" spans="2:6" collapsed="1" x14ac:dyDescent="0.25">
      <c r="B92" s="389" t="s">
        <v>60</v>
      </c>
      <c r="C92" s="390">
        <v>737</v>
      </c>
      <c r="D92" s="390">
        <v>10773</v>
      </c>
      <c r="E92" s="390">
        <v>8604</v>
      </c>
      <c r="F92" s="390">
        <v>19377</v>
      </c>
    </row>
    <row r="93" spans="2:6" hidden="1" outlineLevel="1" x14ac:dyDescent="0.25">
      <c r="B93" s="373">
        <v>43831</v>
      </c>
      <c r="C93" s="374">
        <v>83</v>
      </c>
      <c r="D93" s="374">
        <v>1062</v>
      </c>
      <c r="E93" s="374">
        <v>1446</v>
      </c>
      <c r="F93" s="374">
        <v>2508</v>
      </c>
    </row>
    <row r="94" spans="2:6" hidden="1" outlineLevel="1" x14ac:dyDescent="0.25">
      <c r="B94" s="373">
        <v>43862</v>
      </c>
      <c r="C94" s="374">
        <v>91</v>
      </c>
      <c r="D94" s="374">
        <v>1308</v>
      </c>
      <c r="E94" s="374">
        <v>1064</v>
      </c>
      <c r="F94" s="374">
        <v>2372</v>
      </c>
    </row>
    <row r="95" spans="2:6" hidden="1" outlineLevel="1" x14ac:dyDescent="0.25">
      <c r="B95" s="373">
        <v>43891</v>
      </c>
      <c r="C95" s="374">
        <v>73</v>
      </c>
      <c r="D95" s="374">
        <v>908</v>
      </c>
      <c r="E95" s="374">
        <v>827</v>
      </c>
      <c r="F95" s="374">
        <v>1735</v>
      </c>
    </row>
    <row r="96" spans="2:6" hidden="1" outlineLevel="1" x14ac:dyDescent="0.25">
      <c r="B96" s="373">
        <v>43922</v>
      </c>
      <c r="C96" s="374">
        <v>13</v>
      </c>
      <c r="D96" s="374">
        <v>34</v>
      </c>
      <c r="E96" s="374">
        <v>58</v>
      </c>
      <c r="F96" s="374">
        <v>92</v>
      </c>
    </row>
    <row r="97" spans="2:6" hidden="1" outlineLevel="1" x14ac:dyDescent="0.25">
      <c r="B97" s="373">
        <v>43952</v>
      </c>
      <c r="C97" s="374">
        <v>16</v>
      </c>
      <c r="D97" s="374">
        <v>356</v>
      </c>
      <c r="E97" s="374">
        <v>298</v>
      </c>
      <c r="F97" s="374">
        <v>654</v>
      </c>
    </row>
    <row r="98" spans="2:6" hidden="1" outlineLevel="1" x14ac:dyDescent="0.25">
      <c r="B98" s="373">
        <v>43983</v>
      </c>
      <c r="C98" s="374">
        <v>16</v>
      </c>
      <c r="D98" s="374">
        <v>143</v>
      </c>
      <c r="E98" s="374">
        <v>150</v>
      </c>
      <c r="F98" s="374">
        <v>293</v>
      </c>
    </row>
    <row r="99" spans="2:6" hidden="1" outlineLevel="1" x14ac:dyDescent="0.25">
      <c r="B99" s="373">
        <v>44013</v>
      </c>
      <c r="C99" s="374">
        <v>26</v>
      </c>
      <c r="D99" s="374">
        <v>245</v>
      </c>
      <c r="E99" s="374">
        <v>212</v>
      </c>
      <c r="F99" s="374">
        <v>457</v>
      </c>
    </row>
    <row r="100" spans="2:6" hidden="1" outlineLevel="1" x14ac:dyDescent="0.25">
      <c r="B100" s="373">
        <v>44044</v>
      </c>
      <c r="C100" s="374">
        <v>27</v>
      </c>
      <c r="D100" s="374">
        <v>364</v>
      </c>
      <c r="E100" s="374">
        <v>280</v>
      </c>
      <c r="F100" s="374">
        <v>644</v>
      </c>
    </row>
    <row r="101" spans="2:6" hidden="1" outlineLevel="1" x14ac:dyDescent="0.25">
      <c r="B101" s="373">
        <v>44075</v>
      </c>
      <c r="C101" s="374">
        <v>32</v>
      </c>
      <c r="D101" s="374">
        <v>439</v>
      </c>
      <c r="E101" s="374">
        <v>549</v>
      </c>
      <c r="F101" s="374">
        <v>988</v>
      </c>
    </row>
    <row r="102" spans="2:6" hidden="1" outlineLevel="1" x14ac:dyDescent="0.25">
      <c r="B102" s="373">
        <v>44105</v>
      </c>
      <c r="C102" s="374">
        <v>45</v>
      </c>
      <c r="D102" s="374">
        <v>439</v>
      </c>
      <c r="E102" s="374">
        <v>356</v>
      </c>
      <c r="F102" s="374">
        <v>795</v>
      </c>
    </row>
    <row r="103" spans="2:6" hidden="1" outlineLevel="1" x14ac:dyDescent="0.25">
      <c r="B103" s="373">
        <v>44136</v>
      </c>
      <c r="C103" s="374">
        <v>21</v>
      </c>
      <c r="D103" s="374">
        <v>423</v>
      </c>
      <c r="E103" s="374">
        <v>315</v>
      </c>
      <c r="F103" s="374">
        <v>738</v>
      </c>
    </row>
    <row r="104" spans="2:6" hidden="1" outlineLevel="1" x14ac:dyDescent="0.25">
      <c r="B104" s="373">
        <v>44166</v>
      </c>
      <c r="C104" s="374">
        <v>14</v>
      </c>
      <c r="D104" s="374">
        <v>326</v>
      </c>
      <c r="E104" s="374">
        <v>348</v>
      </c>
      <c r="F104" s="374">
        <v>674</v>
      </c>
    </row>
    <row r="105" spans="2:6" collapsed="1" x14ac:dyDescent="0.25">
      <c r="B105" s="389" t="s">
        <v>64</v>
      </c>
      <c r="C105" s="390">
        <v>457</v>
      </c>
      <c r="D105" s="390">
        <v>6047</v>
      </c>
      <c r="E105" s="390">
        <v>5903</v>
      </c>
      <c r="F105" s="390">
        <v>11950</v>
      </c>
    </row>
    <row r="106" spans="2:6" hidden="1" outlineLevel="1" x14ac:dyDescent="0.25">
      <c r="B106" s="373">
        <v>44197</v>
      </c>
      <c r="C106" s="374">
        <v>21</v>
      </c>
      <c r="D106" s="374">
        <v>863</v>
      </c>
      <c r="E106" s="374">
        <v>646</v>
      </c>
      <c r="F106" s="374">
        <v>1509</v>
      </c>
    </row>
    <row r="107" spans="2:6" hidden="1" outlineLevel="1" x14ac:dyDescent="0.25">
      <c r="B107" s="373">
        <v>44228</v>
      </c>
      <c r="C107" s="374">
        <v>12</v>
      </c>
      <c r="D107" s="374">
        <v>504</v>
      </c>
      <c r="E107" s="374">
        <v>400</v>
      </c>
      <c r="F107" s="374">
        <v>904</v>
      </c>
    </row>
    <row r="108" spans="2:6" hidden="1" outlineLevel="1" x14ac:dyDescent="0.25">
      <c r="B108" s="373">
        <v>44256</v>
      </c>
      <c r="C108" s="374">
        <v>17</v>
      </c>
      <c r="D108" s="374">
        <v>371</v>
      </c>
      <c r="E108" s="374">
        <v>245</v>
      </c>
      <c r="F108" s="374">
        <v>616</v>
      </c>
    </row>
    <row r="109" spans="2:6" hidden="1" outlineLevel="1" x14ac:dyDescent="0.25">
      <c r="B109" s="373">
        <v>44287</v>
      </c>
      <c r="C109" s="374">
        <v>9</v>
      </c>
      <c r="D109" s="374">
        <v>304</v>
      </c>
      <c r="E109" s="374">
        <v>210</v>
      </c>
      <c r="F109" s="374">
        <v>514</v>
      </c>
    </row>
    <row r="110" spans="2:6" hidden="1" outlineLevel="1" x14ac:dyDescent="0.25">
      <c r="B110" s="373">
        <v>44317</v>
      </c>
      <c r="C110" s="374">
        <v>37</v>
      </c>
      <c r="D110" s="374">
        <v>321</v>
      </c>
      <c r="E110" s="374">
        <v>719</v>
      </c>
      <c r="F110" s="374">
        <v>1040</v>
      </c>
    </row>
    <row r="111" spans="2:6" hidden="1" outlineLevel="1" x14ac:dyDescent="0.25">
      <c r="B111" s="373">
        <v>44348</v>
      </c>
      <c r="C111" s="374">
        <v>54</v>
      </c>
      <c r="D111" s="374">
        <v>420</v>
      </c>
      <c r="E111" s="374">
        <v>429</v>
      </c>
      <c r="F111" s="374">
        <v>849</v>
      </c>
    </row>
    <row r="112" spans="2:6" hidden="1" outlineLevel="1" x14ac:dyDescent="0.25">
      <c r="B112" s="373">
        <v>44378</v>
      </c>
      <c r="C112" s="374">
        <v>14</v>
      </c>
      <c r="D112" s="374">
        <v>83</v>
      </c>
      <c r="E112" s="374">
        <v>65</v>
      </c>
      <c r="F112" s="374">
        <v>148</v>
      </c>
    </row>
    <row r="113" spans="2:6" hidden="1" outlineLevel="1" x14ac:dyDescent="0.25">
      <c r="B113" s="373">
        <v>44409</v>
      </c>
      <c r="C113" s="374">
        <v>50</v>
      </c>
      <c r="D113" s="374">
        <v>526</v>
      </c>
      <c r="E113" s="374">
        <v>488</v>
      </c>
      <c r="F113" s="374">
        <v>1014</v>
      </c>
    </row>
    <row r="114" spans="2:6" hidden="1" outlineLevel="1" x14ac:dyDescent="0.25">
      <c r="B114" s="373">
        <v>44440</v>
      </c>
      <c r="C114" s="374">
        <v>17</v>
      </c>
      <c r="D114" s="374">
        <v>200</v>
      </c>
      <c r="E114" s="374">
        <v>159</v>
      </c>
      <c r="F114" s="374">
        <v>359</v>
      </c>
    </row>
    <row r="115" spans="2:6" hidden="1" outlineLevel="1" x14ac:dyDescent="0.25">
      <c r="B115" s="373">
        <v>44470</v>
      </c>
      <c r="C115" s="374">
        <v>17</v>
      </c>
      <c r="D115" s="374">
        <v>244</v>
      </c>
      <c r="E115" s="374">
        <v>174</v>
      </c>
      <c r="F115" s="374">
        <v>418</v>
      </c>
    </row>
    <row r="116" spans="2:6" hidden="1" outlineLevel="1" x14ac:dyDescent="0.25">
      <c r="B116" s="373">
        <v>44501</v>
      </c>
      <c r="C116" s="374">
        <v>13</v>
      </c>
      <c r="D116" s="374">
        <v>138</v>
      </c>
      <c r="E116" s="374">
        <v>158</v>
      </c>
      <c r="F116" s="374">
        <v>296</v>
      </c>
    </row>
    <row r="117" spans="2:6" hidden="1" outlineLevel="1" x14ac:dyDescent="0.25">
      <c r="B117" s="373">
        <v>44531</v>
      </c>
      <c r="C117" s="374">
        <v>35</v>
      </c>
      <c r="D117" s="374">
        <v>241</v>
      </c>
      <c r="E117" s="374">
        <v>258</v>
      </c>
      <c r="F117" s="374">
        <v>499</v>
      </c>
    </row>
    <row r="118" spans="2:6" collapsed="1" x14ac:dyDescent="0.25">
      <c r="B118" s="389" t="s">
        <v>65</v>
      </c>
      <c r="C118" s="390">
        <v>296</v>
      </c>
      <c r="D118" s="390">
        <v>4215</v>
      </c>
      <c r="E118" s="390">
        <v>3951</v>
      </c>
      <c r="F118" s="390">
        <v>8166</v>
      </c>
    </row>
    <row r="119" spans="2:6" hidden="1" outlineLevel="1" x14ac:dyDescent="0.25">
      <c r="B119" s="373">
        <v>44562</v>
      </c>
      <c r="C119" s="374">
        <v>52</v>
      </c>
      <c r="D119" s="374">
        <v>987</v>
      </c>
      <c r="E119" s="374">
        <v>892</v>
      </c>
      <c r="F119" s="374">
        <v>1879</v>
      </c>
    </row>
    <row r="120" spans="2:6" hidden="1" outlineLevel="1" x14ac:dyDescent="0.25">
      <c r="B120" s="373">
        <v>44593</v>
      </c>
      <c r="C120" s="374">
        <v>47</v>
      </c>
      <c r="D120" s="374">
        <v>751</v>
      </c>
      <c r="E120" s="374">
        <v>629</v>
      </c>
      <c r="F120" s="374">
        <v>1380</v>
      </c>
    </row>
    <row r="121" spans="2:6" hidden="1" outlineLevel="1" x14ac:dyDescent="0.25">
      <c r="B121" s="373">
        <v>44621</v>
      </c>
      <c r="C121" s="374">
        <v>69</v>
      </c>
      <c r="D121" s="374">
        <v>383</v>
      </c>
      <c r="E121" s="374">
        <v>358</v>
      </c>
      <c r="F121" s="374">
        <v>741</v>
      </c>
    </row>
    <row r="122" spans="2:6" hidden="1" outlineLevel="1" x14ac:dyDescent="0.25">
      <c r="B122" s="373">
        <v>44652</v>
      </c>
      <c r="C122" s="374">
        <v>75</v>
      </c>
      <c r="D122" s="374">
        <v>425</v>
      </c>
      <c r="E122" s="374">
        <v>381</v>
      </c>
      <c r="F122" s="374">
        <v>806</v>
      </c>
    </row>
    <row r="123" spans="2:6" hidden="1" outlineLevel="1" x14ac:dyDescent="0.25">
      <c r="B123" s="373">
        <v>44682</v>
      </c>
      <c r="C123" s="374">
        <v>80</v>
      </c>
      <c r="D123" s="374">
        <v>426</v>
      </c>
      <c r="E123" s="374">
        <v>325</v>
      </c>
      <c r="F123" s="374">
        <v>751</v>
      </c>
    </row>
    <row r="124" spans="2:6" hidden="1" outlineLevel="1" x14ac:dyDescent="0.25">
      <c r="B124" s="373">
        <v>44713</v>
      </c>
      <c r="C124" s="374">
        <v>51</v>
      </c>
      <c r="D124" s="374">
        <v>361</v>
      </c>
      <c r="E124" s="374">
        <v>295</v>
      </c>
      <c r="F124" s="374">
        <v>656</v>
      </c>
    </row>
    <row r="125" spans="2:6" hidden="1" outlineLevel="1" x14ac:dyDescent="0.25">
      <c r="B125" s="373">
        <v>44743</v>
      </c>
      <c r="C125" s="374">
        <v>38</v>
      </c>
      <c r="D125" s="374">
        <v>482</v>
      </c>
      <c r="E125" s="374">
        <v>401</v>
      </c>
      <c r="F125" s="374">
        <v>883</v>
      </c>
    </row>
    <row r="126" spans="2:6" hidden="1" outlineLevel="1" x14ac:dyDescent="0.25">
      <c r="B126" s="373">
        <v>44774</v>
      </c>
      <c r="C126" s="374">
        <v>35</v>
      </c>
      <c r="D126" s="374">
        <v>909</v>
      </c>
      <c r="E126" s="374">
        <v>570</v>
      </c>
      <c r="F126" s="374">
        <v>1479</v>
      </c>
    </row>
    <row r="127" spans="2:6" hidden="1" outlineLevel="1" x14ac:dyDescent="0.25">
      <c r="B127" s="373">
        <v>44805</v>
      </c>
      <c r="C127" s="374">
        <v>20</v>
      </c>
      <c r="D127" s="374">
        <v>387</v>
      </c>
      <c r="E127" s="374">
        <v>319</v>
      </c>
      <c r="F127" s="374">
        <v>706</v>
      </c>
    </row>
    <row r="128" spans="2:6" hidden="1" outlineLevel="1" x14ac:dyDescent="0.25">
      <c r="B128" s="373">
        <v>44835</v>
      </c>
      <c r="C128" s="374">
        <v>33</v>
      </c>
      <c r="D128" s="374">
        <v>504</v>
      </c>
      <c r="E128" s="374">
        <v>459</v>
      </c>
      <c r="F128" s="374">
        <v>963</v>
      </c>
    </row>
    <row r="129" spans="2:10" hidden="1" outlineLevel="1" x14ac:dyDescent="0.25">
      <c r="B129" s="373">
        <v>44866</v>
      </c>
      <c r="C129" s="374">
        <v>53</v>
      </c>
      <c r="D129" s="374">
        <v>204</v>
      </c>
      <c r="E129" s="374">
        <v>266</v>
      </c>
      <c r="F129" s="374">
        <v>470</v>
      </c>
    </row>
    <row r="130" spans="2:10" hidden="1" outlineLevel="1" x14ac:dyDescent="0.25">
      <c r="B130" s="373">
        <v>44896</v>
      </c>
      <c r="C130" s="374">
        <v>49</v>
      </c>
      <c r="D130" s="374">
        <v>219</v>
      </c>
      <c r="E130" s="374">
        <v>281</v>
      </c>
      <c r="F130" s="374">
        <v>500</v>
      </c>
    </row>
    <row r="131" spans="2:10" collapsed="1" x14ac:dyDescent="0.25">
      <c r="B131" s="389" t="s">
        <v>66</v>
      </c>
      <c r="C131" s="390">
        <v>602</v>
      </c>
      <c r="D131" s="390">
        <v>6038</v>
      </c>
      <c r="E131" s="390">
        <v>5176</v>
      </c>
      <c r="F131" s="390">
        <v>11214</v>
      </c>
    </row>
    <row r="132" spans="2:10" hidden="1" outlineLevel="1" x14ac:dyDescent="0.25">
      <c r="B132" s="373">
        <v>44927</v>
      </c>
      <c r="C132" s="374">
        <v>49</v>
      </c>
      <c r="D132" s="374">
        <v>321</v>
      </c>
      <c r="E132" s="374">
        <v>409</v>
      </c>
      <c r="F132" s="374">
        <v>730</v>
      </c>
    </row>
    <row r="133" spans="2:10" hidden="1" outlineLevel="1" x14ac:dyDescent="0.25">
      <c r="B133" s="373">
        <v>44958</v>
      </c>
      <c r="C133" s="374">
        <v>19</v>
      </c>
      <c r="D133" s="374">
        <v>443</v>
      </c>
      <c r="E133" s="374">
        <v>408</v>
      </c>
      <c r="F133" s="374">
        <v>851</v>
      </c>
    </row>
    <row r="134" spans="2:10" hidden="1" outlineLevel="1" x14ac:dyDescent="0.25">
      <c r="B134" s="373">
        <v>44986</v>
      </c>
      <c r="C134" s="374">
        <v>41</v>
      </c>
      <c r="D134" s="374">
        <v>272</v>
      </c>
      <c r="E134" s="374">
        <v>339</v>
      </c>
      <c r="F134" s="374">
        <v>611</v>
      </c>
    </row>
    <row r="135" spans="2:10" hidden="1" outlineLevel="1" x14ac:dyDescent="0.25">
      <c r="B135" s="373">
        <v>45017</v>
      </c>
      <c r="C135" s="374">
        <v>37</v>
      </c>
      <c r="D135" s="374">
        <v>872</v>
      </c>
      <c r="E135" s="374">
        <v>903</v>
      </c>
      <c r="F135" s="374">
        <v>1775</v>
      </c>
    </row>
    <row r="136" spans="2:10" hidden="1" outlineLevel="1" x14ac:dyDescent="0.25">
      <c r="B136" s="373">
        <v>45047</v>
      </c>
      <c r="C136" s="374">
        <v>23</v>
      </c>
      <c r="D136" s="374">
        <v>166</v>
      </c>
      <c r="E136" s="374">
        <v>181</v>
      </c>
      <c r="F136" s="374">
        <v>347</v>
      </c>
    </row>
    <row r="137" spans="2:10" hidden="1" outlineLevel="1" x14ac:dyDescent="0.25">
      <c r="B137" s="373">
        <v>45078</v>
      </c>
      <c r="C137" s="374">
        <v>15</v>
      </c>
      <c r="D137" s="374">
        <v>274</v>
      </c>
      <c r="E137" s="374">
        <v>259</v>
      </c>
      <c r="F137" s="374">
        <v>533</v>
      </c>
    </row>
    <row r="138" spans="2:10" hidden="1" outlineLevel="1" x14ac:dyDescent="0.25">
      <c r="B138" s="373">
        <v>45108</v>
      </c>
      <c r="C138" s="374">
        <v>31</v>
      </c>
      <c r="D138" s="374">
        <v>993</v>
      </c>
      <c r="E138" s="374">
        <v>939</v>
      </c>
      <c r="F138" s="374">
        <v>1932</v>
      </c>
    </row>
    <row r="139" spans="2:10" hidden="1" outlineLevel="1" x14ac:dyDescent="0.25">
      <c r="B139" s="373">
        <v>45139</v>
      </c>
      <c r="C139" s="374">
        <v>23</v>
      </c>
      <c r="D139" s="374">
        <v>53</v>
      </c>
      <c r="E139" s="374">
        <v>68</v>
      </c>
      <c r="F139" s="374">
        <v>121</v>
      </c>
    </row>
    <row r="140" spans="2:10" hidden="1" outlineLevel="1" x14ac:dyDescent="0.25">
      <c r="B140" s="373">
        <v>45170</v>
      </c>
      <c r="C140" s="374">
        <v>22</v>
      </c>
      <c r="D140" s="374">
        <v>214</v>
      </c>
      <c r="E140" s="374">
        <v>285</v>
      </c>
      <c r="F140" s="374">
        <v>499</v>
      </c>
      <c r="H140" s="144"/>
      <c r="I140" s="144"/>
      <c r="J140" s="144"/>
    </row>
    <row r="141" spans="2:10" hidden="1" outlineLevel="1" x14ac:dyDescent="0.25">
      <c r="B141" s="373">
        <v>45200</v>
      </c>
      <c r="C141" s="374">
        <v>11</v>
      </c>
      <c r="D141" s="374">
        <v>242</v>
      </c>
      <c r="E141" s="374">
        <v>80</v>
      </c>
      <c r="F141" s="374">
        <v>322</v>
      </c>
      <c r="H141" s="144"/>
      <c r="I141" s="144"/>
      <c r="J141" s="144"/>
    </row>
    <row r="142" spans="2:10" hidden="1" outlineLevel="1" x14ac:dyDescent="0.25">
      <c r="B142" s="373">
        <v>45231</v>
      </c>
      <c r="C142" s="374">
        <v>13</v>
      </c>
      <c r="D142" s="374">
        <v>86</v>
      </c>
      <c r="E142" s="374">
        <v>109</v>
      </c>
      <c r="F142" s="374">
        <v>195</v>
      </c>
      <c r="H142" s="144"/>
      <c r="I142" s="144"/>
      <c r="J142" s="144"/>
    </row>
    <row r="143" spans="2:10" hidden="1" outlineLevel="1" x14ac:dyDescent="0.25">
      <c r="B143" s="373">
        <v>45261</v>
      </c>
      <c r="C143" s="374">
        <v>13</v>
      </c>
      <c r="D143" s="374">
        <v>479</v>
      </c>
      <c r="E143" s="374">
        <v>587</v>
      </c>
      <c r="F143" s="374">
        <v>1066</v>
      </c>
      <c r="H143" s="144"/>
      <c r="I143" s="144"/>
      <c r="J143" s="144"/>
    </row>
    <row r="144" spans="2:10" collapsed="1" x14ac:dyDescent="0.25">
      <c r="B144" s="389" t="s">
        <v>929</v>
      </c>
      <c r="C144" s="390">
        <v>297</v>
      </c>
      <c r="D144" s="390">
        <v>4415</v>
      </c>
      <c r="E144" s="390">
        <v>4567</v>
      </c>
      <c r="F144" s="390">
        <v>8982</v>
      </c>
      <c r="H144" s="144"/>
      <c r="I144" s="144"/>
      <c r="J144" s="144"/>
    </row>
    <row r="145" spans="2:11" hidden="1" outlineLevel="1" x14ac:dyDescent="0.25">
      <c r="B145" s="373">
        <v>45292</v>
      </c>
      <c r="C145" s="374">
        <v>27</v>
      </c>
      <c r="D145" s="374">
        <v>1812</v>
      </c>
      <c r="E145" s="374">
        <v>1084</v>
      </c>
      <c r="F145" s="374">
        <v>2896</v>
      </c>
      <c r="H145" s="144"/>
      <c r="I145" s="144"/>
      <c r="J145" s="144"/>
    </row>
    <row r="146" spans="2:11" hidden="1" outlineLevel="1" x14ac:dyDescent="0.25">
      <c r="B146" s="373">
        <v>45323</v>
      </c>
      <c r="C146" s="374">
        <v>14</v>
      </c>
      <c r="D146" s="374">
        <v>625</v>
      </c>
      <c r="E146" s="374">
        <v>568</v>
      </c>
      <c r="F146" s="374">
        <v>1193</v>
      </c>
      <c r="H146" s="144"/>
      <c r="I146" s="144"/>
      <c r="J146" s="144"/>
    </row>
    <row r="147" spans="2:11" hidden="1" outlineLevel="1" x14ac:dyDescent="0.25">
      <c r="B147" s="373">
        <v>45352</v>
      </c>
      <c r="C147" s="374">
        <v>12</v>
      </c>
      <c r="D147" s="374">
        <v>304</v>
      </c>
      <c r="E147" s="374">
        <v>261</v>
      </c>
      <c r="F147" s="374">
        <v>565</v>
      </c>
      <c r="H147" s="144"/>
      <c r="I147" s="144"/>
      <c r="J147" s="144"/>
    </row>
    <row r="148" spans="2:11" hidden="1" outlineLevel="1" x14ac:dyDescent="0.25">
      <c r="B148" s="373">
        <v>45383</v>
      </c>
      <c r="C148" s="374">
        <v>7</v>
      </c>
      <c r="D148" s="374">
        <v>90</v>
      </c>
      <c r="E148" s="374">
        <v>81</v>
      </c>
      <c r="F148" s="374">
        <v>171</v>
      </c>
      <c r="H148" s="144"/>
      <c r="I148" s="144"/>
      <c r="J148" s="144"/>
    </row>
    <row r="149" spans="2:11" hidden="1" outlineLevel="1" x14ac:dyDescent="0.25">
      <c r="B149" s="373">
        <v>45413</v>
      </c>
      <c r="C149" s="374">
        <v>14</v>
      </c>
      <c r="D149" s="374">
        <v>290</v>
      </c>
      <c r="E149" s="374">
        <v>433</v>
      </c>
      <c r="F149" s="374">
        <v>723</v>
      </c>
      <c r="H149" s="144"/>
      <c r="I149" s="144"/>
      <c r="J149" s="144"/>
    </row>
    <row r="150" spans="2:11" hidden="1" outlineLevel="1" x14ac:dyDescent="0.25">
      <c r="B150" s="373">
        <v>45444</v>
      </c>
      <c r="C150" s="374">
        <v>18</v>
      </c>
      <c r="D150" s="374">
        <v>262</v>
      </c>
      <c r="E150" s="374">
        <v>256</v>
      </c>
      <c r="F150" s="374">
        <v>518</v>
      </c>
      <c r="H150" s="144"/>
      <c r="I150" s="144"/>
      <c r="J150" s="144"/>
    </row>
    <row r="151" spans="2:11" hidden="1" outlineLevel="1" x14ac:dyDescent="0.25">
      <c r="B151" s="373">
        <v>45474</v>
      </c>
      <c r="C151" s="374">
        <v>13</v>
      </c>
      <c r="D151" s="374">
        <v>409</v>
      </c>
      <c r="E151" s="374">
        <v>352</v>
      </c>
      <c r="F151" s="374">
        <v>761</v>
      </c>
      <c r="H151" s="144"/>
      <c r="I151" s="144"/>
      <c r="J151" s="144"/>
    </row>
    <row r="152" spans="2:11" hidden="1" outlineLevel="1" x14ac:dyDescent="0.25">
      <c r="B152" s="373">
        <v>45505</v>
      </c>
      <c r="C152" s="374">
        <v>13</v>
      </c>
      <c r="D152" s="374">
        <v>247</v>
      </c>
      <c r="E152" s="374">
        <v>272</v>
      </c>
      <c r="F152" s="374">
        <v>519</v>
      </c>
      <c r="H152" s="144"/>
      <c r="I152" s="144"/>
      <c r="J152" s="144"/>
    </row>
    <row r="153" spans="2:11" hidden="1" outlineLevel="1" x14ac:dyDescent="0.25">
      <c r="B153" s="373">
        <v>45536</v>
      </c>
      <c r="C153" s="374">
        <v>14</v>
      </c>
      <c r="D153" s="374">
        <v>270</v>
      </c>
      <c r="E153" s="374">
        <v>291</v>
      </c>
      <c r="F153" s="374">
        <v>561</v>
      </c>
      <c r="H153" s="144"/>
      <c r="I153" s="144"/>
      <c r="J153" s="144"/>
    </row>
    <row r="154" spans="2:11" ht="30" collapsed="1" x14ac:dyDescent="0.25">
      <c r="B154" s="392" t="s">
        <v>948</v>
      </c>
      <c r="C154" s="390">
        <v>132</v>
      </c>
      <c r="D154" s="390">
        <v>4309</v>
      </c>
      <c r="E154" s="390">
        <v>3598</v>
      </c>
      <c r="F154" s="390">
        <v>7907</v>
      </c>
      <c r="H154" s="144"/>
      <c r="I154" s="144"/>
      <c r="J154" s="144"/>
    </row>
    <row r="155" spans="2:11" x14ac:dyDescent="0.25">
      <c r="B155" s="245" t="s">
        <v>949</v>
      </c>
      <c r="C155" s="267">
        <v>11654</v>
      </c>
      <c r="D155" s="267">
        <v>60517</v>
      </c>
      <c r="E155" s="267">
        <v>50688</v>
      </c>
      <c r="F155" s="267">
        <v>414837</v>
      </c>
    </row>
    <row r="156" spans="2:11" x14ac:dyDescent="0.25">
      <c r="B156" s="4" t="s">
        <v>803</v>
      </c>
    </row>
    <row r="157" spans="2:11" x14ac:dyDescent="0.25">
      <c r="D157" s="261"/>
      <c r="E157" s="261"/>
    </row>
    <row r="158" spans="2:11" ht="18.75" x14ac:dyDescent="0.3">
      <c r="B158" s="2" t="s">
        <v>728</v>
      </c>
      <c r="C158" s="2"/>
      <c r="D158" s="2"/>
      <c r="E158" s="2"/>
      <c r="F158" s="2"/>
      <c r="G158" s="2"/>
      <c r="H158" s="2"/>
      <c r="I158" s="2"/>
      <c r="J158" s="2"/>
      <c r="K158" s="2"/>
    </row>
    <row r="159" spans="2:11" x14ac:dyDescent="0.25">
      <c r="B159" s="3" t="s">
        <v>924</v>
      </c>
    </row>
    <row r="161" spans="2:6" x14ac:dyDescent="0.25">
      <c r="B161" s="523" t="s">
        <v>472</v>
      </c>
      <c r="C161" s="422" t="s">
        <v>688</v>
      </c>
      <c r="D161" s="422"/>
      <c r="E161" s="422"/>
      <c r="F161" s="524" t="s">
        <v>726</v>
      </c>
    </row>
    <row r="162" spans="2:6" x14ac:dyDescent="0.25">
      <c r="B162" s="523"/>
      <c r="C162" s="376" t="s">
        <v>14</v>
      </c>
      <c r="D162" s="376" t="s">
        <v>15</v>
      </c>
      <c r="E162" s="376" t="s">
        <v>727</v>
      </c>
      <c r="F162" s="524"/>
    </row>
    <row r="163" spans="2:6" x14ac:dyDescent="0.25">
      <c r="B163" s="393" t="s">
        <v>707</v>
      </c>
      <c r="C163" s="394">
        <v>114</v>
      </c>
      <c r="D163" s="394">
        <v>539</v>
      </c>
      <c r="E163" s="395">
        <v>154</v>
      </c>
      <c r="F163" s="394">
        <v>807</v>
      </c>
    </row>
    <row r="164" spans="2:6" hidden="1" outlineLevel="1" x14ac:dyDescent="0.25">
      <c r="B164" s="375">
        <v>41275</v>
      </c>
      <c r="C164" s="377">
        <v>8</v>
      </c>
      <c r="D164" s="377">
        <v>38</v>
      </c>
      <c r="E164" s="378">
        <v>12</v>
      </c>
      <c r="F164" s="377">
        <v>58</v>
      </c>
    </row>
    <row r="165" spans="2:6" hidden="1" outlineLevel="1" x14ac:dyDescent="0.25">
      <c r="B165" s="375">
        <v>41306</v>
      </c>
      <c r="C165" s="377">
        <v>5</v>
      </c>
      <c r="D165" s="377">
        <v>35</v>
      </c>
      <c r="E165" s="378">
        <v>15</v>
      </c>
      <c r="F165" s="377">
        <v>55</v>
      </c>
    </row>
    <row r="166" spans="2:6" hidden="1" outlineLevel="1" x14ac:dyDescent="0.25">
      <c r="B166" s="375">
        <v>41334</v>
      </c>
      <c r="C166" s="377">
        <v>10</v>
      </c>
      <c r="D166" s="377">
        <v>42</v>
      </c>
      <c r="E166" s="378">
        <v>12</v>
      </c>
      <c r="F166" s="377">
        <v>64</v>
      </c>
    </row>
    <row r="167" spans="2:6" hidden="1" outlineLevel="1" x14ac:dyDescent="0.25">
      <c r="B167" s="375">
        <v>41365</v>
      </c>
      <c r="C167" s="377">
        <v>10</v>
      </c>
      <c r="D167" s="377">
        <v>41</v>
      </c>
      <c r="E167" s="378">
        <v>15</v>
      </c>
      <c r="F167" s="377">
        <v>66</v>
      </c>
    </row>
    <row r="168" spans="2:6" hidden="1" outlineLevel="1" x14ac:dyDescent="0.25">
      <c r="B168" s="375">
        <v>41395</v>
      </c>
      <c r="C168" s="377">
        <v>6</v>
      </c>
      <c r="D168" s="377">
        <v>43</v>
      </c>
      <c r="E168" s="378">
        <v>11</v>
      </c>
      <c r="F168" s="377">
        <v>60</v>
      </c>
    </row>
    <row r="169" spans="2:6" hidden="1" outlineLevel="1" x14ac:dyDescent="0.25">
      <c r="B169" s="375">
        <v>41426</v>
      </c>
      <c r="C169" s="377">
        <v>6</v>
      </c>
      <c r="D169" s="377">
        <v>34</v>
      </c>
      <c r="E169" s="378">
        <v>14</v>
      </c>
      <c r="F169" s="377">
        <v>54</v>
      </c>
    </row>
    <row r="170" spans="2:6" hidden="1" outlineLevel="1" x14ac:dyDescent="0.25">
      <c r="B170" s="375">
        <v>41456</v>
      </c>
      <c r="C170" s="377">
        <v>4</v>
      </c>
      <c r="D170" s="377">
        <v>42</v>
      </c>
      <c r="E170" s="378">
        <v>12</v>
      </c>
      <c r="F170" s="377">
        <v>58</v>
      </c>
    </row>
    <row r="171" spans="2:6" hidden="1" outlineLevel="1" x14ac:dyDescent="0.25">
      <c r="B171" s="375">
        <v>41487</v>
      </c>
      <c r="C171" s="377">
        <v>7</v>
      </c>
      <c r="D171" s="377">
        <v>39</v>
      </c>
      <c r="E171" s="378">
        <v>12</v>
      </c>
      <c r="F171" s="377">
        <v>58</v>
      </c>
    </row>
    <row r="172" spans="2:6" hidden="1" outlineLevel="1" x14ac:dyDescent="0.25">
      <c r="B172" s="375">
        <v>41518</v>
      </c>
      <c r="C172" s="377">
        <v>5</v>
      </c>
      <c r="D172" s="377">
        <v>33</v>
      </c>
      <c r="E172" s="378">
        <v>12</v>
      </c>
      <c r="F172" s="377">
        <v>50</v>
      </c>
    </row>
    <row r="173" spans="2:6" hidden="1" outlineLevel="1" x14ac:dyDescent="0.25">
      <c r="B173" s="375">
        <v>41548</v>
      </c>
      <c r="C173" s="377">
        <v>3</v>
      </c>
      <c r="D173" s="377">
        <v>28</v>
      </c>
      <c r="E173" s="378">
        <v>17</v>
      </c>
      <c r="F173" s="377">
        <v>48</v>
      </c>
    </row>
    <row r="174" spans="2:6" hidden="1" outlineLevel="1" x14ac:dyDescent="0.25">
      <c r="B174" s="375">
        <v>41579</v>
      </c>
      <c r="C174" s="377">
        <v>3</v>
      </c>
      <c r="D174" s="377">
        <v>18</v>
      </c>
      <c r="E174" s="378">
        <v>7</v>
      </c>
      <c r="F174" s="377">
        <v>28</v>
      </c>
    </row>
    <row r="175" spans="2:6" hidden="1" outlineLevel="1" x14ac:dyDescent="0.25">
      <c r="B175" s="375">
        <v>41609</v>
      </c>
      <c r="C175" s="377">
        <v>7</v>
      </c>
      <c r="D175" s="377">
        <v>37</v>
      </c>
      <c r="E175" s="378">
        <v>11</v>
      </c>
      <c r="F175" s="377">
        <v>55</v>
      </c>
    </row>
    <row r="176" spans="2:6" collapsed="1" x14ac:dyDescent="0.25">
      <c r="B176" s="393" t="s">
        <v>34</v>
      </c>
      <c r="C176" s="394">
        <v>74</v>
      </c>
      <c r="D176" s="394">
        <v>430</v>
      </c>
      <c r="E176" s="395">
        <v>150</v>
      </c>
      <c r="F176" s="394">
        <v>654</v>
      </c>
    </row>
    <row r="177" spans="2:6" hidden="1" outlineLevel="1" x14ac:dyDescent="0.25">
      <c r="B177" s="375">
        <v>41640</v>
      </c>
      <c r="C177" s="377">
        <v>7</v>
      </c>
      <c r="D177" s="377">
        <v>32</v>
      </c>
      <c r="E177" s="378">
        <v>18</v>
      </c>
      <c r="F177" s="377">
        <v>57</v>
      </c>
    </row>
    <row r="178" spans="2:6" hidden="1" outlineLevel="1" x14ac:dyDescent="0.25">
      <c r="B178" s="375">
        <v>41671</v>
      </c>
      <c r="C178" s="377">
        <v>3</v>
      </c>
      <c r="D178" s="377">
        <v>24</v>
      </c>
      <c r="E178" s="378">
        <v>9</v>
      </c>
      <c r="F178" s="377">
        <v>36</v>
      </c>
    </row>
    <row r="179" spans="2:6" hidden="1" outlineLevel="1" x14ac:dyDescent="0.25">
      <c r="B179" s="375">
        <v>41699</v>
      </c>
      <c r="C179" s="377">
        <v>7</v>
      </c>
      <c r="D179" s="377">
        <v>21</v>
      </c>
      <c r="E179" s="378">
        <v>15</v>
      </c>
      <c r="F179" s="377">
        <v>43</v>
      </c>
    </row>
    <row r="180" spans="2:6" hidden="1" outlineLevel="1" x14ac:dyDescent="0.25">
      <c r="B180" s="375">
        <v>41730</v>
      </c>
      <c r="C180" s="377">
        <v>9</v>
      </c>
      <c r="D180" s="377">
        <v>25</v>
      </c>
      <c r="E180" s="378">
        <v>10</v>
      </c>
      <c r="F180" s="377">
        <v>44</v>
      </c>
    </row>
    <row r="181" spans="2:6" hidden="1" outlineLevel="1" x14ac:dyDescent="0.25">
      <c r="B181" s="375">
        <v>41760</v>
      </c>
      <c r="C181" s="377">
        <v>7</v>
      </c>
      <c r="D181" s="377">
        <v>29</v>
      </c>
      <c r="E181" s="378">
        <v>11</v>
      </c>
      <c r="F181" s="377">
        <v>47</v>
      </c>
    </row>
    <row r="182" spans="2:6" hidden="1" outlineLevel="1" x14ac:dyDescent="0.25">
      <c r="B182" s="375">
        <v>41791</v>
      </c>
      <c r="C182" s="377">
        <v>0</v>
      </c>
      <c r="D182" s="377">
        <v>31</v>
      </c>
      <c r="E182" s="378">
        <v>17</v>
      </c>
      <c r="F182" s="377">
        <v>48</v>
      </c>
    </row>
    <row r="183" spans="2:6" hidden="1" outlineLevel="1" x14ac:dyDescent="0.25">
      <c r="B183" s="375">
        <v>41821</v>
      </c>
      <c r="C183" s="377">
        <v>3</v>
      </c>
      <c r="D183" s="377">
        <v>29</v>
      </c>
      <c r="E183" s="378">
        <v>15</v>
      </c>
      <c r="F183" s="377">
        <v>47</v>
      </c>
    </row>
    <row r="184" spans="2:6" hidden="1" outlineLevel="1" x14ac:dyDescent="0.25">
      <c r="B184" s="375">
        <v>41852</v>
      </c>
      <c r="C184" s="377">
        <v>5</v>
      </c>
      <c r="D184" s="377">
        <v>30</v>
      </c>
      <c r="E184" s="378">
        <v>9</v>
      </c>
      <c r="F184" s="377">
        <v>44</v>
      </c>
    </row>
    <row r="185" spans="2:6" hidden="1" outlineLevel="1" x14ac:dyDescent="0.25">
      <c r="B185" s="375">
        <v>41883</v>
      </c>
      <c r="C185" s="377">
        <v>2</v>
      </c>
      <c r="D185" s="377">
        <v>39</v>
      </c>
      <c r="E185" s="378"/>
      <c r="F185" s="377">
        <v>41</v>
      </c>
    </row>
    <row r="186" spans="2:6" hidden="1" outlineLevel="1" x14ac:dyDescent="0.25">
      <c r="B186" s="375">
        <v>41913</v>
      </c>
      <c r="C186" s="377">
        <v>5</v>
      </c>
      <c r="D186" s="377">
        <v>29</v>
      </c>
      <c r="E186" s="378"/>
      <c r="F186" s="377">
        <v>34</v>
      </c>
    </row>
    <row r="187" spans="2:6" hidden="1" outlineLevel="1" x14ac:dyDescent="0.25">
      <c r="B187" s="375">
        <v>41944</v>
      </c>
      <c r="C187" s="377">
        <v>1</v>
      </c>
      <c r="D187" s="377">
        <v>20</v>
      </c>
      <c r="E187" s="378">
        <v>4</v>
      </c>
      <c r="F187" s="377">
        <v>25</v>
      </c>
    </row>
    <row r="188" spans="2:6" hidden="1" outlineLevel="1" x14ac:dyDescent="0.25">
      <c r="B188" s="375">
        <v>41974</v>
      </c>
      <c r="C188" s="377">
        <v>4</v>
      </c>
      <c r="D188" s="377">
        <v>38</v>
      </c>
      <c r="E188" s="378">
        <v>5</v>
      </c>
      <c r="F188" s="377">
        <v>47</v>
      </c>
    </row>
    <row r="189" spans="2:6" collapsed="1" x14ac:dyDescent="0.25">
      <c r="B189" s="393" t="s">
        <v>36</v>
      </c>
      <c r="C189" s="394">
        <v>53</v>
      </c>
      <c r="D189" s="394">
        <v>347</v>
      </c>
      <c r="E189" s="395">
        <v>113</v>
      </c>
      <c r="F189" s="394">
        <v>513</v>
      </c>
    </row>
    <row r="190" spans="2:6" hidden="1" outlineLevel="1" x14ac:dyDescent="0.25">
      <c r="B190" s="375">
        <v>42005</v>
      </c>
      <c r="C190" s="377">
        <v>2</v>
      </c>
      <c r="D190" s="377">
        <v>26</v>
      </c>
      <c r="E190" s="378">
        <v>12</v>
      </c>
      <c r="F190" s="377">
        <v>40</v>
      </c>
    </row>
    <row r="191" spans="2:6" hidden="1" outlineLevel="1" x14ac:dyDescent="0.25">
      <c r="B191" s="375">
        <v>42036</v>
      </c>
      <c r="C191" s="377">
        <v>1</v>
      </c>
      <c r="D191" s="377">
        <v>21</v>
      </c>
      <c r="E191" s="378">
        <v>15</v>
      </c>
      <c r="F191" s="377">
        <v>37</v>
      </c>
    </row>
    <row r="192" spans="2:6" hidden="1" outlineLevel="1" x14ac:dyDescent="0.25">
      <c r="B192" s="375">
        <v>42064</v>
      </c>
      <c r="C192" s="377">
        <v>7</v>
      </c>
      <c r="D192" s="377">
        <v>24</v>
      </c>
      <c r="E192" s="378">
        <v>8</v>
      </c>
      <c r="F192" s="377">
        <v>39</v>
      </c>
    </row>
    <row r="193" spans="2:6" hidden="1" outlineLevel="1" x14ac:dyDescent="0.25">
      <c r="B193" s="375">
        <v>42095</v>
      </c>
      <c r="C193" s="377">
        <v>7</v>
      </c>
      <c r="D193" s="377">
        <v>21</v>
      </c>
      <c r="E193" s="378">
        <v>5</v>
      </c>
      <c r="F193" s="377">
        <v>33</v>
      </c>
    </row>
    <row r="194" spans="2:6" hidden="1" outlineLevel="1" x14ac:dyDescent="0.25">
      <c r="B194" s="375">
        <v>42125</v>
      </c>
      <c r="C194" s="377"/>
      <c r="D194" s="377">
        <v>18</v>
      </c>
      <c r="E194" s="378">
        <v>13</v>
      </c>
      <c r="F194" s="377">
        <v>31</v>
      </c>
    </row>
    <row r="195" spans="2:6" hidden="1" outlineLevel="1" x14ac:dyDescent="0.25">
      <c r="B195" s="375">
        <v>42156</v>
      </c>
      <c r="C195" s="377">
        <v>5</v>
      </c>
      <c r="D195" s="377">
        <v>22</v>
      </c>
      <c r="E195" s="378">
        <v>11</v>
      </c>
      <c r="F195" s="377">
        <v>38</v>
      </c>
    </row>
    <row r="196" spans="2:6" hidden="1" outlineLevel="1" x14ac:dyDescent="0.25">
      <c r="B196" s="375">
        <v>42186</v>
      </c>
      <c r="C196" s="377">
        <v>1</v>
      </c>
      <c r="D196" s="377">
        <v>22</v>
      </c>
      <c r="E196" s="378">
        <v>10</v>
      </c>
      <c r="F196" s="377">
        <v>33</v>
      </c>
    </row>
    <row r="197" spans="2:6" hidden="1" outlineLevel="1" x14ac:dyDescent="0.25">
      <c r="B197" s="375">
        <v>42217</v>
      </c>
      <c r="C197" s="377">
        <v>4</v>
      </c>
      <c r="D197" s="377">
        <v>27</v>
      </c>
      <c r="E197" s="378">
        <v>6</v>
      </c>
      <c r="F197" s="377">
        <v>37</v>
      </c>
    </row>
    <row r="198" spans="2:6" hidden="1" outlineLevel="1" x14ac:dyDescent="0.25">
      <c r="B198" s="375">
        <v>42248</v>
      </c>
      <c r="C198" s="377">
        <v>1</v>
      </c>
      <c r="D198" s="377">
        <v>32</v>
      </c>
      <c r="E198" s="378">
        <v>7</v>
      </c>
      <c r="F198" s="377">
        <v>40</v>
      </c>
    </row>
    <row r="199" spans="2:6" hidden="1" outlineLevel="1" x14ac:dyDescent="0.25">
      <c r="B199" s="375">
        <v>42278</v>
      </c>
      <c r="C199" s="377">
        <v>9</v>
      </c>
      <c r="D199" s="377">
        <v>21</v>
      </c>
      <c r="E199" s="378">
        <v>9</v>
      </c>
      <c r="F199" s="377">
        <v>39</v>
      </c>
    </row>
    <row r="200" spans="2:6" hidden="1" outlineLevel="1" x14ac:dyDescent="0.25">
      <c r="B200" s="375">
        <v>42309</v>
      </c>
      <c r="C200" s="377">
        <v>7</v>
      </c>
      <c r="D200" s="377">
        <v>26</v>
      </c>
      <c r="E200" s="378">
        <v>4</v>
      </c>
      <c r="F200" s="377">
        <v>37</v>
      </c>
    </row>
    <row r="201" spans="2:6" hidden="1" outlineLevel="1" x14ac:dyDescent="0.25">
      <c r="B201" s="375">
        <v>42339</v>
      </c>
      <c r="C201" s="377">
        <v>6</v>
      </c>
      <c r="D201" s="377">
        <v>21</v>
      </c>
      <c r="E201" s="378">
        <v>6</v>
      </c>
      <c r="F201" s="377">
        <v>33</v>
      </c>
    </row>
    <row r="202" spans="2:6" collapsed="1" x14ac:dyDescent="0.25">
      <c r="B202" s="393" t="s">
        <v>38</v>
      </c>
      <c r="C202" s="394">
        <v>50</v>
      </c>
      <c r="D202" s="394">
        <v>281</v>
      </c>
      <c r="E202" s="395">
        <v>106</v>
      </c>
      <c r="F202" s="394">
        <v>437</v>
      </c>
    </row>
    <row r="203" spans="2:6" hidden="1" outlineLevel="1" x14ac:dyDescent="0.25">
      <c r="B203" s="375">
        <v>42370</v>
      </c>
      <c r="C203" s="377">
        <v>4</v>
      </c>
      <c r="D203" s="377">
        <v>19</v>
      </c>
      <c r="E203" s="378">
        <v>10</v>
      </c>
      <c r="F203" s="377">
        <v>33</v>
      </c>
    </row>
    <row r="204" spans="2:6" hidden="1" outlineLevel="1" x14ac:dyDescent="0.25">
      <c r="B204" s="375">
        <v>42401</v>
      </c>
      <c r="C204" s="377">
        <v>17</v>
      </c>
      <c r="D204" s="377">
        <v>16</v>
      </c>
      <c r="E204" s="378">
        <v>0</v>
      </c>
      <c r="F204" s="377">
        <v>33</v>
      </c>
    </row>
    <row r="205" spans="2:6" hidden="1" outlineLevel="1" x14ac:dyDescent="0.25">
      <c r="B205" s="375">
        <v>42430</v>
      </c>
      <c r="C205" s="377">
        <v>14</v>
      </c>
      <c r="D205" s="377">
        <v>13</v>
      </c>
      <c r="E205" s="378">
        <v>13</v>
      </c>
      <c r="F205" s="377">
        <v>40</v>
      </c>
    </row>
    <row r="206" spans="2:6" hidden="1" outlineLevel="1" x14ac:dyDescent="0.25">
      <c r="B206" s="375">
        <v>42461</v>
      </c>
      <c r="C206" s="377">
        <v>8</v>
      </c>
      <c r="D206" s="377">
        <v>19</v>
      </c>
      <c r="E206" s="378">
        <v>12</v>
      </c>
      <c r="F206" s="377">
        <v>39</v>
      </c>
    </row>
    <row r="207" spans="2:6" hidden="1" outlineLevel="1" x14ac:dyDescent="0.25">
      <c r="B207" s="375">
        <v>42491</v>
      </c>
      <c r="C207" s="377">
        <v>7</v>
      </c>
      <c r="D207" s="377">
        <v>21</v>
      </c>
      <c r="E207" s="378">
        <v>12</v>
      </c>
      <c r="F207" s="377">
        <v>40</v>
      </c>
    </row>
    <row r="208" spans="2:6" hidden="1" outlineLevel="1" x14ac:dyDescent="0.25">
      <c r="B208" s="375">
        <v>42522</v>
      </c>
      <c r="C208" s="377">
        <v>7</v>
      </c>
      <c r="D208" s="377">
        <v>19</v>
      </c>
      <c r="E208" s="378">
        <v>11</v>
      </c>
      <c r="F208" s="377">
        <v>37</v>
      </c>
    </row>
    <row r="209" spans="2:6" hidden="1" outlineLevel="1" x14ac:dyDescent="0.25">
      <c r="B209" s="375">
        <v>42552</v>
      </c>
      <c r="C209" s="377">
        <v>18</v>
      </c>
      <c r="D209" s="377">
        <v>16</v>
      </c>
      <c r="E209" s="378">
        <v>12</v>
      </c>
      <c r="F209" s="377">
        <v>46</v>
      </c>
    </row>
    <row r="210" spans="2:6" hidden="1" outlineLevel="1" x14ac:dyDescent="0.25">
      <c r="B210" s="375">
        <v>42583</v>
      </c>
      <c r="C210" s="377">
        <v>12</v>
      </c>
      <c r="D210" s="377">
        <v>18</v>
      </c>
      <c r="E210" s="378">
        <v>17</v>
      </c>
      <c r="F210" s="377">
        <v>47</v>
      </c>
    </row>
    <row r="211" spans="2:6" hidden="1" outlineLevel="1" x14ac:dyDescent="0.25">
      <c r="B211" s="375">
        <v>42614</v>
      </c>
      <c r="C211" s="377">
        <v>6</v>
      </c>
      <c r="D211" s="377">
        <v>19</v>
      </c>
      <c r="E211" s="378">
        <v>13</v>
      </c>
      <c r="F211" s="377">
        <v>38</v>
      </c>
    </row>
    <row r="212" spans="2:6" hidden="1" outlineLevel="1" x14ac:dyDescent="0.25">
      <c r="B212" s="375">
        <v>42644</v>
      </c>
      <c r="C212" s="377">
        <v>10</v>
      </c>
      <c r="D212" s="377">
        <v>15</v>
      </c>
      <c r="E212" s="378">
        <v>11</v>
      </c>
      <c r="F212" s="377">
        <v>36</v>
      </c>
    </row>
    <row r="213" spans="2:6" hidden="1" outlineLevel="1" x14ac:dyDescent="0.25">
      <c r="B213" s="375">
        <v>42675</v>
      </c>
      <c r="C213" s="377">
        <v>14</v>
      </c>
      <c r="D213" s="377">
        <v>16</v>
      </c>
      <c r="E213" s="378">
        <v>12</v>
      </c>
      <c r="F213" s="377">
        <v>42</v>
      </c>
    </row>
    <row r="214" spans="2:6" hidden="1" outlineLevel="1" x14ac:dyDescent="0.25">
      <c r="B214" s="375">
        <v>42705</v>
      </c>
      <c r="C214" s="377">
        <v>14</v>
      </c>
      <c r="D214" s="377">
        <v>16</v>
      </c>
      <c r="E214" s="378">
        <v>20</v>
      </c>
      <c r="F214" s="377">
        <v>50</v>
      </c>
    </row>
    <row r="215" spans="2:6" collapsed="1" x14ac:dyDescent="0.25">
      <c r="B215" s="393" t="s">
        <v>55</v>
      </c>
      <c r="C215" s="394">
        <v>131</v>
      </c>
      <c r="D215" s="394">
        <v>207</v>
      </c>
      <c r="E215" s="395">
        <v>143</v>
      </c>
      <c r="F215" s="394">
        <v>481</v>
      </c>
    </row>
    <row r="216" spans="2:6" hidden="1" outlineLevel="1" x14ac:dyDescent="0.25">
      <c r="B216" s="375">
        <v>42736</v>
      </c>
      <c r="C216" s="377">
        <v>8</v>
      </c>
      <c r="D216" s="377">
        <v>17</v>
      </c>
      <c r="E216" s="378">
        <v>15</v>
      </c>
      <c r="F216" s="377">
        <v>40</v>
      </c>
    </row>
    <row r="217" spans="2:6" hidden="1" outlineLevel="1" x14ac:dyDescent="0.25">
      <c r="B217" s="375">
        <v>42767</v>
      </c>
      <c r="C217" s="377">
        <v>9</v>
      </c>
      <c r="D217" s="377">
        <v>11</v>
      </c>
      <c r="E217" s="378">
        <v>12</v>
      </c>
      <c r="F217" s="377">
        <v>32</v>
      </c>
    </row>
    <row r="218" spans="2:6" hidden="1" outlineLevel="1" x14ac:dyDescent="0.25">
      <c r="B218" s="375">
        <v>42795</v>
      </c>
      <c r="C218" s="377">
        <v>9</v>
      </c>
      <c r="D218" s="377">
        <v>13</v>
      </c>
      <c r="E218" s="378">
        <v>15</v>
      </c>
      <c r="F218" s="377">
        <v>37</v>
      </c>
    </row>
    <row r="219" spans="2:6" hidden="1" outlineLevel="1" x14ac:dyDescent="0.25">
      <c r="B219" s="375">
        <v>42826</v>
      </c>
      <c r="C219" s="377">
        <v>3</v>
      </c>
      <c r="D219" s="377">
        <v>17</v>
      </c>
      <c r="E219" s="378">
        <v>7</v>
      </c>
      <c r="F219" s="377">
        <v>27</v>
      </c>
    </row>
    <row r="220" spans="2:6" hidden="1" outlineLevel="1" x14ac:dyDescent="0.25">
      <c r="B220" s="375">
        <v>42856</v>
      </c>
      <c r="C220" s="377">
        <v>8</v>
      </c>
      <c r="D220" s="377">
        <v>18</v>
      </c>
      <c r="E220" s="378">
        <v>10</v>
      </c>
      <c r="F220" s="377">
        <v>36</v>
      </c>
    </row>
    <row r="221" spans="2:6" hidden="1" outlineLevel="1" x14ac:dyDescent="0.25">
      <c r="B221" s="375">
        <v>42887</v>
      </c>
      <c r="C221" s="377">
        <v>12</v>
      </c>
      <c r="D221" s="377">
        <v>19</v>
      </c>
      <c r="E221" s="378">
        <v>7</v>
      </c>
      <c r="F221" s="377">
        <v>38</v>
      </c>
    </row>
    <row r="222" spans="2:6" hidden="1" outlineLevel="1" x14ac:dyDescent="0.25">
      <c r="B222" s="375">
        <v>42917</v>
      </c>
      <c r="C222" s="377">
        <v>8</v>
      </c>
      <c r="D222" s="377">
        <v>12</v>
      </c>
      <c r="E222" s="378">
        <v>11</v>
      </c>
      <c r="F222" s="377">
        <v>31</v>
      </c>
    </row>
    <row r="223" spans="2:6" hidden="1" outlineLevel="1" x14ac:dyDescent="0.25">
      <c r="B223" s="375">
        <v>42948</v>
      </c>
      <c r="C223" s="377">
        <v>10</v>
      </c>
      <c r="D223" s="377">
        <v>13</v>
      </c>
      <c r="E223" s="378">
        <v>11</v>
      </c>
      <c r="F223" s="377">
        <v>34</v>
      </c>
    </row>
    <row r="224" spans="2:6" hidden="1" outlineLevel="1" x14ac:dyDescent="0.25">
      <c r="B224" s="375">
        <v>42979</v>
      </c>
      <c r="C224" s="377">
        <v>10</v>
      </c>
      <c r="D224" s="377">
        <v>9</v>
      </c>
      <c r="E224" s="378">
        <v>17</v>
      </c>
      <c r="F224" s="377">
        <v>36</v>
      </c>
    </row>
    <row r="225" spans="2:6" hidden="1" outlineLevel="1" x14ac:dyDescent="0.25">
      <c r="B225" s="375">
        <v>43009</v>
      </c>
      <c r="C225" s="377">
        <v>6</v>
      </c>
      <c r="D225" s="377">
        <v>14</v>
      </c>
      <c r="E225" s="378">
        <v>13</v>
      </c>
      <c r="F225" s="377">
        <v>33</v>
      </c>
    </row>
    <row r="226" spans="2:6" hidden="1" outlineLevel="1" x14ac:dyDescent="0.25">
      <c r="B226" s="375">
        <v>43040</v>
      </c>
      <c r="C226" s="377">
        <v>5</v>
      </c>
      <c r="D226" s="377">
        <v>23</v>
      </c>
      <c r="E226" s="378">
        <v>12</v>
      </c>
      <c r="F226" s="377">
        <v>40</v>
      </c>
    </row>
    <row r="227" spans="2:6" hidden="1" outlineLevel="1" x14ac:dyDescent="0.25">
      <c r="B227" s="375">
        <v>43070</v>
      </c>
      <c r="C227" s="377">
        <v>19</v>
      </c>
      <c r="D227" s="377">
        <v>22</v>
      </c>
      <c r="E227" s="378">
        <v>15</v>
      </c>
      <c r="F227" s="377">
        <v>56</v>
      </c>
    </row>
    <row r="228" spans="2:6" collapsed="1" x14ac:dyDescent="0.25">
      <c r="B228" s="393" t="s">
        <v>58</v>
      </c>
      <c r="C228" s="394">
        <v>107</v>
      </c>
      <c r="D228" s="394">
        <v>188</v>
      </c>
      <c r="E228" s="395">
        <v>145</v>
      </c>
      <c r="F228" s="394">
        <v>440</v>
      </c>
    </row>
    <row r="229" spans="2:6" hidden="1" outlineLevel="1" x14ac:dyDescent="0.25">
      <c r="B229" s="375">
        <v>43101</v>
      </c>
      <c r="C229" s="377">
        <v>13</v>
      </c>
      <c r="D229" s="377">
        <v>23</v>
      </c>
      <c r="E229" s="378">
        <v>10</v>
      </c>
      <c r="F229" s="377">
        <v>46</v>
      </c>
    </row>
    <row r="230" spans="2:6" hidden="1" outlineLevel="1" x14ac:dyDescent="0.25">
      <c r="B230" s="375">
        <v>43132</v>
      </c>
      <c r="C230" s="377">
        <v>16</v>
      </c>
      <c r="D230" s="377">
        <v>22</v>
      </c>
      <c r="E230" s="378">
        <v>23</v>
      </c>
      <c r="F230" s="377">
        <v>61</v>
      </c>
    </row>
    <row r="231" spans="2:6" hidden="1" outlineLevel="1" x14ac:dyDescent="0.25">
      <c r="B231" s="375">
        <v>43160</v>
      </c>
      <c r="C231" s="377">
        <v>14</v>
      </c>
      <c r="D231" s="377">
        <v>19</v>
      </c>
      <c r="E231" s="378">
        <v>11</v>
      </c>
      <c r="F231" s="377">
        <v>44</v>
      </c>
    </row>
    <row r="232" spans="2:6" hidden="1" outlineLevel="1" x14ac:dyDescent="0.25">
      <c r="B232" s="375">
        <v>43191</v>
      </c>
      <c r="C232" s="377">
        <v>10</v>
      </c>
      <c r="D232" s="377">
        <v>18</v>
      </c>
      <c r="E232" s="378">
        <v>11</v>
      </c>
      <c r="F232" s="377">
        <v>39</v>
      </c>
    </row>
    <row r="233" spans="2:6" hidden="1" outlineLevel="1" x14ac:dyDescent="0.25">
      <c r="B233" s="375">
        <v>43221</v>
      </c>
      <c r="C233" s="377">
        <v>22</v>
      </c>
      <c r="D233" s="377">
        <v>9</v>
      </c>
      <c r="E233" s="378">
        <v>9</v>
      </c>
      <c r="F233" s="377">
        <v>40</v>
      </c>
    </row>
    <row r="234" spans="2:6" hidden="1" outlineLevel="1" x14ac:dyDescent="0.25">
      <c r="B234" s="375">
        <v>43252</v>
      </c>
      <c r="C234" s="377">
        <v>27</v>
      </c>
      <c r="D234" s="377">
        <v>18</v>
      </c>
      <c r="E234" s="378">
        <v>10</v>
      </c>
      <c r="F234" s="377">
        <v>55</v>
      </c>
    </row>
    <row r="235" spans="2:6" hidden="1" outlineLevel="1" x14ac:dyDescent="0.25">
      <c r="B235" s="375">
        <v>43282</v>
      </c>
      <c r="C235" s="377">
        <v>15</v>
      </c>
      <c r="D235" s="377">
        <v>20</v>
      </c>
      <c r="E235" s="378">
        <v>19</v>
      </c>
      <c r="F235" s="377">
        <v>54</v>
      </c>
    </row>
    <row r="236" spans="2:6" hidden="1" outlineLevel="1" x14ac:dyDescent="0.25">
      <c r="B236" s="375">
        <v>43313</v>
      </c>
      <c r="C236" s="377">
        <v>17</v>
      </c>
      <c r="D236" s="377">
        <v>40</v>
      </c>
      <c r="E236" s="378">
        <v>17</v>
      </c>
      <c r="F236" s="377">
        <v>74</v>
      </c>
    </row>
    <row r="237" spans="2:6" hidden="1" outlineLevel="1" x14ac:dyDescent="0.25">
      <c r="B237" s="375">
        <v>43344</v>
      </c>
      <c r="C237" s="377">
        <v>16</v>
      </c>
      <c r="D237" s="377">
        <v>31</v>
      </c>
      <c r="E237" s="378">
        <v>3</v>
      </c>
      <c r="F237" s="377">
        <v>50</v>
      </c>
    </row>
    <row r="238" spans="2:6" hidden="1" outlineLevel="1" x14ac:dyDescent="0.25">
      <c r="B238" s="375">
        <v>43374</v>
      </c>
      <c r="C238" s="377">
        <v>4</v>
      </c>
      <c r="D238" s="377">
        <v>22</v>
      </c>
      <c r="E238" s="378">
        <v>5</v>
      </c>
      <c r="F238" s="377">
        <v>31</v>
      </c>
    </row>
    <row r="239" spans="2:6" hidden="1" outlineLevel="1" x14ac:dyDescent="0.25">
      <c r="B239" s="375">
        <v>43405</v>
      </c>
      <c r="C239" s="377">
        <v>3</v>
      </c>
      <c r="D239" s="377">
        <v>16</v>
      </c>
      <c r="E239" s="378">
        <v>2</v>
      </c>
      <c r="F239" s="377">
        <v>21</v>
      </c>
    </row>
    <row r="240" spans="2:6" hidden="1" outlineLevel="1" x14ac:dyDescent="0.25">
      <c r="B240" s="375">
        <v>43435</v>
      </c>
      <c r="C240" s="377">
        <v>21</v>
      </c>
      <c r="D240" s="377">
        <v>40</v>
      </c>
      <c r="E240" s="378">
        <v>2</v>
      </c>
      <c r="F240" s="377">
        <v>63</v>
      </c>
    </row>
    <row r="241" spans="2:6" collapsed="1" x14ac:dyDescent="0.25">
      <c r="B241" s="393" t="s">
        <v>59</v>
      </c>
      <c r="C241" s="394">
        <v>178</v>
      </c>
      <c r="D241" s="394">
        <v>278</v>
      </c>
      <c r="E241" s="395">
        <v>122</v>
      </c>
      <c r="F241" s="394">
        <v>578</v>
      </c>
    </row>
    <row r="242" spans="2:6" hidden="1" outlineLevel="1" x14ac:dyDescent="0.25">
      <c r="B242" s="375">
        <v>43466</v>
      </c>
      <c r="C242" s="377">
        <v>19</v>
      </c>
      <c r="D242" s="377">
        <v>25</v>
      </c>
      <c r="E242" s="378">
        <v>2</v>
      </c>
      <c r="F242" s="377">
        <v>46</v>
      </c>
    </row>
    <row r="243" spans="2:6" hidden="1" outlineLevel="1" x14ac:dyDescent="0.25">
      <c r="B243" s="375">
        <v>43497</v>
      </c>
      <c r="C243" s="377">
        <v>15</v>
      </c>
      <c r="D243" s="377">
        <v>30</v>
      </c>
      <c r="E243" s="378">
        <v>2</v>
      </c>
      <c r="F243" s="377">
        <v>47</v>
      </c>
    </row>
    <row r="244" spans="2:6" hidden="1" outlineLevel="1" x14ac:dyDescent="0.25">
      <c r="B244" s="375">
        <v>43525</v>
      </c>
      <c r="C244" s="377">
        <v>9</v>
      </c>
      <c r="D244" s="377">
        <v>30</v>
      </c>
      <c r="E244" s="378">
        <v>3</v>
      </c>
      <c r="F244" s="377">
        <v>42</v>
      </c>
    </row>
    <row r="245" spans="2:6" hidden="1" outlineLevel="1" x14ac:dyDescent="0.25">
      <c r="B245" s="375">
        <v>43556</v>
      </c>
      <c r="C245" s="377">
        <v>8</v>
      </c>
      <c r="D245" s="377">
        <v>39</v>
      </c>
      <c r="E245" s="378">
        <v>2</v>
      </c>
      <c r="F245" s="377">
        <v>49</v>
      </c>
    </row>
    <row r="246" spans="2:6" hidden="1" outlineLevel="1" x14ac:dyDescent="0.25">
      <c r="B246" s="375">
        <v>43586</v>
      </c>
      <c r="C246" s="377">
        <v>27</v>
      </c>
      <c r="D246" s="377">
        <v>34</v>
      </c>
      <c r="E246" s="378">
        <v>10</v>
      </c>
      <c r="F246" s="377">
        <v>71</v>
      </c>
    </row>
    <row r="247" spans="2:6" hidden="1" outlineLevel="1" x14ac:dyDescent="0.25">
      <c r="B247" s="375">
        <v>43617</v>
      </c>
      <c r="C247" s="377">
        <v>22</v>
      </c>
      <c r="D247" s="377">
        <v>41</v>
      </c>
      <c r="E247" s="378">
        <v>5</v>
      </c>
      <c r="F247" s="377">
        <v>68</v>
      </c>
    </row>
    <row r="248" spans="2:6" hidden="1" outlineLevel="1" x14ac:dyDescent="0.25">
      <c r="B248" s="375">
        <v>43647</v>
      </c>
      <c r="C248" s="377">
        <v>25</v>
      </c>
      <c r="D248" s="377">
        <v>40</v>
      </c>
      <c r="E248" s="378">
        <v>8</v>
      </c>
      <c r="F248" s="377">
        <v>73</v>
      </c>
    </row>
    <row r="249" spans="2:6" hidden="1" outlineLevel="1" x14ac:dyDescent="0.25">
      <c r="B249" s="375">
        <v>43678</v>
      </c>
      <c r="C249" s="377">
        <v>17</v>
      </c>
      <c r="D249" s="377">
        <v>50</v>
      </c>
      <c r="E249" s="378">
        <v>5</v>
      </c>
      <c r="F249" s="377">
        <v>72</v>
      </c>
    </row>
    <row r="250" spans="2:6" hidden="1" outlineLevel="1" x14ac:dyDescent="0.25">
      <c r="B250" s="375">
        <v>43709</v>
      </c>
      <c r="C250" s="377">
        <v>19</v>
      </c>
      <c r="D250" s="377">
        <v>54</v>
      </c>
      <c r="E250" s="378">
        <v>8</v>
      </c>
      <c r="F250" s="377">
        <v>81</v>
      </c>
    </row>
    <row r="251" spans="2:6" hidden="1" outlineLevel="1" x14ac:dyDescent="0.25">
      <c r="B251" s="375">
        <v>43739</v>
      </c>
      <c r="C251" s="377">
        <v>7</v>
      </c>
      <c r="D251" s="377">
        <v>24</v>
      </c>
      <c r="E251" s="378">
        <v>2</v>
      </c>
      <c r="F251" s="377">
        <v>33</v>
      </c>
    </row>
    <row r="252" spans="2:6" hidden="1" outlineLevel="1" x14ac:dyDescent="0.25">
      <c r="B252" s="375">
        <v>43770</v>
      </c>
      <c r="C252" s="377">
        <v>16</v>
      </c>
      <c r="D252" s="377">
        <v>57</v>
      </c>
      <c r="E252" s="378">
        <v>5</v>
      </c>
      <c r="F252" s="377">
        <v>78</v>
      </c>
    </row>
    <row r="253" spans="2:6" hidden="1" outlineLevel="1" x14ac:dyDescent="0.25">
      <c r="B253" s="375">
        <v>43800</v>
      </c>
      <c r="C253" s="377">
        <v>1</v>
      </c>
      <c r="D253" s="377">
        <v>72</v>
      </c>
      <c r="E253" s="378">
        <v>4</v>
      </c>
      <c r="F253" s="377">
        <v>77</v>
      </c>
    </row>
    <row r="254" spans="2:6" collapsed="1" x14ac:dyDescent="0.25">
      <c r="B254" s="393" t="s">
        <v>60</v>
      </c>
      <c r="C254" s="394">
        <v>185</v>
      </c>
      <c r="D254" s="394">
        <v>496</v>
      </c>
      <c r="E254" s="395">
        <v>56</v>
      </c>
      <c r="F254" s="394">
        <v>737</v>
      </c>
    </row>
    <row r="255" spans="2:6" hidden="1" outlineLevel="1" x14ac:dyDescent="0.25">
      <c r="B255" s="375">
        <v>43831</v>
      </c>
      <c r="C255" s="377">
        <v>5</v>
      </c>
      <c r="D255" s="377">
        <v>54</v>
      </c>
      <c r="E255" s="378">
        <v>24</v>
      </c>
      <c r="F255" s="377">
        <v>83</v>
      </c>
    </row>
    <row r="256" spans="2:6" hidden="1" outlineLevel="1" x14ac:dyDescent="0.25">
      <c r="B256" s="375">
        <v>43862</v>
      </c>
      <c r="C256" s="377">
        <v>7</v>
      </c>
      <c r="D256" s="377">
        <v>70</v>
      </c>
      <c r="E256" s="378">
        <v>14</v>
      </c>
      <c r="F256" s="377">
        <v>91</v>
      </c>
    </row>
    <row r="257" spans="2:6" hidden="1" outlineLevel="1" x14ac:dyDescent="0.25">
      <c r="B257" s="375">
        <v>43891</v>
      </c>
      <c r="C257" s="377">
        <v>6</v>
      </c>
      <c r="D257" s="377">
        <v>59</v>
      </c>
      <c r="E257" s="378">
        <v>8</v>
      </c>
      <c r="F257" s="377">
        <v>73</v>
      </c>
    </row>
    <row r="258" spans="2:6" hidden="1" outlineLevel="1" x14ac:dyDescent="0.25">
      <c r="B258" s="375">
        <v>43922</v>
      </c>
      <c r="C258" s="377">
        <v>3</v>
      </c>
      <c r="D258" s="377">
        <v>8</v>
      </c>
      <c r="E258" s="378">
        <v>2</v>
      </c>
      <c r="F258" s="377">
        <v>13</v>
      </c>
    </row>
    <row r="259" spans="2:6" hidden="1" outlineLevel="1" x14ac:dyDescent="0.25">
      <c r="B259" s="375">
        <v>43952</v>
      </c>
      <c r="C259" s="377">
        <v>5</v>
      </c>
      <c r="D259" s="377">
        <v>7</v>
      </c>
      <c r="E259" s="378">
        <v>4</v>
      </c>
      <c r="F259" s="377">
        <v>16</v>
      </c>
    </row>
    <row r="260" spans="2:6" hidden="1" outlineLevel="1" x14ac:dyDescent="0.25">
      <c r="B260" s="375">
        <v>43983</v>
      </c>
      <c r="C260" s="377">
        <v>4</v>
      </c>
      <c r="D260" s="377">
        <v>9</v>
      </c>
      <c r="E260" s="378">
        <v>3</v>
      </c>
      <c r="F260" s="377">
        <v>16</v>
      </c>
    </row>
    <row r="261" spans="2:6" hidden="1" outlineLevel="1" x14ac:dyDescent="0.25">
      <c r="B261" s="375">
        <v>44013</v>
      </c>
      <c r="C261" s="377">
        <v>5</v>
      </c>
      <c r="D261" s="377">
        <v>9</v>
      </c>
      <c r="E261" s="378">
        <v>12</v>
      </c>
      <c r="F261" s="377">
        <v>26</v>
      </c>
    </row>
    <row r="262" spans="2:6" hidden="1" outlineLevel="1" x14ac:dyDescent="0.25">
      <c r="B262" s="375">
        <v>44044</v>
      </c>
      <c r="C262" s="377">
        <v>2</v>
      </c>
      <c r="D262" s="377">
        <v>14</v>
      </c>
      <c r="E262" s="378">
        <v>11</v>
      </c>
      <c r="F262" s="377">
        <v>27</v>
      </c>
    </row>
    <row r="263" spans="2:6" hidden="1" outlineLevel="1" x14ac:dyDescent="0.25">
      <c r="B263" s="375">
        <v>44075</v>
      </c>
      <c r="C263" s="377">
        <v>7</v>
      </c>
      <c r="D263" s="377">
        <v>22</v>
      </c>
      <c r="E263" s="378">
        <v>3</v>
      </c>
      <c r="F263" s="377">
        <v>32</v>
      </c>
    </row>
    <row r="264" spans="2:6" hidden="1" outlineLevel="1" x14ac:dyDescent="0.25">
      <c r="B264" s="375">
        <v>44105</v>
      </c>
      <c r="C264" s="377">
        <v>2</v>
      </c>
      <c r="D264" s="377">
        <v>38</v>
      </c>
      <c r="E264" s="378">
        <v>5</v>
      </c>
      <c r="F264" s="377">
        <v>45</v>
      </c>
    </row>
    <row r="265" spans="2:6" hidden="1" outlineLevel="1" x14ac:dyDescent="0.25">
      <c r="B265" s="375">
        <v>44136</v>
      </c>
      <c r="C265" s="377">
        <v>0</v>
      </c>
      <c r="D265" s="377">
        <v>16</v>
      </c>
      <c r="E265" s="378">
        <v>5</v>
      </c>
      <c r="F265" s="377">
        <v>21</v>
      </c>
    </row>
    <row r="266" spans="2:6" hidden="1" outlineLevel="1" x14ac:dyDescent="0.25">
      <c r="B266" s="375">
        <v>44166</v>
      </c>
      <c r="C266" s="377">
        <v>0</v>
      </c>
      <c r="D266" s="377">
        <v>11</v>
      </c>
      <c r="E266" s="378">
        <v>3</v>
      </c>
      <c r="F266" s="377">
        <v>14</v>
      </c>
    </row>
    <row r="267" spans="2:6" collapsed="1" x14ac:dyDescent="0.25">
      <c r="B267" s="393" t="s">
        <v>64</v>
      </c>
      <c r="C267" s="394">
        <v>46</v>
      </c>
      <c r="D267" s="394">
        <v>317</v>
      </c>
      <c r="E267" s="395">
        <v>94</v>
      </c>
      <c r="F267" s="394">
        <v>457</v>
      </c>
    </row>
    <row r="268" spans="2:6" hidden="1" outlineLevel="1" x14ac:dyDescent="0.25">
      <c r="B268" s="375">
        <v>44197</v>
      </c>
      <c r="C268" s="377">
        <v>1</v>
      </c>
      <c r="D268" s="377">
        <v>19</v>
      </c>
      <c r="E268" s="378">
        <v>1</v>
      </c>
      <c r="F268" s="377">
        <v>21</v>
      </c>
    </row>
    <row r="269" spans="2:6" hidden="1" outlineLevel="1" x14ac:dyDescent="0.25">
      <c r="B269" s="375">
        <v>44228</v>
      </c>
      <c r="C269" s="377">
        <v>0</v>
      </c>
      <c r="D269" s="377">
        <v>12</v>
      </c>
      <c r="E269" s="378">
        <v>0</v>
      </c>
      <c r="F269" s="377">
        <v>12</v>
      </c>
    </row>
    <row r="270" spans="2:6" hidden="1" outlineLevel="1" x14ac:dyDescent="0.25">
      <c r="B270" s="375">
        <v>44256</v>
      </c>
      <c r="C270" s="377">
        <v>2</v>
      </c>
      <c r="D270" s="377">
        <v>13</v>
      </c>
      <c r="E270" s="378">
        <v>2</v>
      </c>
      <c r="F270" s="377">
        <v>17</v>
      </c>
    </row>
    <row r="271" spans="2:6" hidden="1" outlineLevel="1" x14ac:dyDescent="0.25">
      <c r="B271" s="375">
        <v>44287</v>
      </c>
      <c r="C271" s="377">
        <v>0</v>
      </c>
      <c r="D271" s="377">
        <v>9</v>
      </c>
      <c r="E271" s="378">
        <v>0</v>
      </c>
      <c r="F271" s="377">
        <v>9</v>
      </c>
    </row>
    <row r="272" spans="2:6" hidden="1" outlineLevel="1" x14ac:dyDescent="0.25">
      <c r="B272" s="375">
        <v>44317</v>
      </c>
      <c r="C272" s="377">
        <v>1</v>
      </c>
      <c r="D272" s="377">
        <v>28</v>
      </c>
      <c r="E272" s="378">
        <v>8</v>
      </c>
      <c r="F272" s="377">
        <v>37</v>
      </c>
    </row>
    <row r="273" spans="2:6" hidden="1" outlineLevel="1" x14ac:dyDescent="0.25">
      <c r="B273" s="375">
        <v>44348</v>
      </c>
      <c r="C273" s="377">
        <v>3</v>
      </c>
      <c r="D273" s="377">
        <v>35</v>
      </c>
      <c r="E273" s="378">
        <v>16</v>
      </c>
      <c r="F273" s="377">
        <v>54</v>
      </c>
    </row>
    <row r="274" spans="2:6" hidden="1" outlineLevel="1" x14ac:dyDescent="0.25">
      <c r="B274" s="375">
        <v>44378</v>
      </c>
      <c r="C274" s="377">
        <v>4</v>
      </c>
      <c r="D274" s="377">
        <v>9</v>
      </c>
      <c r="E274" s="378">
        <v>1</v>
      </c>
      <c r="F274" s="377">
        <v>14</v>
      </c>
    </row>
    <row r="275" spans="2:6" hidden="1" outlineLevel="1" x14ac:dyDescent="0.25">
      <c r="B275" s="375">
        <v>44409</v>
      </c>
      <c r="C275" s="377">
        <v>1</v>
      </c>
      <c r="D275" s="377">
        <v>38</v>
      </c>
      <c r="E275" s="378">
        <v>11</v>
      </c>
      <c r="F275" s="377">
        <v>50</v>
      </c>
    </row>
    <row r="276" spans="2:6" hidden="1" outlineLevel="1" x14ac:dyDescent="0.25">
      <c r="B276" s="375">
        <v>44440</v>
      </c>
      <c r="C276" s="377">
        <v>2</v>
      </c>
      <c r="D276" s="377">
        <v>15</v>
      </c>
      <c r="E276" s="378">
        <v>0</v>
      </c>
      <c r="F276" s="377">
        <v>17</v>
      </c>
    </row>
    <row r="277" spans="2:6" hidden="1" outlineLevel="1" x14ac:dyDescent="0.25">
      <c r="B277" s="375">
        <v>44470</v>
      </c>
      <c r="C277" s="377">
        <v>3</v>
      </c>
      <c r="D277" s="377">
        <v>14</v>
      </c>
      <c r="E277" s="378">
        <v>0</v>
      </c>
      <c r="F277" s="377">
        <v>17</v>
      </c>
    </row>
    <row r="278" spans="2:6" hidden="1" outlineLevel="1" x14ac:dyDescent="0.25">
      <c r="B278" s="375">
        <v>44501</v>
      </c>
      <c r="C278" s="377">
        <v>2</v>
      </c>
      <c r="D278" s="377">
        <v>11</v>
      </c>
      <c r="E278" s="378">
        <v>0</v>
      </c>
      <c r="F278" s="377">
        <v>13</v>
      </c>
    </row>
    <row r="279" spans="2:6" hidden="1" outlineLevel="1" x14ac:dyDescent="0.25">
      <c r="B279" s="375">
        <v>44531</v>
      </c>
      <c r="C279" s="377">
        <v>10</v>
      </c>
      <c r="D279" s="377">
        <v>13</v>
      </c>
      <c r="E279" s="378">
        <v>12</v>
      </c>
      <c r="F279" s="377">
        <v>35</v>
      </c>
    </row>
    <row r="280" spans="2:6" collapsed="1" x14ac:dyDescent="0.25">
      <c r="B280" s="393" t="s">
        <v>65</v>
      </c>
      <c r="C280" s="394">
        <v>29</v>
      </c>
      <c r="D280" s="394">
        <v>216</v>
      </c>
      <c r="E280" s="395">
        <v>51</v>
      </c>
      <c r="F280" s="394">
        <v>296</v>
      </c>
    </row>
    <row r="281" spans="2:6" hidden="1" outlineLevel="1" x14ac:dyDescent="0.25">
      <c r="B281" s="375">
        <v>44562</v>
      </c>
      <c r="C281" s="377">
        <v>21</v>
      </c>
      <c r="D281" s="377">
        <v>8</v>
      </c>
      <c r="E281" s="378">
        <v>23</v>
      </c>
      <c r="F281" s="377">
        <v>52</v>
      </c>
    </row>
    <row r="282" spans="2:6" hidden="1" outlineLevel="1" x14ac:dyDescent="0.25">
      <c r="B282" s="375">
        <v>44593</v>
      </c>
      <c r="C282" s="377">
        <v>24</v>
      </c>
      <c r="D282" s="377">
        <v>10</v>
      </c>
      <c r="E282" s="378">
        <v>13</v>
      </c>
      <c r="F282" s="377">
        <v>47</v>
      </c>
    </row>
    <row r="283" spans="2:6" ht="15.75" hidden="1" customHeight="1" outlineLevel="1" x14ac:dyDescent="0.25">
      <c r="B283" s="375">
        <v>44621</v>
      </c>
      <c r="C283" s="377">
        <v>44</v>
      </c>
      <c r="D283" s="377">
        <v>13</v>
      </c>
      <c r="E283" s="378">
        <v>12</v>
      </c>
      <c r="F283" s="377">
        <v>69</v>
      </c>
    </row>
    <row r="284" spans="2:6" hidden="1" outlineLevel="1" x14ac:dyDescent="0.25">
      <c r="B284" s="375">
        <v>44652</v>
      </c>
      <c r="C284" s="377">
        <v>41</v>
      </c>
      <c r="D284" s="377">
        <v>6</v>
      </c>
      <c r="E284" s="378">
        <v>28</v>
      </c>
      <c r="F284" s="377">
        <v>75</v>
      </c>
    </row>
    <row r="285" spans="2:6" hidden="1" outlineLevel="1" x14ac:dyDescent="0.25">
      <c r="B285" s="375">
        <v>44682</v>
      </c>
      <c r="C285" s="377">
        <v>49</v>
      </c>
      <c r="D285" s="377">
        <v>13</v>
      </c>
      <c r="E285" s="378">
        <v>18</v>
      </c>
      <c r="F285" s="377">
        <v>80</v>
      </c>
    </row>
    <row r="286" spans="2:6" hidden="1" outlineLevel="1" x14ac:dyDescent="0.25">
      <c r="B286" s="375">
        <v>44713</v>
      </c>
      <c r="C286" s="377">
        <v>24</v>
      </c>
      <c r="D286" s="377">
        <v>13</v>
      </c>
      <c r="E286" s="378">
        <v>14</v>
      </c>
      <c r="F286" s="377">
        <v>51</v>
      </c>
    </row>
    <row r="287" spans="2:6" hidden="1" outlineLevel="1" x14ac:dyDescent="0.25">
      <c r="B287" s="375">
        <v>44743</v>
      </c>
      <c r="C287" s="377">
        <v>17</v>
      </c>
      <c r="D287" s="377">
        <v>9</v>
      </c>
      <c r="E287" s="378">
        <v>12</v>
      </c>
      <c r="F287" s="377">
        <v>38</v>
      </c>
    </row>
    <row r="288" spans="2:6" hidden="1" outlineLevel="1" x14ac:dyDescent="0.25">
      <c r="B288" s="375">
        <v>44774</v>
      </c>
      <c r="C288" s="377">
        <v>12</v>
      </c>
      <c r="D288" s="377">
        <v>17</v>
      </c>
      <c r="E288" s="378">
        <v>6</v>
      </c>
      <c r="F288" s="377">
        <v>35</v>
      </c>
    </row>
    <row r="289" spans="2:6" hidden="1" outlineLevel="1" x14ac:dyDescent="0.25">
      <c r="B289" s="375">
        <v>44805</v>
      </c>
      <c r="C289" s="377">
        <v>11</v>
      </c>
      <c r="D289" s="377">
        <v>2</v>
      </c>
      <c r="E289" s="378">
        <v>2</v>
      </c>
      <c r="F289" s="377">
        <v>15</v>
      </c>
    </row>
    <row r="290" spans="2:6" hidden="1" outlineLevel="1" x14ac:dyDescent="0.25">
      <c r="B290" s="375">
        <v>44835</v>
      </c>
      <c r="C290" s="377">
        <v>12</v>
      </c>
      <c r="D290" s="377">
        <v>15</v>
      </c>
      <c r="E290" s="378">
        <v>6</v>
      </c>
      <c r="F290" s="377">
        <v>33</v>
      </c>
    </row>
    <row r="291" spans="2:6" hidden="1" outlineLevel="1" x14ac:dyDescent="0.25">
      <c r="B291" s="375">
        <v>44866</v>
      </c>
      <c r="C291" s="377">
        <v>9</v>
      </c>
      <c r="D291" s="377">
        <v>29</v>
      </c>
      <c r="E291" s="378">
        <v>15</v>
      </c>
      <c r="F291" s="377">
        <v>53</v>
      </c>
    </row>
    <row r="292" spans="2:6" hidden="1" outlineLevel="1" x14ac:dyDescent="0.25">
      <c r="B292" s="375">
        <v>44896</v>
      </c>
      <c r="C292" s="377">
        <v>8</v>
      </c>
      <c r="D292" s="377">
        <v>31</v>
      </c>
      <c r="E292" s="378">
        <v>10</v>
      </c>
      <c r="F292" s="377">
        <v>49</v>
      </c>
    </row>
    <row r="293" spans="2:6" collapsed="1" x14ac:dyDescent="0.25">
      <c r="B293" s="393" t="s">
        <v>66</v>
      </c>
      <c r="C293" s="394">
        <v>272</v>
      </c>
      <c r="D293" s="394">
        <v>166</v>
      </c>
      <c r="E293" s="395">
        <v>159</v>
      </c>
      <c r="F293" s="394">
        <v>597</v>
      </c>
    </row>
    <row r="294" spans="2:6" hidden="1" outlineLevel="1" x14ac:dyDescent="0.25">
      <c r="B294" s="375">
        <v>44927</v>
      </c>
      <c r="C294" s="377">
        <v>5</v>
      </c>
      <c r="D294" s="377">
        <v>40</v>
      </c>
      <c r="E294" s="378">
        <v>4</v>
      </c>
      <c r="F294" s="377">
        <v>49</v>
      </c>
    </row>
    <row r="295" spans="2:6" hidden="1" outlineLevel="1" x14ac:dyDescent="0.25">
      <c r="B295" s="375">
        <v>44958</v>
      </c>
      <c r="C295" s="377">
        <v>2</v>
      </c>
      <c r="D295" s="377">
        <v>13</v>
      </c>
      <c r="E295" s="378">
        <v>4</v>
      </c>
      <c r="F295" s="377">
        <v>19</v>
      </c>
    </row>
    <row r="296" spans="2:6" hidden="1" outlineLevel="1" x14ac:dyDescent="0.25">
      <c r="B296" s="375">
        <v>44986</v>
      </c>
      <c r="C296" s="377">
        <v>22</v>
      </c>
      <c r="D296" s="377">
        <v>15</v>
      </c>
      <c r="E296" s="378">
        <v>4</v>
      </c>
      <c r="F296" s="377">
        <v>41</v>
      </c>
    </row>
    <row r="297" spans="2:6" hidden="1" outlineLevel="1" x14ac:dyDescent="0.25">
      <c r="B297" s="375">
        <v>45017</v>
      </c>
      <c r="C297" s="377">
        <v>12</v>
      </c>
      <c r="D297" s="377">
        <v>9</v>
      </c>
      <c r="E297" s="378">
        <v>16</v>
      </c>
      <c r="F297" s="377">
        <v>37</v>
      </c>
    </row>
    <row r="298" spans="2:6" hidden="1" outlineLevel="1" x14ac:dyDescent="0.25">
      <c r="B298" s="375">
        <v>45047</v>
      </c>
      <c r="C298" s="377">
        <v>13</v>
      </c>
      <c r="D298" s="377">
        <v>6</v>
      </c>
      <c r="E298" s="378">
        <v>4</v>
      </c>
      <c r="F298" s="377">
        <v>23</v>
      </c>
    </row>
    <row r="299" spans="2:6" hidden="1" outlineLevel="1" x14ac:dyDescent="0.25">
      <c r="B299" s="375">
        <v>45078</v>
      </c>
      <c r="C299" s="377">
        <v>5</v>
      </c>
      <c r="D299" s="377">
        <v>4</v>
      </c>
      <c r="E299" s="378">
        <v>6</v>
      </c>
      <c r="F299" s="377">
        <v>15</v>
      </c>
    </row>
    <row r="300" spans="2:6" hidden="1" outlineLevel="1" x14ac:dyDescent="0.25">
      <c r="B300" s="375">
        <v>45108</v>
      </c>
      <c r="C300" s="377">
        <v>9</v>
      </c>
      <c r="D300" s="377">
        <v>15</v>
      </c>
      <c r="E300" s="378">
        <v>7</v>
      </c>
      <c r="F300" s="377">
        <v>31</v>
      </c>
    </row>
    <row r="301" spans="2:6" hidden="1" outlineLevel="1" x14ac:dyDescent="0.25">
      <c r="B301" s="375">
        <v>45139</v>
      </c>
      <c r="C301" s="377">
        <v>6</v>
      </c>
      <c r="D301" s="377">
        <v>12</v>
      </c>
      <c r="E301" s="378">
        <v>5</v>
      </c>
      <c r="F301" s="377">
        <v>23</v>
      </c>
    </row>
    <row r="302" spans="2:6" hidden="1" outlineLevel="1" x14ac:dyDescent="0.25">
      <c r="B302" s="375">
        <v>45170</v>
      </c>
      <c r="C302" s="377">
        <v>3</v>
      </c>
      <c r="D302" s="377">
        <v>16</v>
      </c>
      <c r="E302" s="378">
        <v>3</v>
      </c>
      <c r="F302" s="377">
        <v>22</v>
      </c>
    </row>
    <row r="303" spans="2:6" hidden="1" outlineLevel="1" x14ac:dyDescent="0.25">
      <c r="B303" s="375">
        <v>45200</v>
      </c>
      <c r="C303" s="377">
        <v>3</v>
      </c>
      <c r="D303" s="377">
        <v>6</v>
      </c>
      <c r="E303" s="378">
        <v>2</v>
      </c>
      <c r="F303" s="377">
        <v>11</v>
      </c>
    </row>
    <row r="304" spans="2:6" hidden="1" outlineLevel="1" x14ac:dyDescent="0.25">
      <c r="B304" s="375">
        <v>45231</v>
      </c>
      <c r="C304" s="377">
        <v>1</v>
      </c>
      <c r="D304" s="377">
        <v>11</v>
      </c>
      <c r="E304" s="378">
        <v>1</v>
      </c>
      <c r="F304" s="377">
        <v>13</v>
      </c>
    </row>
    <row r="305" spans="2:6" hidden="1" outlineLevel="1" x14ac:dyDescent="0.25">
      <c r="B305" s="375">
        <v>45261</v>
      </c>
      <c r="C305" s="377">
        <v>3</v>
      </c>
      <c r="D305" s="377">
        <v>8</v>
      </c>
      <c r="E305" s="378">
        <v>2</v>
      </c>
      <c r="F305" s="377">
        <v>13</v>
      </c>
    </row>
    <row r="306" spans="2:6" collapsed="1" x14ac:dyDescent="0.25">
      <c r="B306" s="393" t="s">
        <v>929</v>
      </c>
      <c r="C306" s="394">
        <v>84</v>
      </c>
      <c r="D306" s="394">
        <v>155</v>
      </c>
      <c r="E306" s="395">
        <v>58</v>
      </c>
      <c r="F306" s="394">
        <v>297</v>
      </c>
    </row>
    <row r="307" spans="2:6" outlineLevel="1" x14ac:dyDescent="0.25">
      <c r="B307" s="375">
        <v>45292</v>
      </c>
      <c r="C307" s="377">
        <v>2</v>
      </c>
      <c r="D307" s="377">
        <v>20</v>
      </c>
      <c r="E307" s="378">
        <v>5</v>
      </c>
      <c r="F307" s="377">
        <v>27</v>
      </c>
    </row>
    <row r="308" spans="2:6" outlineLevel="1" x14ac:dyDescent="0.25">
      <c r="B308" s="375">
        <v>45323</v>
      </c>
      <c r="C308" s="377">
        <v>1</v>
      </c>
      <c r="D308" s="377">
        <v>10</v>
      </c>
      <c r="E308" s="378">
        <v>3</v>
      </c>
      <c r="F308" s="377">
        <v>14</v>
      </c>
    </row>
    <row r="309" spans="2:6" outlineLevel="1" x14ac:dyDescent="0.25">
      <c r="B309" s="375">
        <v>45352</v>
      </c>
      <c r="C309" s="377">
        <v>4</v>
      </c>
      <c r="D309" s="377">
        <v>6</v>
      </c>
      <c r="E309" s="378">
        <v>2</v>
      </c>
      <c r="F309" s="377">
        <v>12</v>
      </c>
    </row>
    <row r="310" spans="2:6" outlineLevel="1" x14ac:dyDescent="0.25">
      <c r="B310" s="375">
        <v>45383</v>
      </c>
      <c r="C310" s="377">
        <v>3</v>
      </c>
      <c r="D310" s="377">
        <v>4</v>
      </c>
      <c r="E310" s="378">
        <v>0</v>
      </c>
      <c r="F310" s="377">
        <v>7</v>
      </c>
    </row>
    <row r="311" spans="2:6" outlineLevel="1" x14ac:dyDescent="0.25">
      <c r="B311" s="375">
        <v>45413</v>
      </c>
      <c r="C311" s="377">
        <v>3</v>
      </c>
      <c r="D311" s="377">
        <v>4</v>
      </c>
      <c r="E311" s="378">
        <v>7</v>
      </c>
      <c r="F311" s="377">
        <v>14</v>
      </c>
    </row>
    <row r="312" spans="2:6" outlineLevel="1" x14ac:dyDescent="0.25">
      <c r="B312" s="375">
        <v>45444</v>
      </c>
      <c r="C312" s="377">
        <v>9</v>
      </c>
      <c r="D312" s="377">
        <v>6</v>
      </c>
      <c r="E312" s="378">
        <v>3</v>
      </c>
      <c r="F312" s="377">
        <v>18</v>
      </c>
    </row>
    <row r="313" spans="2:6" outlineLevel="1" x14ac:dyDescent="0.25">
      <c r="B313" s="375">
        <v>45474</v>
      </c>
      <c r="C313" s="377">
        <v>7</v>
      </c>
      <c r="D313" s="377">
        <v>5</v>
      </c>
      <c r="E313" s="378">
        <v>1</v>
      </c>
      <c r="F313" s="377">
        <v>13</v>
      </c>
    </row>
    <row r="314" spans="2:6" outlineLevel="1" x14ac:dyDescent="0.25">
      <c r="B314" s="375">
        <v>45505</v>
      </c>
      <c r="C314" s="377">
        <v>2</v>
      </c>
      <c r="D314" s="377">
        <v>4</v>
      </c>
      <c r="E314" s="378">
        <v>7</v>
      </c>
      <c r="F314" s="377">
        <v>13</v>
      </c>
    </row>
    <row r="315" spans="2:6" outlineLevel="1" x14ac:dyDescent="0.25">
      <c r="B315" s="375">
        <v>45536</v>
      </c>
      <c r="C315" s="377">
        <v>5</v>
      </c>
      <c r="D315" s="377">
        <v>4</v>
      </c>
      <c r="E315" s="378">
        <v>5</v>
      </c>
      <c r="F315" s="377">
        <v>14</v>
      </c>
    </row>
    <row r="316" spans="2:6" ht="30" x14ac:dyDescent="0.25">
      <c r="B316" s="396" t="s">
        <v>948</v>
      </c>
      <c r="C316" s="394">
        <v>36</v>
      </c>
      <c r="D316" s="394">
        <v>63</v>
      </c>
      <c r="E316" s="395">
        <v>33</v>
      </c>
      <c r="F316" s="394">
        <v>132</v>
      </c>
    </row>
    <row r="317" spans="2:6" x14ac:dyDescent="0.25">
      <c r="B317" s="4" t="s">
        <v>803</v>
      </c>
    </row>
    <row r="320" spans="2:6" x14ac:dyDescent="0.25">
      <c r="C320" s="144"/>
      <c r="D320" s="144"/>
      <c r="E320" s="144"/>
      <c r="F320" s="144"/>
    </row>
    <row r="321" spans="3:5" x14ac:dyDescent="0.25">
      <c r="C321" s="261"/>
      <c r="D321" s="261"/>
      <c r="E321" s="261"/>
    </row>
  </sheetData>
  <mergeCells count="6">
    <mergeCell ref="B161:B162"/>
    <mergeCell ref="C161:E161"/>
    <mergeCell ref="F161:F162"/>
    <mergeCell ref="D7:F7"/>
    <mergeCell ref="C7:C8"/>
    <mergeCell ref="B7:B8"/>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331"/>
  <sheetViews>
    <sheetView showGridLines="0" workbookViewId="0">
      <selection activeCell="B166" sqref="B166"/>
    </sheetView>
    <sheetView showGridLines="0" workbookViewId="1"/>
  </sheetViews>
  <sheetFormatPr baseColWidth="10" defaultRowHeight="15" outlineLevelRow="1" x14ac:dyDescent="0.25"/>
  <cols>
    <col min="2" max="2" width="19.28515625" customWidth="1"/>
  </cols>
  <sheetData>
    <row r="2" spans="2:12" ht="23.25" x14ac:dyDescent="0.25">
      <c r="B2" s="1" t="s">
        <v>731</v>
      </c>
    </row>
    <row r="4" spans="2:12" ht="18.75" x14ac:dyDescent="0.3">
      <c r="B4" s="2" t="s">
        <v>732</v>
      </c>
      <c r="C4" s="2"/>
      <c r="D4" s="2"/>
      <c r="E4" s="2"/>
      <c r="F4" s="2"/>
      <c r="G4" s="2"/>
      <c r="H4" s="2"/>
      <c r="I4" s="2"/>
      <c r="J4" s="2"/>
      <c r="K4" s="2"/>
      <c r="L4" s="2"/>
    </row>
    <row r="5" spans="2:12" x14ac:dyDescent="0.25">
      <c r="B5" s="15" t="s">
        <v>925</v>
      </c>
    </row>
    <row r="7" spans="2:12" x14ac:dyDescent="0.25">
      <c r="B7" s="372" t="s">
        <v>472</v>
      </c>
      <c r="C7" s="360" t="s">
        <v>73</v>
      </c>
      <c r="D7" s="360" t="s">
        <v>74</v>
      </c>
      <c r="E7" s="360" t="s">
        <v>25</v>
      </c>
    </row>
    <row r="8" spans="2:12" x14ac:dyDescent="0.25">
      <c r="B8" s="397" t="s">
        <v>729</v>
      </c>
      <c r="C8" s="398"/>
      <c r="D8" s="398"/>
      <c r="E8" s="399">
        <v>122650</v>
      </c>
    </row>
    <row r="9" spans="2:12" x14ac:dyDescent="0.25">
      <c r="B9" s="400" t="s">
        <v>707</v>
      </c>
      <c r="C9" s="398"/>
      <c r="D9" s="398"/>
      <c r="E9" s="399">
        <v>32605</v>
      </c>
    </row>
    <row r="10" spans="2:12" hidden="1" outlineLevel="1" x14ac:dyDescent="0.25">
      <c r="B10" s="379">
        <v>41275</v>
      </c>
      <c r="C10" s="337"/>
      <c r="D10" s="337"/>
      <c r="E10" s="381">
        <v>2532</v>
      </c>
    </row>
    <row r="11" spans="2:12" hidden="1" outlineLevel="1" x14ac:dyDescent="0.25">
      <c r="B11" s="379">
        <v>41306</v>
      </c>
      <c r="C11" s="337"/>
      <c r="D11" s="337"/>
      <c r="E11" s="381">
        <v>2439</v>
      </c>
    </row>
    <row r="12" spans="2:12" hidden="1" outlineLevel="1" x14ac:dyDescent="0.25">
      <c r="B12" s="379">
        <v>41334</v>
      </c>
      <c r="C12" s="337"/>
      <c r="D12" s="337"/>
      <c r="E12" s="381">
        <v>2431</v>
      </c>
    </row>
    <row r="13" spans="2:12" hidden="1" outlineLevel="1" x14ac:dyDescent="0.25">
      <c r="B13" s="379">
        <v>41365</v>
      </c>
      <c r="C13" s="337"/>
      <c r="D13" s="337"/>
      <c r="E13" s="381">
        <v>1851</v>
      </c>
    </row>
    <row r="14" spans="2:12" hidden="1" outlineLevel="1" x14ac:dyDescent="0.25">
      <c r="B14" s="379">
        <v>41395</v>
      </c>
      <c r="C14" s="337"/>
      <c r="D14" s="337"/>
      <c r="E14" s="381">
        <v>2369</v>
      </c>
    </row>
    <row r="15" spans="2:12" hidden="1" outlineLevel="1" x14ac:dyDescent="0.25">
      <c r="B15" s="379">
        <v>41426</v>
      </c>
      <c r="C15" s="337"/>
      <c r="D15" s="337"/>
      <c r="E15" s="381">
        <v>2281</v>
      </c>
    </row>
    <row r="16" spans="2:12" hidden="1" outlineLevel="1" x14ac:dyDescent="0.25">
      <c r="B16" s="379">
        <v>41456</v>
      </c>
      <c r="C16" s="337"/>
      <c r="D16" s="337"/>
      <c r="E16" s="381">
        <v>2297</v>
      </c>
    </row>
    <row r="17" spans="2:5" hidden="1" outlineLevel="1" x14ac:dyDescent="0.25">
      <c r="B17" s="379">
        <v>41487</v>
      </c>
      <c r="C17" s="337"/>
      <c r="D17" s="337"/>
      <c r="E17" s="381">
        <v>1478</v>
      </c>
    </row>
    <row r="18" spans="2:5" hidden="1" outlineLevel="1" x14ac:dyDescent="0.25">
      <c r="B18" s="379">
        <v>41518</v>
      </c>
      <c r="C18" s="337"/>
      <c r="D18" s="337"/>
      <c r="E18" s="381">
        <v>1310</v>
      </c>
    </row>
    <row r="19" spans="2:5" hidden="1" outlineLevel="1" x14ac:dyDescent="0.25">
      <c r="B19" s="379">
        <v>41548</v>
      </c>
      <c r="C19" s="337"/>
      <c r="D19" s="337"/>
      <c r="E19" s="381">
        <v>1141</v>
      </c>
    </row>
    <row r="20" spans="2:5" hidden="1" outlineLevel="1" x14ac:dyDescent="0.25">
      <c r="B20" s="379">
        <v>41579</v>
      </c>
      <c r="C20" s="337"/>
      <c r="D20" s="337"/>
      <c r="E20" s="381">
        <v>925</v>
      </c>
    </row>
    <row r="21" spans="2:5" hidden="1" outlineLevel="1" x14ac:dyDescent="0.25">
      <c r="B21" s="379">
        <v>41609</v>
      </c>
      <c r="C21" s="337"/>
      <c r="D21" s="337"/>
      <c r="E21" s="381">
        <v>2271</v>
      </c>
    </row>
    <row r="22" spans="2:5" collapsed="1" x14ac:dyDescent="0.25">
      <c r="B22" s="400" t="s">
        <v>34</v>
      </c>
      <c r="C22" s="398"/>
      <c r="D22" s="398"/>
      <c r="E22" s="399">
        <v>23325</v>
      </c>
    </row>
    <row r="23" spans="2:5" hidden="1" outlineLevel="1" x14ac:dyDescent="0.25">
      <c r="B23" s="379">
        <v>41640</v>
      </c>
      <c r="C23" s="337"/>
      <c r="D23" s="337"/>
      <c r="E23" s="381">
        <v>2624</v>
      </c>
    </row>
    <row r="24" spans="2:5" hidden="1" outlineLevel="1" x14ac:dyDescent="0.25">
      <c r="B24" s="379">
        <v>41671</v>
      </c>
      <c r="C24" s="337"/>
      <c r="D24" s="337"/>
      <c r="E24" s="381">
        <v>1598</v>
      </c>
    </row>
    <row r="25" spans="2:5" hidden="1" outlineLevel="1" x14ac:dyDescent="0.25">
      <c r="B25" s="379">
        <v>41699</v>
      </c>
      <c r="C25" s="337"/>
      <c r="D25" s="337"/>
      <c r="E25" s="381">
        <v>1914</v>
      </c>
    </row>
    <row r="26" spans="2:5" hidden="1" outlineLevel="1" x14ac:dyDescent="0.25">
      <c r="B26" s="379">
        <v>41730</v>
      </c>
      <c r="C26" s="337"/>
      <c r="D26" s="337"/>
      <c r="E26" s="381">
        <v>1065</v>
      </c>
    </row>
    <row r="27" spans="2:5" hidden="1" outlineLevel="1" x14ac:dyDescent="0.25">
      <c r="B27" s="379">
        <v>41760</v>
      </c>
      <c r="C27" s="337"/>
      <c r="D27" s="337"/>
      <c r="E27" s="381">
        <v>1919</v>
      </c>
    </row>
    <row r="28" spans="2:5" hidden="1" outlineLevel="1" x14ac:dyDescent="0.25">
      <c r="B28" s="379">
        <v>41791</v>
      </c>
      <c r="C28" s="337"/>
      <c r="D28" s="337"/>
      <c r="E28" s="381">
        <v>1580</v>
      </c>
    </row>
    <row r="29" spans="2:5" hidden="1" outlineLevel="1" x14ac:dyDescent="0.25">
      <c r="B29" s="379">
        <v>41821</v>
      </c>
      <c r="C29" s="337"/>
      <c r="D29" s="337"/>
      <c r="E29" s="381">
        <v>1542</v>
      </c>
    </row>
    <row r="30" spans="2:5" hidden="1" outlineLevel="1" x14ac:dyDescent="0.25">
      <c r="B30" s="379">
        <v>41852</v>
      </c>
      <c r="C30" s="337"/>
      <c r="D30" s="337"/>
      <c r="E30" s="381">
        <v>1606</v>
      </c>
    </row>
    <row r="31" spans="2:5" hidden="1" outlineLevel="1" x14ac:dyDescent="0.25">
      <c r="B31" s="379">
        <v>41883</v>
      </c>
      <c r="C31" s="337"/>
      <c r="D31" s="337"/>
      <c r="E31" s="381">
        <v>2676</v>
      </c>
    </row>
    <row r="32" spans="2:5" hidden="1" outlineLevel="1" x14ac:dyDescent="0.25">
      <c r="B32" s="379">
        <v>41913</v>
      </c>
      <c r="C32" s="337"/>
      <c r="D32" s="337"/>
      <c r="E32" s="381">
        <v>2626</v>
      </c>
    </row>
    <row r="33" spans="2:5" hidden="1" outlineLevel="1" x14ac:dyDescent="0.25">
      <c r="B33" s="379">
        <v>41944</v>
      </c>
      <c r="C33" s="337"/>
      <c r="D33" s="337"/>
      <c r="E33" s="381">
        <v>2422</v>
      </c>
    </row>
    <row r="34" spans="2:5" hidden="1" outlineLevel="1" x14ac:dyDescent="0.25">
      <c r="B34" s="379">
        <v>41974</v>
      </c>
      <c r="C34" s="337"/>
      <c r="D34" s="337"/>
      <c r="E34" s="381">
        <v>1349</v>
      </c>
    </row>
    <row r="35" spans="2:5" collapsed="1" x14ac:dyDescent="0.25">
      <c r="B35" s="400" t="s">
        <v>36</v>
      </c>
      <c r="C35" s="398"/>
      <c r="D35" s="398"/>
      <c r="E35" s="399">
        <v>22921</v>
      </c>
    </row>
    <row r="36" spans="2:5" hidden="1" outlineLevel="1" x14ac:dyDescent="0.25">
      <c r="B36" s="379">
        <v>42005</v>
      </c>
      <c r="C36" s="337"/>
      <c r="D36" s="337"/>
      <c r="E36" s="381">
        <v>2382</v>
      </c>
    </row>
    <row r="37" spans="2:5" hidden="1" outlineLevel="1" x14ac:dyDescent="0.25">
      <c r="B37" s="379">
        <v>42036</v>
      </c>
      <c r="C37" s="337"/>
      <c r="D37" s="337"/>
      <c r="E37" s="381">
        <v>3962</v>
      </c>
    </row>
    <row r="38" spans="2:5" hidden="1" outlineLevel="1" x14ac:dyDescent="0.25">
      <c r="B38" s="379">
        <v>42064</v>
      </c>
      <c r="C38" s="337"/>
      <c r="D38" s="337"/>
      <c r="E38" s="381">
        <v>2652</v>
      </c>
    </row>
    <row r="39" spans="2:5" hidden="1" outlineLevel="1" x14ac:dyDescent="0.25">
      <c r="B39" s="379">
        <v>42095</v>
      </c>
      <c r="C39" s="337"/>
      <c r="D39" s="337"/>
      <c r="E39" s="381">
        <v>3302</v>
      </c>
    </row>
    <row r="40" spans="2:5" hidden="1" outlineLevel="1" x14ac:dyDescent="0.25">
      <c r="B40" s="379">
        <v>42125</v>
      </c>
      <c r="C40" s="337"/>
      <c r="D40" s="337"/>
      <c r="E40" s="381">
        <v>1564</v>
      </c>
    </row>
    <row r="41" spans="2:5" hidden="1" outlineLevel="1" x14ac:dyDescent="0.25">
      <c r="B41" s="379">
        <v>42156</v>
      </c>
      <c r="C41" s="337"/>
      <c r="D41" s="337"/>
      <c r="E41" s="381">
        <v>2459</v>
      </c>
    </row>
    <row r="42" spans="2:5" hidden="1" outlineLevel="1" x14ac:dyDescent="0.25">
      <c r="B42" s="379">
        <v>42186</v>
      </c>
      <c r="C42" s="337"/>
      <c r="D42" s="337"/>
      <c r="E42" s="381">
        <v>1307</v>
      </c>
    </row>
    <row r="43" spans="2:5" hidden="1" outlineLevel="1" x14ac:dyDescent="0.25">
      <c r="B43" s="379">
        <v>42217</v>
      </c>
      <c r="C43" s="337"/>
      <c r="D43" s="337"/>
      <c r="E43" s="381">
        <v>2005</v>
      </c>
    </row>
    <row r="44" spans="2:5" hidden="1" outlineLevel="1" x14ac:dyDescent="0.25">
      <c r="B44" s="379">
        <v>42248</v>
      </c>
      <c r="C44" s="337"/>
      <c r="D44" s="337"/>
      <c r="E44" s="381">
        <v>1605</v>
      </c>
    </row>
    <row r="45" spans="2:5" hidden="1" outlineLevel="1" x14ac:dyDescent="0.25">
      <c r="B45" s="379">
        <v>42278</v>
      </c>
      <c r="C45" s="337"/>
      <c r="D45" s="337"/>
      <c r="E45" s="381">
        <v>5170</v>
      </c>
    </row>
    <row r="46" spans="2:5" hidden="1" outlineLevel="1" x14ac:dyDescent="0.25">
      <c r="B46" s="379">
        <v>42309</v>
      </c>
      <c r="C46" s="337"/>
      <c r="D46" s="337"/>
      <c r="E46" s="381">
        <v>2737</v>
      </c>
    </row>
    <row r="47" spans="2:5" hidden="1" outlineLevel="1" x14ac:dyDescent="0.25">
      <c r="B47" s="379">
        <v>42339</v>
      </c>
      <c r="C47" s="337"/>
      <c r="D47" s="337"/>
      <c r="E47" s="381">
        <v>1802</v>
      </c>
    </row>
    <row r="48" spans="2:5" collapsed="1" x14ac:dyDescent="0.25">
      <c r="B48" s="400" t="s">
        <v>38</v>
      </c>
      <c r="C48" s="398"/>
      <c r="D48" s="398"/>
      <c r="E48" s="399">
        <v>30947</v>
      </c>
    </row>
    <row r="49" spans="2:5" hidden="1" outlineLevel="1" x14ac:dyDescent="0.25">
      <c r="B49" s="379">
        <v>42370</v>
      </c>
      <c r="C49" s="337"/>
      <c r="D49" s="337"/>
      <c r="E49" s="381">
        <v>3979</v>
      </c>
    </row>
    <row r="50" spans="2:5" hidden="1" outlineLevel="1" x14ac:dyDescent="0.25">
      <c r="B50" s="379">
        <v>42401</v>
      </c>
      <c r="C50" s="337"/>
      <c r="D50" s="337"/>
      <c r="E50" s="381">
        <v>4366</v>
      </c>
    </row>
    <row r="51" spans="2:5" hidden="1" outlineLevel="1" x14ac:dyDescent="0.25">
      <c r="B51" s="379">
        <v>42430</v>
      </c>
      <c r="C51" s="337"/>
      <c r="D51" s="337"/>
      <c r="E51" s="381">
        <v>2056</v>
      </c>
    </row>
    <row r="52" spans="2:5" hidden="1" outlineLevel="1" x14ac:dyDescent="0.25">
      <c r="B52" s="379">
        <v>42461</v>
      </c>
      <c r="C52" s="337"/>
      <c r="D52" s="337"/>
      <c r="E52" s="381">
        <v>2454</v>
      </c>
    </row>
    <row r="53" spans="2:5" hidden="1" outlineLevel="1" x14ac:dyDescent="0.25">
      <c r="B53" s="379">
        <v>42491</v>
      </c>
      <c r="C53" s="337">
        <v>1021</v>
      </c>
      <c r="D53" s="337">
        <v>834</v>
      </c>
      <c r="E53" s="381">
        <v>1855</v>
      </c>
    </row>
    <row r="54" spans="2:5" hidden="1" outlineLevel="1" x14ac:dyDescent="0.25">
      <c r="B54" s="379">
        <v>42522</v>
      </c>
      <c r="C54" s="337">
        <v>983</v>
      </c>
      <c r="D54" s="337">
        <v>924</v>
      </c>
      <c r="E54" s="381">
        <v>1907</v>
      </c>
    </row>
    <row r="55" spans="2:5" hidden="1" outlineLevel="1" x14ac:dyDescent="0.25">
      <c r="B55" s="379">
        <v>42552</v>
      </c>
      <c r="C55" s="337">
        <v>1011</v>
      </c>
      <c r="D55" s="337">
        <v>872</v>
      </c>
      <c r="E55" s="381">
        <v>1883</v>
      </c>
    </row>
    <row r="56" spans="2:5" hidden="1" outlineLevel="1" x14ac:dyDescent="0.25">
      <c r="B56" s="379">
        <v>42583</v>
      </c>
      <c r="C56" s="337">
        <v>2375</v>
      </c>
      <c r="D56" s="337">
        <v>1728</v>
      </c>
      <c r="E56" s="381">
        <v>4103</v>
      </c>
    </row>
    <row r="57" spans="2:5" hidden="1" outlineLevel="1" x14ac:dyDescent="0.25">
      <c r="B57" s="379">
        <v>42614</v>
      </c>
      <c r="C57" s="337">
        <v>993</v>
      </c>
      <c r="D57" s="337">
        <v>820</v>
      </c>
      <c r="E57" s="381">
        <v>1813</v>
      </c>
    </row>
    <row r="58" spans="2:5" hidden="1" outlineLevel="1" x14ac:dyDescent="0.25">
      <c r="B58" s="379">
        <v>42644</v>
      </c>
      <c r="C58" s="337">
        <v>783</v>
      </c>
      <c r="D58" s="337">
        <v>848</v>
      </c>
      <c r="E58" s="381">
        <v>1631</v>
      </c>
    </row>
    <row r="59" spans="2:5" hidden="1" outlineLevel="1" x14ac:dyDescent="0.25">
      <c r="B59" s="379">
        <v>42675</v>
      </c>
      <c r="C59" s="337">
        <v>497</v>
      </c>
      <c r="D59" s="337">
        <v>326</v>
      </c>
      <c r="E59" s="381">
        <v>823</v>
      </c>
    </row>
    <row r="60" spans="2:5" hidden="1" outlineLevel="1" x14ac:dyDescent="0.25">
      <c r="B60" s="379">
        <v>42705</v>
      </c>
      <c r="C60" s="337">
        <v>1219</v>
      </c>
      <c r="D60" s="337">
        <v>923</v>
      </c>
      <c r="E60" s="381">
        <v>2142</v>
      </c>
    </row>
    <row r="61" spans="2:5" collapsed="1" x14ac:dyDescent="0.25">
      <c r="B61" s="400" t="s">
        <v>55</v>
      </c>
      <c r="C61" s="398"/>
      <c r="D61" s="398"/>
      <c r="E61" s="399">
        <v>29012</v>
      </c>
    </row>
    <row r="62" spans="2:5" hidden="1" outlineLevel="1" x14ac:dyDescent="0.25">
      <c r="B62" s="379">
        <v>42736</v>
      </c>
      <c r="C62" s="337">
        <v>1817</v>
      </c>
      <c r="D62" s="337">
        <v>1272</v>
      </c>
      <c r="E62" s="381">
        <v>3089</v>
      </c>
    </row>
    <row r="63" spans="2:5" hidden="1" outlineLevel="1" x14ac:dyDescent="0.25">
      <c r="B63" s="379">
        <v>42767</v>
      </c>
      <c r="C63" s="337">
        <v>1645</v>
      </c>
      <c r="D63" s="337">
        <v>1289</v>
      </c>
      <c r="E63" s="381">
        <v>2934</v>
      </c>
    </row>
    <row r="64" spans="2:5" hidden="1" outlineLevel="1" x14ac:dyDescent="0.25">
      <c r="B64" s="379">
        <v>42795</v>
      </c>
      <c r="C64" s="337">
        <v>1362</v>
      </c>
      <c r="D64" s="337">
        <v>1006</v>
      </c>
      <c r="E64" s="381">
        <v>2368</v>
      </c>
    </row>
    <row r="65" spans="2:5" hidden="1" outlineLevel="1" x14ac:dyDescent="0.25">
      <c r="B65" s="379">
        <v>42826</v>
      </c>
      <c r="C65" s="337">
        <v>718</v>
      </c>
      <c r="D65" s="337">
        <v>604</v>
      </c>
      <c r="E65" s="381">
        <v>1322</v>
      </c>
    </row>
    <row r="66" spans="2:5" hidden="1" outlineLevel="1" x14ac:dyDescent="0.25">
      <c r="B66" s="379">
        <v>42856</v>
      </c>
      <c r="C66" s="337">
        <v>762</v>
      </c>
      <c r="D66" s="337">
        <v>531</v>
      </c>
      <c r="E66" s="381">
        <v>1293</v>
      </c>
    </row>
    <row r="67" spans="2:5" hidden="1" outlineLevel="1" x14ac:dyDescent="0.25">
      <c r="B67" s="379">
        <v>42887</v>
      </c>
      <c r="C67" s="337">
        <v>919</v>
      </c>
      <c r="D67" s="337">
        <v>611</v>
      </c>
      <c r="E67" s="381">
        <v>1530</v>
      </c>
    </row>
    <row r="68" spans="2:5" hidden="1" outlineLevel="1" x14ac:dyDescent="0.25">
      <c r="B68" s="379">
        <v>42917</v>
      </c>
      <c r="C68" s="337">
        <v>956</v>
      </c>
      <c r="D68" s="337">
        <v>639</v>
      </c>
      <c r="E68" s="381">
        <v>1595</v>
      </c>
    </row>
    <row r="69" spans="2:5" hidden="1" outlineLevel="1" x14ac:dyDescent="0.25">
      <c r="B69" s="379">
        <v>42948</v>
      </c>
      <c r="C69" s="337">
        <v>751</v>
      </c>
      <c r="D69" s="337">
        <v>503</v>
      </c>
      <c r="E69" s="381">
        <v>1254</v>
      </c>
    </row>
    <row r="70" spans="2:5" hidden="1" outlineLevel="1" x14ac:dyDescent="0.25">
      <c r="B70" s="379">
        <v>42979</v>
      </c>
      <c r="C70" s="337">
        <v>863</v>
      </c>
      <c r="D70" s="337">
        <v>564</v>
      </c>
      <c r="E70" s="381">
        <v>1427</v>
      </c>
    </row>
    <row r="71" spans="2:5" hidden="1" outlineLevel="1" x14ac:dyDescent="0.25">
      <c r="B71" s="379">
        <v>43009</v>
      </c>
      <c r="C71" s="337">
        <v>352</v>
      </c>
      <c r="D71" s="337">
        <v>264</v>
      </c>
      <c r="E71" s="381">
        <v>616</v>
      </c>
    </row>
    <row r="72" spans="2:5" hidden="1" outlineLevel="1" x14ac:dyDescent="0.25">
      <c r="B72" s="379">
        <v>43040</v>
      </c>
      <c r="C72" s="337">
        <v>561</v>
      </c>
      <c r="D72" s="337">
        <v>386</v>
      </c>
      <c r="E72" s="381">
        <v>947</v>
      </c>
    </row>
    <row r="73" spans="2:5" hidden="1" outlineLevel="1" x14ac:dyDescent="0.25">
      <c r="B73" s="379">
        <v>43070</v>
      </c>
      <c r="C73" s="337">
        <v>660</v>
      </c>
      <c r="D73" s="337">
        <v>615</v>
      </c>
      <c r="E73" s="381">
        <v>1275</v>
      </c>
    </row>
    <row r="74" spans="2:5" collapsed="1" x14ac:dyDescent="0.25">
      <c r="B74" s="400" t="s">
        <v>58</v>
      </c>
      <c r="C74" s="398">
        <v>11366</v>
      </c>
      <c r="D74" s="398">
        <v>8284</v>
      </c>
      <c r="E74" s="399">
        <v>19650</v>
      </c>
    </row>
    <row r="75" spans="2:5" hidden="1" outlineLevel="1" x14ac:dyDescent="0.25">
      <c r="B75" s="379">
        <v>43101</v>
      </c>
      <c r="C75" s="337">
        <v>777</v>
      </c>
      <c r="D75" s="337">
        <v>678</v>
      </c>
      <c r="E75" s="381">
        <v>1455</v>
      </c>
    </row>
    <row r="76" spans="2:5" hidden="1" outlineLevel="1" x14ac:dyDescent="0.25">
      <c r="B76" s="379">
        <v>43132</v>
      </c>
      <c r="C76" s="337">
        <v>979</v>
      </c>
      <c r="D76" s="337">
        <v>837</v>
      </c>
      <c r="E76" s="381">
        <v>1816</v>
      </c>
    </row>
    <row r="77" spans="2:5" hidden="1" outlineLevel="1" x14ac:dyDescent="0.25">
      <c r="B77" s="379">
        <v>43160</v>
      </c>
      <c r="C77" s="337">
        <v>1375</v>
      </c>
      <c r="D77" s="337">
        <v>894</v>
      </c>
      <c r="E77" s="381">
        <v>2269</v>
      </c>
    </row>
    <row r="78" spans="2:5" hidden="1" outlineLevel="1" x14ac:dyDescent="0.25">
      <c r="B78" s="379">
        <v>43191</v>
      </c>
      <c r="C78" s="337">
        <v>1043</v>
      </c>
      <c r="D78" s="337">
        <v>596</v>
      </c>
      <c r="E78" s="381">
        <v>1639</v>
      </c>
    </row>
    <row r="79" spans="2:5" hidden="1" outlineLevel="1" x14ac:dyDescent="0.25">
      <c r="B79" s="379">
        <v>43221</v>
      </c>
      <c r="C79" s="337">
        <v>760</v>
      </c>
      <c r="D79" s="337">
        <v>451</v>
      </c>
      <c r="E79" s="381">
        <v>1211</v>
      </c>
    </row>
    <row r="80" spans="2:5" hidden="1" outlineLevel="1" x14ac:dyDescent="0.25">
      <c r="B80" s="379">
        <v>43252</v>
      </c>
      <c r="C80" s="337">
        <v>1059</v>
      </c>
      <c r="D80" s="337">
        <v>680</v>
      </c>
      <c r="E80" s="381">
        <v>1739</v>
      </c>
    </row>
    <row r="81" spans="2:5" hidden="1" outlineLevel="1" x14ac:dyDescent="0.25">
      <c r="B81" s="379">
        <v>43282</v>
      </c>
      <c r="C81" s="337">
        <v>968</v>
      </c>
      <c r="D81" s="337">
        <v>597</v>
      </c>
      <c r="E81" s="381">
        <v>1565</v>
      </c>
    </row>
    <row r="82" spans="2:5" hidden="1" outlineLevel="1" x14ac:dyDescent="0.25">
      <c r="B82" s="379">
        <v>43313</v>
      </c>
      <c r="C82" s="337">
        <v>1231</v>
      </c>
      <c r="D82" s="337">
        <v>879</v>
      </c>
      <c r="E82" s="381">
        <v>2110</v>
      </c>
    </row>
    <row r="83" spans="2:5" hidden="1" outlineLevel="1" x14ac:dyDescent="0.25">
      <c r="B83" s="379">
        <v>43344</v>
      </c>
      <c r="C83" s="337">
        <v>1614</v>
      </c>
      <c r="D83" s="337">
        <v>1116</v>
      </c>
      <c r="E83" s="381">
        <v>2730</v>
      </c>
    </row>
    <row r="84" spans="2:5" hidden="1" outlineLevel="1" x14ac:dyDescent="0.25">
      <c r="B84" s="379">
        <v>43374</v>
      </c>
      <c r="C84" s="337">
        <v>1026</v>
      </c>
      <c r="D84" s="337">
        <v>810</v>
      </c>
      <c r="E84" s="381">
        <v>1836</v>
      </c>
    </row>
    <row r="85" spans="2:5" hidden="1" outlineLevel="1" x14ac:dyDescent="0.25">
      <c r="B85" s="379">
        <v>43405</v>
      </c>
      <c r="C85" s="337">
        <v>655</v>
      </c>
      <c r="D85" s="337">
        <v>330</v>
      </c>
      <c r="E85" s="381">
        <v>985</v>
      </c>
    </row>
    <row r="86" spans="2:5" hidden="1" outlineLevel="1" x14ac:dyDescent="0.25">
      <c r="B86" s="379">
        <v>43435</v>
      </c>
      <c r="C86" s="337">
        <v>1554</v>
      </c>
      <c r="D86" s="337">
        <v>766</v>
      </c>
      <c r="E86" s="381">
        <v>2320</v>
      </c>
    </row>
    <row r="87" spans="2:5" collapsed="1" x14ac:dyDescent="0.25">
      <c r="B87" s="400" t="s">
        <v>59</v>
      </c>
      <c r="C87" s="398">
        <v>13041</v>
      </c>
      <c r="D87" s="398">
        <v>8634</v>
      </c>
      <c r="E87" s="399">
        <v>21675</v>
      </c>
    </row>
    <row r="88" spans="2:5" hidden="1" outlineLevel="1" x14ac:dyDescent="0.25">
      <c r="B88" s="379">
        <v>43466</v>
      </c>
      <c r="C88" s="337">
        <v>1711</v>
      </c>
      <c r="D88" s="337">
        <v>1024</v>
      </c>
      <c r="E88" s="381">
        <v>2735</v>
      </c>
    </row>
    <row r="89" spans="2:5" hidden="1" outlineLevel="1" x14ac:dyDescent="0.25">
      <c r="B89" s="379">
        <v>43497</v>
      </c>
      <c r="C89" s="337">
        <v>1618</v>
      </c>
      <c r="D89" s="337">
        <v>809</v>
      </c>
      <c r="E89" s="381">
        <v>2427</v>
      </c>
    </row>
    <row r="90" spans="2:5" hidden="1" outlineLevel="1" x14ac:dyDescent="0.25">
      <c r="B90" s="379">
        <v>43525</v>
      </c>
      <c r="C90" s="337">
        <v>467</v>
      </c>
      <c r="D90" s="337">
        <v>342</v>
      </c>
      <c r="E90" s="381">
        <v>809</v>
      </c>
    </row>
    <row r="91" spans="2:5" hidden="1" outlineLevel="1" x14ac:dyDescent="0.25">
      <c r="B91" s="379">
        <v>43556</v>
      </c>
      <c r="C91" s="337">
        <v>1080</v>
      </c>
      <c r="D91" s="337">
        <v>564</v>
      </c>
      <c r="E91" s="381">
        <v>1644</v>
      </c>
    </row>
    <row r="92" spans="2:5" hidden="1" outlineLevel="1" x14ac:dyDescent="0.25">
      <c r="B92" s="379">
        <v>43586</v>
      </c>
      <c r="C92" s="337">
        <v>1085</v>
      </c>
      <c r="D92" s="337">
        <v>663</v>
      </c>
      <c r="E92" s="381">
        <v>1748</v>
      </c>
    </row>
    <row r="93" spans="2:5" hidden="1" outlineLevel="1" x14ac:dyDescent="0.25">
      <c r="B93" s="379">
        <v>43617</v>
      </c>
      <c r="C93" s="337">
        <v>2004</v>
      </c>
      <c r="D93" s="337">
        <v>1413</v>
      </c>
      <c r="E93" s="381">
        <v>3417</v>
      </c>
    </row>
    <row r="94" spans="2:5" hidden="1" outlineLevel="1" x14ac:dyDescent="0.25">
      <c r="B94" s="379">
        <v>43647</v>
      </c>
      <c r="C94" s="337">
        <v>2427</v>
      </c>
      <c r="D94" s="337">
        <v>1403</v>
      </c>
      <c r="E94" s="381">
        <v>3830</v>
      </c>
    </row>
    <row r="95" spans="2:5" hidden="1" outlineLevel="1" x14ac:dyDescent="0.25">
      <c r="B95" s="379">
        <v>43678</v>
      </c>
      <c r="C95" s="337">
        <v>2118</v>
      </c>
      <c r="D95" s="337">
        <v>1197</v>
      </c>
      <c r="E95" s="381">
        <v>3315</v>
      </c>
    </row>
    <row r="96" spans="2:5" hidden="1" outlineLevel="1" x14ac:dyDescent="0.25">
      <c r="B96" s="379">
        <v>43709</v>
      </c>
      <c r="C96" s="337">
        <v>1382</v>
      </c>
      <c r="D96" s="337">
        <v>1016</v>
      </c>
      <c r="E96" s="381">
        <v>2398</v>
      </c>
    </row>
    <row r="97" spans="2:5" hidden="1" outlineLevel="1" x14ac:dyDescent="0.25">
      <c r="B97" s="379">
        <v>43739</v>
      </c>
      <c r="C97" s="337">
        <v>948</v>
      </c>
      <c r="D97" s="337">
        <v>627</v>
      </c>
      <c r="E97" s="381">
        <v>1575</v>
      </c>
    </row>
    <row r="98" spans="2:5" hidden="1" outlineLevel="1" x14ac:dyDescent="0.25">
      <c r="B98" s="379">
        <v>43770</v>
      </c>
      <c r="C98" s="337">
        <v>949</v>
      </c>
      <c r="D98" s="337">
        <v>527</v>
      </c>
      <c r="E98" s="381">
        <v>1476</v>
      </c>
    </row>
    <row r="99" spans="2:5" hidden="1" outlineLevel="1" x14ac:dyDescent="0.25">
      <c r="B99" s="379">
        <v>43800</v>
      </c>
      <c r="C99" s="337">
        <v>506</v>
      </c>
      <c r="D99" s="337">
        <v>423</v>
      </c>
      <c r="E99" s="381">
        <v>929</v>
      </c>
    </row>
    <row r="100" spans="2:5" collapsed="1" x14ac:dyDescent="0.25">
      <c r="B100" s="400" t="s">
        <v>60</v>
      </c>
      <c r="C100" s="398">
        <v>16295</v>
      </c>
      <c r="D100" s="398">
        <v>10008</v>
      </c>
      <c r="E100" s="399">
        <v>26303</v>
      </c>
    </row>
    <row r="101" spans="2:5" hidden="1" outlineLevel="1" x14ac:dyDescent="0.25">
      <c r="B101" s="379">
        <v>43831</v>
      </c>
      <c r="C101" s="337">
        <v>1297</v>
      </c>
      <c r="D101" s="337">
        <v>758</v>
      </c>
      <c r="E101" s="381">
        <v>2055</v>
      </c>
    </row>
    <row r="102" spans="2:5" hidden="1" outlineLevel="1" x14ac:dyDescent="0.25">
      <c r="B102" s="379">
        <v>43862</v>
      </c>
      <c r="C102" s="337">
        <v>1495</v>
      </c>
      <c r="D102" s="337">
        <v>1505</v>
      </c>
      <c r="E102" s="381">
        <v>3000</v>
      </c>
    </row>
    <row r="103" spans="2:5" hidden="1" outlineLevel="1" x14ac:dyDescent="0.25">
      <c r="B103" s="379">
        <v>43891</v>
      </c>
      <c r="C103" s="337">
        <v>1883</v>
      </c>
      <c r="D103" s="337">
        <v>1296</v>
      </c>
      <c r="E103" s="381">
        <v>3179</v>
      </c>
    </row>
    <row r="104" spans="2:5" hidden="1" outlineLevel="1" x14ac:dyDescent="0.25">
      <c r="B104" s="379">
        <v>43922</v>
      </c>
      <c r="C104" s="337">
        <v>3853</v>
      </c>
      <c r="D104" s="337">
        <v>2369</v>
      </c>
      <c r="E104" s="381">
        <v>6222</v>
      </c>
    </row>
    <row r="105" spans="2:5" hidden="1" outlineLevel="1" x14ac:dyDescent="0.25">
      <c r="B105" s="379">
        <v>43952</v>
      </c>
      <c r="C105" s="337">
        <v>3685</v>
      </c>
      <c r="D105" s="337">
        <v>1919</v>
      </c>
      <c r="E105" s="381">
        <v>5604</v>
      </c>
    </row>
    <row r="106" spans="2:5" hidden="1" outlineLevel="1" x14ac:dyDescent="0.25">
      <c r="B106" s="379">
        <v>43983</v>
      </c>
      <c r="C106" s="337">
        <v>3750</v>
      </c>
      <c r="D106" s="337">
        <v>1981</v>
      </c>
      <c r="E106" s="381">
        <v>5731</v>
      </c>
    </row>
    <row r="107" spans="2:5" hidden="1" outlineLevel="1" x14ac:dyDescent="0.25">
      <c r="B107" s="379">
        <v>44013</v>
      </c>
      <c r="C107" s="337">
        <v>5203</v>
      </c>
      <c r="D107" s="337">
        <v>2979</v>
      </c>
      <c r="E107" s="381">
        <v>8182</v>
      </c>
    </row>
    <row r="108" spans="2:5" hidden="1" outlineLevel="1" x14ac:dyDescent="0.25">
      <c r="B108" s="379">
        <v>44044</v>
      </c>
      <c r="C108" s="337">
        <v>4969</v>
      </c>
      <c r="D108" s="337">
        <v>2864</v>
      </c>
      <c r="E108" s="381">
        <v>7833</v>
      </c>
    </row>
    <row r="109" spans="2:5" hidden="1" outlineLevel="1" x14ac:dyDescent="0.25">
      <c r="B109" s="379">
        <v>44075</v>
      </c>
      <c r="C109" s="337">
        <v>2385</v>
      </c>
      <c r="D109" s="337">
        <v>1258</v>
      </c>
      <c r="E109" s="381">
        <v>3643</v>
      </c>
    </row>
    <row r="110" spans="2:5" hidden="1" outlineLevel="1" x14ac:dyDescent="0.25">
      <c r="B110" s="379">
        <v>44105</v>
      </c>
      <c r="C110" s="337">
        <v>2045</v>
      </c>
      <c r="D110" s="337">
        <v>1173</v>
      </c>
      <c r="E110" s="381">
        <v>3218</v>
      </c>
    </row>
    <row r="111" spans="2:5" hidden="1" outlineLevel="1" x14ac:dyDescent="0.25">
      <c r="B111" s="379">
        <v>44136</v>
      </c>
      <c r="C111" s="337">
        <v>1545</v>
      </c>
      <c r="D111" s="337">
        <v>906</v>
      </c>
      <c r="E111" s="381">
        <v>2451</v>
      </c>
    </row>
    <row r="112" spans="2:5" hidden="1" outlineLevel="1" x14ac:dyDescent="0.25">
      <c r="B112" s="379">
        <v>44166</v>
      </c>
      <c r="C112" s="337">
        <v>1765</v>
      </c>
      <c r="D112" s="337">
        <v>802</v>
      </c>
      <c r="E112" s="381">
        <v>2567</v>
      </c>
    </row>
    <row r="113" spans="2:5" collapsed="1" x14ac:dyDescent="0.25">
      <c r="B113" s="400" t="s">
        <v>64</v>
      </c>
      <c r="C113" s="398">
        <v>33875</v>
      </c>
      <c r="D113" s="398">
        <v>19810</v>
      </c>
      <c r="E113" s="399">
        <v>53685</v>
      </c>
    </row>
    <row r="114" spans="2:5" hidden="1" outlineLevel="1" x14ac:dyDescent="0.25">
      <c r="B114" s="379">
        <v>44197</v>
      </c>
      <c r="C114" s="337">
        <v>2266</v>
      </c>
      <c r="D114" s="337">
        <v>1048</v>
      </c>
      <c r="E114" s="381">
        <v>3314</v>
      </c>
    </row>
    <row r="115" spans="2:5" hidden="1" outlineLevel="1" x14ac:dyDescent="0.25">
      <c r="B115" s="379">
        <v>44228</v>
      </c>
      <c r="C115" s="337">
        <v>3079</v>
      </c>
      <c r="D115" s="337">
        <v>1343</v>
      </c>
      <c r="E115" s="381">
        <v>4422</v>
      </c>
    </row>
    <row r="116" spans="2:5" hidden="1" outlineLevel="1" x14ac:dyDescent="0.25">
      <c r="B116" s="379">
        <v>44256</v>
      </c>
      <c r="C116" s="337">
        <v>3621</v>
      </c>
      <c r="D116" s="337">
        <v>1770</v>
      </c>
      <c r="E116" s="381">
        <v>5391</v>
      </c>
    </row>
    <row r="117" spans="2:5" hidden="1" outlineLevel="1" x14ac:dyDescent="0.25">
      <c r="B117" s="379">
        <v>44287</v>
      </c>
      <c r="C117" s="337">
        <v>4727</v>
      </c>
      <c r="D117" s="337">
        <v>2416</v>
      </c>
      <c r="E117" s="381">
        <v>7143</v>
      </c>
    </row>
    <row r="118" spans="2:5" hidden="1" outlineLevel="1" x14ac:dyDescent="0.25">
      <c r="B118" s="379">
        <v>44317</v>
      </c>
      <c r="C118" s="337">
        <v>3848</v>
      </c>
      <c r="D118" s="337">
        <v>2237</v>
      </c>
      <c r="E118" s="381">
        <v>6085</v>
      </c>
    </row>
    <row r="119" spans="2:5" hidden="1" outlineLevel="1" x14ac:dyDescent="0.25">
      <c r="B119" s="379">
        <v>44348</v>
      </c>
      <c r="C119" s="337">
        <v>3185</v>
      </c>
      <c r="D119" s="337">
        <v>2330</v>
      </c>
      <c r="E119" s="381">
        <v>5515</v>
      </c>
    </row>
    <row r="120" spans="2:5" hidden="1" outlineLevel="1" x14ac:dyDescent="0.25">
      <c r="B120" s="379">
        <v>44378</v>
      </c>
      <c r="C120" s="337">
        <v>2655</v>
      </c>
      <c r="D120" s="337">
        <v>1488</v>
      </c>
      <c r="E120" s="381">
        <v>4143</v>
      </c>
    </row>
    <row r="121" spans="2:5" hidden="1" outlineLevel="1" x14ac:dyDescent="0.25">
      <c r="B121" s="379">
        <v>44409</v>
      </c>
      <c r="C121" s="337">
        <v>2460</v>
      </c>
      <c r="D121" s="337">
        <v>1179</v>
      </c>
      <c r="E121" s="381">
        <v>3639</v>
      </c>
    </row>
    <row r="122" spans="2:5" hidden="1" outlineLevel="1" x14ac:dyDescent="0.25">
      <c r="B122" s="379">
        <v>44440</v>
      </c>
      <c r="C122" s="337">
        <v>2275</v>
      </c>
      <c r="D122" s="337">
        <v>1293</v>
      </c>
      <c r="E122" s="381">
        <v>3568</v>
      </c>
    </row>
    <row r="123" spans="2:5" hidden="1" outlineLevel="1" x14ac:dyDescent="0.25">
      <c r="B123" s="379">
        <v>44470</v>
      </c>
      <c r="C123" s="337">
        <v>1844</v>
      </c>
      <c r="D123" s="337">
        <v>901</v>
      </c>
      <c r="E123" s="381">
        <v>2745</v>
      </c>
    </row>
    <row r="124" spans="2:5" hidden="1" outlineLevel="1" x14ac:dyDescent="0.25">
      <c r="B124" s="379">
        <v>44501</v>
      </c>
      <c r="C124" s="337">
        <v>1736</v>
      </c>
      <c r="D124" s="337">
        <v>897</v>
      </c>
      <c r="E124" s="381">
        <v>2633</v>
      </c>
    </row>
    <row r="125" spans="2:5" hidden="1" outlineLevel="1" x14ac:dyDescent="0.25">
      <c r="B125" s="379">
        <v>44531</v>
      </c>
      <c r="C125" s="337">
        <v>1412</v>
      </c>
      <c r="D125" s="337">
        <v>755</v>
      </c>
      <c r="E125" s="381">
        <v>2167</v>
      </c>
    </row>
    <row r="126" spans="2:5" collapsed="1" x14ac:dyDescent="0.25">
      <c r="B126" s="400" t="s">
        <v>65</v>
      </c>
      <c r="C126" s="398">
        <v>33108</v>
      </c>
      <c r="D126" s="398">
        <v>17657</v>
      </c>
      <c r="E126" s="399">
        <v>50765</v>
      </c>
    </row>
    <row r="127" spans="2:5" hidden="1" outlineLevel="1" x14ac:dyDescent="0.25">
      <c r="B127" s="379">
        <v>44562</v>
      </c>
      <c r="C127" s="337">
        <v>2120</v>
      </c>
      <c r="D127" s="337">
        <v>1047</v>
      </c>
      <c r="E127" s="381">
        <v>3167</v>
      </c>
    </row>
    <row r="128" spans="2:5" hidden="1" outlineLevel="1" x14ac:dyDescent="0.25">
      <c r="B128" s="379">
        <v>44593</v>
      </c>
      <c r="C128" s="337">
        <v>1533</v>
      </c>
      <c r="D128" s="337">
        <v>678</v>
      </c>
      <c r="E128" s="381">
        <v>2211</v>
      </c>
    </row>
    <row r="129" spans="2:5" hidden="1" outlineLevel="1" x14ac:dyDescent="0.25">
      <c r="B129" s="379">
        <v>44621</v>
      </c>
      <c r="C129" s="337">
        <v>1322</v>
      </c>
      <c r="D129" s="337">
        <v>822</v>
      </c>
      <c r="E129" s="381">
        <v>2144</v>
      </c>
    </row>
    <row r="130" spans="2:5" hidden="1" outlineLevel="1" x14ac:dyDescent="0.25">
      <c r="B130" s="379">
        <v>44652</v>
      </c>
      <c r="C130" s="337">
        <v>4292</v>
      </c>
      <c r="D130" s="337">
        <v>2262</v>
      </c>
      <c r="E130" s="381">
        <v>6554</v>
      </c>
    </row>
    <row r="131" spans="2:5" hidden="1" outlineLevel="1" x14ac:dyDescent="0.25">
      <c r="B131" s="379">
        <v>44682</v>
      </c>
      <c r="C131" s="337">
        <v>3114</v>
      </c>
      <c r="D131" s="337">
        <v>1783</v>
      </c>
      <c r="E131" s="381">
        <v>4897</v>
      </c>
    </row>
    <row r="132" spans="2:5" hidden="1" outlineLevel="1" x14ac:dyDescent="0.25">
      <c r="B132" s="379">
        <v>44713</v>
      </c>
      <c r="C132" s="337">
        <v>2806</v>
      </c>
      <c r="D132" s="337">
        <v>1333</v>
      </c>
      <c r="E132" s="381">
        <v>4139</v>
      </c>
    </row>
    <row r="133" spans="2:5" hidden="1" outlineLevel="1" x14ac:dyDescent="0.25">
      <c r="B133" s="379">
        <v>44743</v>
      </c>
      <c r="C133" s="337">
        <v>4112</v>
      </c>
      <c r="D133" s="337">
        <v>1806</v>
      </c>
      <c r="E133" s="381">
        <v>5918</v>
      </c>
    </row>
    <row r="134" spans="2:5" hidden="1" outlineLevel="1" x14ac:dyDescent="0.25">
      <c r="B134" s="379">
        <v>44774</v>
      </c>
      <c r="C134" s="337">
        <v>4749</v>
      </c>
      <c r="D134" s="337">
        <v>2007</v>
      </c>
      <c r="E134" s="381">
        <v>6756</v>
      </c>
    </row>
    <row r="135" spans="2:5" hidden="1" outlineLevel="1" x14ac:dyDescent="0.25">
      <c r="B135" s="379">
        <v>44805</v>
      </c>
      <c r="C135" s="337">
        <v>2253</v>
      </c>
      <c r="D135" s="337">
        <v>1434</v>
      </c>
      <c r="E135" s="381">
        <v>3687</v>
      </c>
    </row>
    <row r="136" spans="2:5" hidden="1" outlineLevel="1" x14ac:dyDescent="0.25">
      <c r="B136" s="379">
        <v>44835</v>
      </c>
      <c r="C136" s="337">
        <v>4664</v>
      </c>
      <c r="D136" s="337">
        <v>2110</v>
      </c>
      <c r="E136" s="381">
        <v>6774</v>
      </c>
    </row>
    <row r="137" spans="2:5" hidden="1" outlineLevel="1" x14ac:dyDescent="0.25">
      <c r="B137" s="379">
        <v>44866</v>
      </c>
      <c r="C137" s="337">
        <v>2215</v>
      </c>
      <c r="D137" s="337">
        <v>1015</v>
      </c>
      <c r="E137" s="381">
        <v>3230</v>
      </c>
    </row>
    <row r="138" spans="2:5" hidden="1" outlineLevel="1" x14ac:dyDescent="0.25">
      <c r="B138" s="379">
        <v>44896</v>
      </c>
      <c r="C138" s="337">
        <v>911</v>
      </c>
      <c r="D138" s="337">
        <v>503</v>
      </c>
      <c r="E138" s="381">
        <v>1414</v>
      </c>
    </row>
    <row r="139" spans="2:5" collapsed="1" x14ac:dyDescent="0.25">
      <c r="B139" s="400" t="s">
        <v>66</v>
      </c>
      <c r="C139" s="398">
        <v>34091</v>
      </c>
      <c r="D139" s="398">
        <v>16800</v>
      </c>
      <c r="E139" s="399">
        <v>50891</v>
      </c>
    </row>
    <row r="140" spans="2:5" hidden="1" outlineLevel="1" x14ac:dyDescent="0.25">
      <c r="B140" s="379">
        <v>44927</v>
      </c>
      <c r="C140" s="337">
        <v>4342</v>
      </c>
      <c r="D140" s="337">
        <v>1839</v>
      </c>
      <c r="E140" s="381">
        <v>6181</v>
      </c>
    </row>
    <row r="141" spans="2:5" hidden="1" outlineLevel="1" x14ac:dyDescent="0.25">
      <c r="B141" s="379">
        <v>44958</v>
      </c>
      <c r="C141" s="337">
        <v>3408</v>
      </c>
      <c r="D141" s="337">
        <v>1537</v>
      </c>
      <c r="E141" s="381">
        <v>4945</v>
      </c>
    </row>
    <row r="142" spans="2:5" hidden="1" outlineLevel="1" x14ac:dyDescent="0.25">
      <c r="B142" s="380">
        <v>44986</v>
      </c>
      <c r="C142" s="337">
        <v>4511</v>
      </c>
      <c r="D142" s="337">
        <v>1868</v>
      </c>
      <c r="E142" s="381">
        <v>6379</v>
      </c>
    </row>
    <row r="143" spans="2:5" hidden="1" outlineLevel="1" x14ac:dyDescent="0.25">
      <c r="B143" s="380">
        <v>45017</v>
      </c>
      <c r="C143" s="337">
        <v>3511</v>
      </c>
      <c r="D143" s="337">
        <v>1609</v>
      </c>
      <c r="E143" s="381">
        <v>5120</v>
      </c>
    </row>
    <row r="144" spans="2:5" hidden="1" outlineLevel="1" x14ac:dyDescent="0.25">
      <c r="B144" s="380">
        <v>45047</v>
      </c>
      <c r="C144" s="337">
        <v>3827</v>
      </c>
      <c r="D144" s="337">
        <v>1949</v>
      </c>
      <c r="E144" s="381">
        <v>5776</v>
      </c>
    </row>
    <row r="145" spans="2:10" hidden="1" outlineLevel="1" x14ac:dyDescent="0.25">
      <c r="B145" s="380">
        <v>45078</v>
      </c>
      <c r="C145" s="337">
        <v>3803</v>
      </c>
      <c r="D145" s="337">
        <v>1656</v>
      </c>
      <c r="E145" s="381">
        <v>5459</v>
      </c>
    </row>
    <row r="146" spans="2:10" hidden="1" outlineLevel="1" x14ac:dyDescent="0.25">
      <c r="B146" s="380">
        <v>45108</v>
      </c>
      <c r="C146" s="337">
        <v>3246</v>
      </c>
      <c r="D146" s="337">
        <v>1391</v>
      </c>
      <c r="E146" s="381">
        <v>4637</v>
      </c>
    </row>
    <row r="147" spans="2:10" hidden="1" outlineLevel="1" x14ac:dyDescent="0.25">
      <c r="B147" s="380">
        <v>45139</v>
      </c>
      <c r="C147" s="337">
        <v>3837</v>
      </c>
      <c r="D147" s="337">
        <v>2097</v>
      </c>
      <c r="E147" s="381">
        <v>5934</v>
      </c>
    </row>
    <row r="148" spans="2:10" hidden="1" outlineLevel="1" x14ac:dyDescent="0.25">
      <c r="B148" s="380">
        <v>45170</v>
      </c>
      <c r="C148" s="337">
        <v>1343</v>
      </c>
      <c r="D148" s="337">
        <v>616</v>
      </c>
      <c r="E148" s="381">
        <v>1959</v>
      </c>
    </row>
    <row r="149" spans="2:10" hidden="1" outlineLevel="1" x14ac:dyDescent="0.25">
      <c r="B149" s="380">
        <v>45200</v>
      </c>
      <c r="C149" s="337">
        <v>799</v>
      </c>
      <c r="D149" s="337">
        <v>466</v>
      </c>
      <c r="E149" s="381">
        <v>1265</v>
      </c>
    </row>
    <row r="150" spans="2:10" hidden="1" outlineLevel="1" x14ac:dyDescent="0.25">
      <c r="B150" s="380">
        <v>45231</v>
      </c>
      <c r="C150" s="337">
        <v>1559</v>
      </c>
      <c r="D150" s="337">
        <v>670</v>
      </c>
      <c r="E150" s="381">
        <v>2229</v>
      </c>
    </row>
    <row r="151" spans="2:10" hidden="1" outlineLevel="1" x14ac:dyDescent="0.25">
      <c r="B151" s="380">
        <v>45261</v>
      </c>
      <c r="C151" s="337">
        <v>1619</v>
      </c>
      <c r="D151" s="337">
        <v>787</v>
      </c>
      <c r="E151" s="381">
        <v>2406</v>
      </c>
    </row>
    <row r="152" spans="2:10" collapsed="1" x14ac:dyDescent="0.25">
      <c r="B152" s="400" t="s">
        <v>929</v>
      </c>
      <c r="C152" s="398">
        <v>35805</v>
      </c>
      <c r="D152" s="398">
        <v>16485</v>
      </c>
      <c r="E152" s="399">
        <v>52290</v>
      </c>
    </row>
    <row r="153" spans="2:10" outlineLevel="1" x14ac:dyDescent="0.25">
      <c r="B153" s="380">
        <v>45292</v>
      </c>
      <c r="C153" s="337">
        <v>1812</v>
      </c>
      <c r="D153" s="337">
        <v>1084</v>
      </c>
      <c r="E153" s="381">
        <v>2896</v>
      </c>
    </row>
    <row r="154" spans="2:10" outlineLevel="1" x14ac:dyDescent="0.25">
      <c r="B154" s="380">
        <v>45323</v>
      </c>
      <c r="C154" s="337">
        <v>2439</v>
      </c>
      <c r="D154" s="337">
        <v>1537</v>
      </c>
      <c r="E154" s="381">
        <v>3976</v>
      </c>
    </row>
    <row r="155" spans="2:10" outlineLevel="1" x14ac:dyDescent="0.25">
      <c r="B155" s="380">
        <v>45352</v>
      </c>
      <c r="C155" s="337">
        <v>1471</v>
      </c>
      <c r="D155" s="337">
        <v>912</v>
      </c>
      <c r="E155" s="381">
        <v>2383</v>
      </c>
    </row>
    <row r="156" spans="2:10" outlineLevel="1" x14ac:dyDescent="0.25">
      <c r="B156" s="380">
        <v>45383</v>
      </c>
      <c r="C156" s="337">
        <v>1373</v>
      </c>
      <c r="D156" s="337">
        <v>647</v>
      </c>
      <c r="E156" s="381">
        <v>2020</v>
      </c>
    </row>
    <row r="157" spans="2:10" outlineLevel="1" x14ac:dyDescent="0.25">
      <c r="B157" s="380">
        <v>45413</v>
      </c>
      <c r="C157" s="337">
        <v>1728</v>
      </c>
      <c r="D157" s="337">
        <v>738</v>
      </c>
      <c r="E157" s="381">
        <v>2466</v>
      </c>
      <c r="H157" s="144"/>
      <c r="I157" s="144"/>
      <c r="J157" s="144"/>
    </row>
    <row r="158" spans="2:10" outlineLevel="1" x14ac:dyDescent="0.25">
      <c r="B158" s="380">
        <v>45444</v>
      </c>
      <c r="C158" s="337">
        <v>1212</v>
      </c>
      <c r="D158" s="337">
        <v>589</v>
      </c>
      <c r="E158" s="381">
        <v>1801</v>
      </c>
      <c r="H158" s="261"/>
      <c r="I158" s="261"/>
    </row>
    <row r="159" spans="2:10" outlineLevel="1" x14ac:dyDescent="0.25">
      <c r="B159" s="380">
        <v>45474</v>
      </c>
      <c r="C159" s="337">
        <v>1415</v>
      </c>
      <c r="D159" s="337">
        <v>647</v>
      </c>
      <c r="E159" s="381">
        <v>2062</v>
      </c>
    </row>
    <row r="160" spans="2:10" outlineLevel="1" x14ac:dyDescent="0.25">
      <c r="B160" s="380">
        <v>45505</v>
      </c>
      <c r="C160" s="337">
        <v>1257</v>
      </c>
      <c r="D160" s="337">
        <v>607</v>
      </c>
      <c r="E160" s="381">
        <v>1864</v>
      </c>
    </row>
    <row r="161" spans="2:12" outlineLevel="1" x14ac:dyDescent="0.25">
      <c r="B161" s="380">
        <v>45536</v>
      </c>
      <c r="C161" s="337">
        <v>1268</v>
      </c>
      <c r="D161" s="337">
        <v>648</v>
      </c>
      <c r="E161" s="381">
        <v>1916</v>
      </c>
    </row>
    <row r="162" spans="2:12" ht="30" x14ac:dyDescent="0.25">
      <c r="B162" s="402" t="s">
        <v>948</v>
      </c>
      <c r="C162" s="279">
        <v>13975</v>
      </c>
      <c r="D162" s="279">
        <v>7409</v>
      </c>
      <c r="E162" s="390">
        <v>21384</v>
      </c>
    </row>
    <row r="163" spans="2:12" x14ac:dyDescent="0.25">
      <c r="B163" s="534" t="s">
        <v>486</v>
      </c>
      <c r="C163" s="535"/>
      <c r="D163" s="536"/>
      <c r="E163" s="401">
        <v>558103</v>
      </c>
    </row>
    <row r="164" spans="2:12" x14ac:dyDescent="0.25">
      <c r="B164" s="4" t="s">
        <v>803</v>
      </c>
    </row>
    <row r="166" spans="2:12" ht="18.75" x14ac:dyDescent="0.3">
      <c r="B166" s="2" t="s">
        <v>733</v>
      </c>
      <c r="C166" s="2"/>
      <c r="D166" s="2"/>
      <c r="E166" s="2"/>
      <c r="F166" s="2"/>
      <c r="G166" s="2"/>
      <c r="H166" s="2"/>
      <c r="I166" s="2"/>
      <c r="J166" s="2"/>
      <c r="K166" s="2"/>
    </row>
    <row r="167" spans="2:12" x14ac:dyDescent="0.25">
      <c r="B167" s="3" t="s">
        <v>925</v>
      </c>
    </row>
    <row r="169" spans="2:12" x14ac:dyDescent="0.25">
      <c r="B169" s="523" t="s">
        <v>472</v>
      </c>
      <c r="C169" s="531" t="s">
        <v>688</v>
      </c>
      <c r="D169" s="532"/>
      <c r="E169" s="532"/>
      <c r="F169" s="532"/>
      <c r="G169" s="532"/>
      <c r="H169" s="532"/>
      <c r="I169" s="532"/>
      <c r="J169" s="532"/>
      <c r="K169" s="533"/>
      <c r="L169" s="521" t="s">
        <v>726</v>
      </c>
    </row>
    <row r="170" spans="2:12" x14ac:dyDescent="0.25">
      <c r="B170" s="523"/>
      <c r="C170" s="519" t="s">
        <v>14</v>
      </c>
      <c r="D170" s="519"/>
      <c r="E170" s="519"/>
      <c r="F170" s="537" t="s">
        <v>15</v>
      </c>
      <c r="G170" s="537"/>
      <c r="H170" s="537"/>
      <c r="I170" s="537" t="s">
        <v>727</v>
      </c>
      <c r="J170" s="537"/>
      <c r="K170" s="537"/>
      <c r="L170" s="530"/>
    </row>
    <row r="171" spans="2:12" x14ac:dyDescent="0.25">
      <c r="B171" s="523"/>
      <c r="C171" s="369" t="s">
        <v>73</v>
      </c>
      <c r="D171" s="369" t="s">
        <v>74</v>
      </c>
      <c r="E171" s="376" t="s">
        <v>588</v>
      </c>
      <c r="F171" s="369" t="s">
        <v>73</v>
      </c>
      <c r="G171" s="369" t="s">
        <v>74</v>
      </c>
      <c r="H171" s="376" t="s">
        <v>588</v>
      </c>
      <c r="I171" s="369" t="s">
        <v>73</v>
      </c>
      <c r="J171" s="369" t="s">
        <v>74</v>
      </c>
      <c r="K171" s="376" t="s">
        <v>588</v>
      </c>
      <c r="L171" s="522"/>
    </row>
    <row r="172" spans="2:12" x14ac:dyDescent="0.25">
      <c r="B172" s="245" t="s">
        <v>730</v>
      </c>
      <c r="C172" s="398"/>
      <c r="D172" s="398"/>
      <c r="E172" s="398">
        <v>119211</v>
      </c>
      <c r="F172" s="398"/>
      <c r="G172" s="398"/>
      <c r="H172" s="398">
        <v>1457</v>
      </c>
      <c r="I172" s="398"/>
      <c r="J172" s="398"/>
      <c r="K172" s="398">
        <v>1982</v>
      </c>
      <c r="L172" s="398">
        <v>122650</v>
      </c>
    </row>
    <row r="173" spans="2:12" x14ac:dyDescent="0.25">
      <c r="B173" s="245" t="s">
        <v>707</v>
      </c>
      <c r="C173" s="398"/>
      <c r="D173" s="398"/>
      <c r="E173" s="399">
        <v>24495</v>
      </c>
      <c r="F173" s="399"/>
      <c r="G173" s="399"/>
      <c r="H173" s="399">
        <v>248</v>
      </c>
      <c r="I173" s="399"/>
      <c r="J173" s="399"/>
      <c r="K173" s="399">
        <v>7862</v>
      </c>
      <c r="L173" s="399">
        <v>32605</v>
      </c>
    </row>
    <row r="174" spans="2:12" x14ac:dyDescent="0.25">
      <c r="B174" s="373">
        <v>41275</v>
      </c>
      <c r="C174" s="337"/>
      <c r="D174" s="337"/>
      <c r="E174" s="381">
        <v>1593</v>
      </c>
      <c r="F174" s="381"/>
      <c r="G174" s="381"/>
      <c r="H174" s="381">
        <v>15</v>
      </c>
      <c r="I174" s="381"/>
      <c r="J174" s="381"/>
      <c r="K174" s="381">
        <v>924</v>
      </c>
      <c r="L174" s="381">
        <v>2532</v>
      </c>
    </row>
    <row r="175" spans="2:12" x14ac:dyDescent="0.25">
      <c r="B175" s="373">
        <v>41306</v>
      </c>
      <c r="C175" s="337"/>
      <c r="D175" s="337"/>
      <c r="E175" s="381">
        <v>1468</v>
      </c>
      <c r="F175" s="381"/>
      <c r="G175" s="381"/>
      <c r="H175" s="381">
        <v>22</v>
      </c>
      <c r="I175" s="381"/>
      <c r="J175" s="381"/>
      <c r="K175" s="381">
        <v>949</v>
      </c>
      <c r="L175" s="381">
        <v>2439</v>
      </c>
    </row>
    <row r="176" spans="2:12" x14ac:dyDescent="0.25">
      <c r="B176" s="373">
        <v>41334</v>
      </c>
      <c r="C176" s="337"/>
      <c r="D176" s="337"/>
      <c r="E176" s="381">
        <v>1784</v>
      </c>
      <c r="F176" s="381"/>
      <c r="G176" s="381"/>
      <c r="H176" s="381">
        <v>16</v>
      </c>
      <c r="I176" s="381"/>
      <c r="J176" s="381"/>
      <c r="K176" s="381">
        <v>631</v>
      </c>
      <c r="L176" s="381">
        <v>2431</v>
      </c>
    </row>
    <row r="177" spans="2:12" x14ac:dyDescent="0.25">
      <c r="B177" s="373">
        <v>41365</v>
      </c>
      <c r="C177" s="337"/>
      <c r="D177" s="337"/>
      <c r="E177" s="381">
        <v>1305</v>
      </c>
      <c r="F177" s="381"/>
      <c r="G177" s="381"/>
      <c r="H177" s="381">
        <v>44</v>
      </c>
      <c r="I177" s="381"/>
      <c r="J177" s="381"/>
      <c r="K177" s="381">
        <v>502</v>
      </c>
      <c r="L177" s="381">
        <v>1851</v>
      </c>
    </row>
    <row r="178" spans="2:12" x14ac:dyDescent="0.25">
      <c r="B178" s="373">
        <v>41395</v>
      </c>
      <c r="C178" s="337"/>
      <c r="D178" s="337"/>
      <c r="E178" s="381">
        <v>1777</v>
      </c>
      <c r="F178" s="381"/>
      <c r="G178" s="381"/>
      <c r="H178" s="381">
        <v>10</v>
      </c>
      <c r="I178" s="381"/>
      <c r="J178" s="381"/>
      <c r="K178" s="381">
        <v>582</v>
      </c>
      <c r="L178" s="381">
        <v>2369</v>
      </c>
    </row>
    <row r="179" spans="2:12" x14ac:dyDescent="0.25">
      <c r="B179" s="373">
        <v>41426</v>
      </c>
      <c r="C179" s="337"/>
      <c r="D179" s="337"/>
      <c r="E179" s="381">
        <v>1540</v>
      </c>
      <c r="F179" s="381"/>
      <c r="G179" s="381"/>
      <c r="H179" s="381">
        <v>16</v>
      </c>
      <c r="I179" s="381"/>
      <c r="J179" s="381"/>
      <c r="K179" s="381">
        <v>725</v>
      </c>
      <c r="L179" s="381">
        <v>2281</v>
      </c>
    </row>
    <row r="180" spans="2:12" x14ac:dyDescent="0.25">
      <c r="B180" s="373">
        <v>41456</v>
      </c>
      <c r="C180" s="337"/>
      <c r="D180" s="337"/>
      <c r="E180" s="381">
        <v>1026</v>
      </c>
      <c r="F180" s="381"/>
      <c r="G180" s="381"/>
      <c r="H180" s="381">
        <v>10</v>
      </c>
      <c r="I180" s="381"/>
      <c r="J180" s="381"/>
      <c r="K180" s="381">
        <v>1261</v>
      </c>
      <c r="L180" s="381">
        <v>2297</v>
      </c>
    </row>
    <row r="181" spans="2:12" x14ac:dyDescent="0.25">
      <c r="B181" s="373">
        <v>41487</v>
      </c>
      <c r="C181" s="337"/>
      <c r="D181" s="337"/>
      <c r="E181" s="381">
        <v>610</v>
      </c>
      <c r="F181" s="381"/>
      <c r="G181" s="381"/>
      <c r="H181" s="381">
        <v>14</v>
      </c>
      <c r="I181" s="381"/>
      <c r="J181" s="381"/>
      <c r="K181" s="381">
        <v>854</v>
      </c>
      <c r="L181" s="381">
        <v>1478</v>
      </c>
    </row>
    <row r="182" spans="2:12" x14ac:dyDescent="0.25">
      <c r="B182" s="373">
        <v>41518</v>
      </c>
      <c r="C182" s="337"/>
      <c r="D182" s="337"/>
      <c r="E182" s="381">
        <v>816</v>
      </c>
      <c r="F182" s="381"/>
      <c r="G182" s="381"/>
      <c r="H182" s="381">
        <v>1</v>
      </c>
      <c r="I182" s="381"/>
      <c r="J182" s="381"/>
      <c r="K182" s="381">
        <v>493</v>
      </c>
      <c r="L182" s="381">
        <v>1310</v>
      </c>
    </row>
    <row r="183" spans="2:12" x14ac:dyDescent="0.25">
      <c r="B183" s="373">
        <v>41548</v>
      </c>
      <c r="C183" s="337"/>
      <c r="D183" s="337"/>
      <c r="E183" s="381">
        <v>485</v>
      </c>
      <c r="F183" s="381"/>
      <c r="G183" s="381"/>
      <c r="H183" s="381">
        <v>2</v>
      </c>
      <c r="I183" s="381"/>
      <c r="J183" s="381"/>
      <c r="K183" s="381">
        <v>654</v>
      </c>
      <c r="L183" s="381">
        <v>1141</v>
      </c>
    </row>
    <row r="184" spans="2:12" x14ac:dyDescent="0.25">
      <c r="B184" s="373">
        <v>41579</v>
      </c>
      <c r="C184" s="337"/>
      <c r="D184" s="337"/>
      <c r="E184" s="381">
        <v>480</v>
      </c>
      <c r="F184" s="381"/>
      <c r="G184" s="381"/>
      <c r="H184" s="381">
        <v>2</v>
      </c>
      <c r="I184" s="381"/>
      <c r="J184" s="381"/>
      <c r="K184" s="381">
        <v>443</v>
      </c>
      <c r="L184" s="381">
        <v>925</v>
      </c>
    </row>
    <row r="185" spans="2:12" x14ac:dyDescent="0.25">
      <c r="B185" s="373">
        <v>41609</v>
      </c>
      <c r="C185" s="337"/>
      <c r="D185" s="337"/>
      <c r="E185" s="381">
        <v>1157</v>
      </c>
      <c r="F185" s="381"/>
      <c r="G185" s="381"/>
      <c r="H185" s="381">
        <v>6</v>
      </c>
      <c r="I185" s="381"/>
      <c r="J185" s="381"/>
      <c r="K185" s="381">
        <v>1108</v>
      </c>
      <c r="L185" s="381">
        <v>2271</v>
      </c>
    </row>
    <row r="186" spans="2:12" x14ac:dyDescent="0.25">
      <c r="B186" s="245" t="s">
        <v>34</v>
      </c>
      <c r="C186" s="398"/>
      <c r="D186" s="398"/>
      <c r="E186" s="399">
        <v>14041</v>
      </c>
      <c r="F186" s="399"/>
      <c r="G186" s="399"/>
      <c r="H186" s="399">
        <v>158</v>
      </c>
      <c r="I186" s="399"/>
      <c r="J186" s="399"/>
      <c r="K186" s="399">
        <v>9126</v>
      </c>
      <c r="L186" s="399">
        <v>23325</v>
      </c>
    </row>
    <row r="187" spans="2:12" x14ac:dyDescent="0.25">
      <c r="B187" s="373">
        <v>41640</v>
      </c>
      <c r="C187" s="337"/>
      <c r="D187" s="337"/>
      <c r="E187" s="381">
        <v>1358</v>
      </c>
      <c r="F187" s="381"/>
      <c r="G187" s="381"/>
      <c r="H187" s="381">
        <v>5</v>
      </c>
      <c r="I187" s="381"/>
      <c r="J187" s="381"/>
      <c r="K187" s="381">
        <v>1261</v>
      </c>
      <c r="L187" s="381">
        <v>2624</v>
      </c>
    </row>
    <row r="188" spans="2:12" x14ac:dyDescent="0.25">
      <c r="B188" s="373">
        <v>41671</v>
      </c>
      <c r="C188" s="337"/>
      <c r="D188" s="337"/>
      <c r="E188" s="381">
        <v>746</v>
      </c>
      <c r="F188" s="381"/>
      <c r="G188" s="381"/>
      <c r="H188" s="381">
        <v>4</v>
      </c>
      <c r="I188" s="381"/>
      <c r="J188" s="381"/>
      <c r="K188" s="381">
        <v>848</v>
      </c>
      <c r="L188" s="381">
        <v>1598</v>
      </c>
    </row>
    <row r="189" spans="2:12" x14ac:dyDescent="0.25">
      <c r="B189" s="373">
        <v>41699</v>
      </c>
      <c r="C189" s="337"/>
      <c r="D189" s="337"/>
      <c r="E189" s="381">
        <v>1052</v>
      </c>
      <c r="F189" s="381"/>
      <c r="G189" s="381"/>
      <c r="H189" s="381">
        <v>10</v>
      </c>
      <c r="I189" s="381"/>
      <c r="J189" s="381"/>
      <c r="K189" s="381">
        <v>852</v>
      </c>
      <c r="L189" s="381">
        <v>1914</v>
      </c>
    </row>
    <row r="190" spans="2:12" x14ac:dyDescent="0.25">
      <c r="B190" s="373">
        <v>41730</v>
      </c>
      <c r="C190" s="337"/>
      <c r="D190" s="337"/>
      <c r="E190" s="381">
        <v>549</v>
      </c>
      <c r="F190" s="381"/>
      <c r="G190" s="381"/>
      <c r="H190" s="381">
        <v>4</v>
      </c>
      <c r="I190" s="381"/>
      <c r="J190" s="381"/>
      <c r="K190" s="381">
        <v>512</v>
      </c>
      <c r="L190" s="381">
        <v>1065</v>
      </c>
    </row>
    <row r="191" spans="2:12" x14ac:dyDescent="0.25">
      <c r="B191" s="373">
        <v>41760</v>
      </c>
      <c r="C191" s="337"/>
      <c r="D191" s="337"/>
      <c r="E191" s="381">
        <v>773</v>
      </c>
      <c r="F191" s="381"/>
      <c r="G191" s="381"/>
      <c r="H191" s="381">
        <v>9</v>
      </c>
      <c r="I191" s="381"/>
      <c r="J191" s="381"/>
      <c r="K191" s="381">
        <v>1137</v>
      </c>
      <c r="L191" s="381">
        <v>1919</v>
      </c>
    </row>
    <row r="192" spans="2:12" x14ac:dyDescent="0.25">
      <c r="B192" s="373">
        <v>41791</v>
      </c>
      <c r="C192" s="337"/>
      <c r="D192" s="337"/>
      <c r="E192" s="381">
        <v>660</v>
      </c>
      <c r="F192" s="381"/>
      <c r="G192" s="381"/>
      <c r="H192" s="381">
        <v>15</v>
      </c>
      <c r="I192" s="381"/>
      <c r="J192" s="381"/>
      <c r="K192" s="381">
        <v>905</v>
      </c>
      <c r="L192" s="381">
        <v>1580</v>
      </c>
    </row>
    <row r="193" spans="2:12" x14ac:dyDescent="0.25">
      <c r="B193" s="373">
        <v>41821</v>
      </c>
      <c r="C193" s="337"/>
      <c r="D193" s="337"/>
      <c r="E193" s="381">
        <v>881</v>
      </c>
      <c r="F193" s="381"/>
      <c r="G193" s="381"/>
      <c r="H193" s="381">
        <v>15</v>
      </c>
      <c r="I193" s="381"/>
      <c r="J193" s="381"/>
      <c r="K193" s="381">
        <v>646</v>
      </c>
      <c r="L193" s="381">
        <v>1542</v>
      </c>
    </row>
    <row r="194" spans="2:12" x14ac:dyDescent="0.25">
      <c r="B194" s="373">
        <v>41852</v>
      </c>
      <c r="C194" s="337"/>
      <c r="D194" s="337"/>
      <c r="E194" s="381">
        <v>825</v>
      </c>
      <c r="F194" s="381"/>
      <c r="G194" s="381"/>
      <c r="H194" s="381">
        <v>28</v>
      </c>
      <c r="I194" s="381"/>
      <c r="J194" s="381"/>
      <c r="K194" s="381">
        <v>753</v>
      </c>
      <c r="L194" s="381">
        <v>1606</v>
      </c>
    </row>
    <row r="195" spans="2:12" x14ac:dyDescent="0.25">
      <c r="B195" s="373">
        <v>41883</v>
      </c>
      <c r="C195" s="337"/>
      <c r="D195" s="337"/>
      <c r="E195" s="381">
        <v>1489</v>
      </c>
      <c r="F195" s="381"/>
      <c r="G195" s="381"/>
      <c r="H195" s="381">
        <v>41</v>
      </c>
      <c r="I195" s="381"/>
      <c r="J195" s="381"/>
      <c r="K195" s="381">
        <v>1146</v>
      </c>
      <c r="L195" s="381">
        <v>2676</v>
      </c>
    </row>
    <row r="196" spans="2:12" x14ac:dyDescent="0.25">
      <c r="B196" s="373">
        <v>41913</v>
      </c>
      <c r="C196" s="337"/>
      <c r="D196" s="337"/>
      <c r="E196" s="381">
        <v>1667</v>
      </c>
      <c r="F196" s="381"/>
      <c r="G196" s="381"/>
      <c r="H196" s="381">
        <v>132</v>
      </c>
      <c r="I196" s="381"/>
      <c r="J196" s="381"/>
      <c r="K196" s="381">
        <v>827</v>
      </c>
      <c r="L196" s="381">
        <v>2626</v>
      </c>
    </row>
    <row r="197" spans="2:12" x14ac:dyDescent="0.25">
      <c r="B197" s="373">
        <v>41944</v>
      </c>
      <c r="C197" s="337"/>
      <c r="D197" s="337"/>
      <c r="E197" s="381">
        <v>1332</v>
      </c>
      <c r="F197" s="381"/>
      <c r="G197" s="381"/>
      <c r="H197" s="381">
        <v>22</v>
      </c>
      <c r="I197" s="381"/>
      <c r="J197" s="381"/>
      <c r="K197" s="381">
        <v>1068</v>
      </c>
      <c r="L197" s="381">
        <v>2422</v>
      </c>
    </row>
    <row r="198" spans="2:12" x14ac:dyDescent="0.25">
      <c r="B198" s="373">
        <v>41974</v>
      </c>
      <c r="C198" s="337"/>
      <c r="D198" s="337"/>
      <c r="E198" s="381">
        <v>500</v>
      </c>
      <c r="F198" s="381"/>
      <c r="G198" s="381"/>
      <c r="H198" s="381">
        <v>14</v>
      </c>
      <c r="I198" s="381"/>
      <c r="J198" s="381"/>
      <c r="K198" s="381">
        <v>835</v>
      </c>
      <c r="L198" s="381">
        <v>1349</v>
      </c>
    </row>
    <row r="199" spans="2:12" x14ac:dyDescent="0.25">
      <c r="B199" s="245" t="s">
        <v>36</v>
      </c>
      <c r="C199" s="398"/>
      <c r="D199" s="398"/>
      <c r="E199" s="399">
        <v>11832</v>
      </c>
      <c r="F199" s="399"/>
      <c r="G199" s="399"/>
      <c r="H199" s="399">
        <v>299</v>
      </c>
      <c r="I199" s="399"/>
      <c r="J199" s="399"/>
      <c r="K199" s="399">
        <v>10790</v>
      </c>
      <c r="L199" s="399">
        <v>22921</v>
      </c>
    </row>
    <row r="200" spans="2:12" x14ac:dyDescent="0.25">
      <c r="B200" s="373">
        <v>42005</v>
      </c>
      <c r="C200" s="337"/>
      <c r="D200" s="337"/>
      <c r="E200" s="381">
        <v>38</v>
      </c>
      <c r="F200" s="381"/>
      <c r="G200" s="381"/>
      <c r="H200" s="381">
        <v>896</v>
      </c>
      <c r="I200" s="381"/>
      <c r="J200" s="381"/>
      <c r="K200" s="381">
        <v>1448</v>
      </c>
      <c r="L200" s="381">
        <v>2382</v>
      </c>
    </row>
    <row r="201" spans="2:12" x14ac:dyDescent="0.25">
      <c r="B201" s="373">
        <v>42036</v>
      </c>
      <c r="C201" s="337"/>
      <c r="D201" s="337"/>
      <c r="E201" s="381">
        <v>1411</v>
      </c>
      <c r="F201" s="381"/>
      <c r="G201" s="381"/>
      <c r="H201" s="381">
        <v>90</v>
      </c>
      <c r="I201" s="381"/>
      <c r="J201" s="381"/>
      <c r="K201" s="381">
        <v>2461</v>
      </c>
      <c r="L201" s="381">
        <v>3962</v>
      </c>
    </row>
    <row r="202" spans="2:12" x14ac:dyDescent="0.25">
      <c r="B202" s="373">
        <v>42064</v>
      </c>
      <c r="C202" s="337"/>
      <c r="D202" s="337"/>
      <c r="E202" s="381">
        <v>1147</v>
      </c>
      <c r="F202" s="381"/>
      <c r="G202" s="381"/>
      <c r="H202" s="381">
        <v>78</v>
      </c>
      <c r="I202" s="381"/>
      <c r="J202" s="381"/>
      <c r="K202" s="381">
        <v>1427</v>
      </c>
      <c r="L202" s="381">
        <v>2652</v>
      </c>
    </row>
    <row r="203" spans="2:12" x14ac:dyDescent="0.25">
      <c r="B203" s="373">
        <v>42095</v>
      </c>
      <c r="C203" s="337"/>
      <c r="D203" s="337"/>
      <c r="E203" s="381">
        <v>1650</v>
      </c>
      <c r="F203" s="381"/>
      <c r="G203" s="381"/>
      <c r="H203" s="381">
        <v>172</v>
      </c>
      <c r="I203" s="381"/>
      <c r="J203" s="381"/>
      <c r="K203" s="381">
        <v>1480</v>
      </c>
      <c r="L203" s="381">
        <v>3302</v>
      </c>
    </row>
    <row r="204" spans="2:12" x14ac:dyDescent="0.25">
      <c r="B204" s="373">
        <v>42125</v>
      </c>
      <c r="C204" s="337"/>
      <c r="D204" s="337"/>
      <c r="E204" s="381">
        <v>1272</v>
      </c>
      <c r="F204" s="381"/>
      <c r="G204" s="381"/>
      <c r="H204" s="381">
        <v>123</v>
      </c>
      <c r="I204" s="381"/>
      <c r="J204" s="381"/>
      <c r="K204" s="381">
        <v>169</v>
      </c>
      <c r="L204" s="381">
        <v>1564</v>
      </c>
    </row>
    <row r="205" spans="2:12" x14ac:dyDescent="0.25">
      <c r="B205" s="373">
        <v>42156</v>
      </c>
      <c r="C205" s="337"/>
      <c r="D205" s="337"/>
      <c r="E205" s="381">
        <v>1877</v>
      </c>
      <c r="F205" s="381"/>
      <c r="G205" s="381"/>
      <c r="H205" s="381">
        <v>135</v>
      </c>
      <c r="I205" s="381"/>
      <c r="J205" s="381"/>
      <c r="K205" s="381">
        <v>447</v>
      </c>
      <c r="L205" s="381">
        <v>2459</v>
      </c>
    </row>
    <row r="206" spans="2:12" x14ac:dyDescent="0.25">
      <c r="B206" s="373">
        <v>42186</v>
      </c>
      <c r="C206" s="337"/>
      <c r="D206" s="337"/>
      <c r="E206" s="381">
        <v>1030</v>
      </c>
      <c r="F206" s="381"/>
      <c r="G206" s="381"/>
      <c r="H206" s="381">
        <v>110</v>
      </c>
      <c r="I206" s="381"/>
      <c r="J206" s="381"/>
      <c r="K206" s="381">
        <v>167</v>
      </c>
      <c r="L206" s="381">
        <v>1307</v>
      </c>
    </row>
    <row r="207" spans="2:12" x14ac:dyDescent="0.25">
      <c r="B207" s="373">
        <v>42217</v>
      </c>
      <c r="C207" s="337"/>
      <c r="D207" s="337"/>
      <c r="E207" s="381">
        <v>1674</v>
      </c>
      <c r="F207" s="381"/>
      <c r="G207" s="381"/>
      <c r="H207" s="381">
        <v>113</v>
      </c>
      <c r="I207" s="381"/>
      <c r="J207" s="381"/>
      <c r="K207" s="381">
        <v>218</v>
      </c>
      <c r="L207" s="381">
        <v>2005</v>
      </c>
    </row>
    <row r="208" spans="2:12" x14ac:dyDescent="0.25">
      <c r="B208" s="373">
        <v>42248</v>
      </c>
      <c r="C208" s="337"/>
      <c r="D208" s="337"/>
      <c r="E208" s="381">
        <v>1313</v>
      </c>
      <c r="F208" s="381"/>
      <c r="G208" s="381"/>
      <c r="H208" s="381">
        <v>136</v>
      </c>
      <c r="I208" s="381"/>
      <c r="J208" s="381"/>
      <c r="K208" s="381">
        <v>156</v>
      </c>
      <c r="L208" s="381">
        <v>1605</v>
      </c>
    </row>
    <row r="209" spans="2:12" x14ac:dyDescent="0.25">
      <c r="B209" s="373">
        <v>42278</v>
      </c>
      <c r="C209" s="337"/>
      <c r="D209" s="337"/>
      <c r="E209" s="381">
        <v>5045</v>
      </c>
      <c r="F209" s="381"/>
      <c r="G209" s="381"/>
      <c r="H209" s="381">
        <v>104</v>
      </c>
      <c r="I209" s="381"/>
      <c r="J209" s="381"/>
      <c r="K209" s="381">
        <v>21</v>
      </c>
      <c r="L209" s="381">
        <v>5170</v>
      </c>
    </row>
    <row r="210" spans="2:12" x14ac:dyDescent="0.25">
      <c r="B210" s="373">
        <v>42309</v>
      </c>
      <c r="C210" s="337"/>
      <c r="D210" s="337"/>
      <c r="E210" s="381">
        <v>1924</v>
      </c>
      <c r="F210" s="381"/>
      <c r="G210" s="381"/>
      <c r="H210" s="381">
        <v>764</v>
      </c>
      <c r="I210" s="381"/>
      <c r="J210" s="381"/>
      <c r="K210" s="381">
        <v>49</v>
      </c>
      <c r="L210" s="381">
        <v>2737</v>
      </c>
    </row>
    <row r="211" spans="2:12" x14ac:dyDescent="0.25">
      <c r="B211" s="373">
        <v>42339</v>
      </c>
      <c r="C211" s="337"/>
      <c r="D211" s="337"/>
      <c r="E211" s="381">
        <v>1346</v>
      </c>
      <c r="F211" s="381"/>
      <c r="G211" s="381"/>
      <c r="H211" s="381">
        <v>239</v>
      </c>
      <c r="I211" s="381"/>
      <c r="J211" s="381"/>
      <c r="K211" s="381">
        <v>217</v>
      </c>
      <c r="L211" s="381">
        <v>1802</v>
      </c>
    </row>
    <row r="212" spans="2:12" x14ac:dyDescent="0.25">
      <c r="B212" s="245" t="s">
        <v>38</v>
      </c>
      <c r="C212" s="398"/>
      <c r="D212" s="398"/>
      <c r="E212" s="399">
        <v>19727</v>
      </c>
      <c r="F212" s="399"/>
      <c r="G212" s="399"/>
      <c r="H212" s="399">
        <v>2960</v>
      </c>
      <c r="I212" s="399"/>
      <c r="J212" s="399"/>
      <c r="K212" s="399">
        <v>8260</v>
      </c>
      <c r="L212" s="399">
        <v>30947</v>
      </c>
    </row>
    <row r="213" spans="2:12" x14ac:dyDescent="0.25">
      <c r="B213" s="373">
        <v>42370</v>
      </c>
      <c r="C213" s="337"/>
      <c r="D213" s="337"/>
      <c r="E213" s="381">
        <v>3773</v>
      </c>
      <c r="F213" s="381"/>
      <c r="G213" s="381"/>
      <c r="H213" s="381">
        <v>149</v>
      </c>
      <c r="I213" s="381"/>
      <c r="J213" s="381"/>
      <c r="K213" s="381">
        <v>57</v>
      </c>
      <c r="L213" s="381">
        <v>3979</v>
      </c>
    </row>
    <row r="214" spans="2:12" x14ac:dyDescent="0.25">
      <c r="B214" s="373">
        <v>42401</v>
      </c>
      <c r="C214" s="337"/>
      <c r="D214" s="337"/>
      <c r="E214" s="381">
        <v>4253</v>
      </c>
      <c r="F214" s="381"/>
      <c r="G214" s="381"/>
      <c r="H214" s="381">
        <v>113</v>
      </c>
      <c r="I214" s="381"/>
      <c r="J214" s="381"/>
      <c r="K214" s="381">
        <v>0</v>
      </c>
      <c r="L214" s="381">
        <v>4366</v>
      </c>
    </row>
    <row r="215" spans="2:12" x14ac:dyDescent="0.25">
      <c r="B215" s="373">
        <v>42430</v>
      </c>
      <c r="C215" s="337"/>
      <c r="D215" s="337"/>
      <c r="E215" s="381">
        <v>2016</v>
      </c>
      <c r="F215" s="381"/>
      <c r="G215" s="381"/>
      <c r="H215" s="381">
        <v>25</v>
      </c>
      <c r="I215" s="381"/>
      <c r="J215" s="381"/>
      <c r="K215" s="381">
        <v>15</v>
      </c>
      <c r="L215" s="381">
        <v>2056</v>
      </c>
    </row>
    <row r="216" spans="2:12" x14ac:dyDescent="0.25">
      <c r="B216" s="373">
        <v>42461</v>
      </c>
      <c r="C216" s="337"/>
      <c r="D216" s="337"/>
      <c r="E216" s="381">
        <v>2405</v>
      </c>
      <c r="F216" s="381"/>
      <c r="G216" s="381"/>
      <c r="H216" s="381">
        <v>33</v>
      </c>
      <c r="I216" s="381"/>
      <c r="J216" s="381"/>
      <c r="K216" s="381">
        <v>16</v>
      </c>
      <c r="L216" s="381">
        <v>2454</v>
      </c>
    </row>
    <row r="217" spans="2:12" x14ac:dyDescent="0.25">
      <c r="B217" s="373">
        <v>42491</v>
      </c>
      <c r="C217" s="337">
        <v>996</v>
      </c>
      <c r="D217" s="337">
        <v>817</v>
      </c>
      <c r="E217" s="381">
        <v>1813</v>
      </c>
      <c r="F217" s="381">
        <v>17</v>
      </c>
      <c r="G217" s="381">
        <v>17</v>
      </c>
      <c r="H217" s="381">
        <v>34</v>
      </c>
      <c r="I217" s="381">
        <v>8</v>
      </c>
      <c r="J217" s="381">
        <v>0</v>
      </c>
      <c r="K217" s="381">
        <v>8</v>
      </c>
      <c r="L217" s="381">
        <v>1855</v>
      </c>
    </row>
    <row r="218" spans="2:12" x14ac:dyDescent="0.25">
      <c r="B218" s="373">
        <v>42522</v>
      </c>
      <c r="C218" s="337">
        <v>957</v>
      </c>
      <c r="D218" s="337">
        <v>898</v>
      </c>
      <c r="E218" s="381">
        <v>1855</v>
      </c>
      <c r="F218" s="381">
        <v>15</v>
      </c>
      <c r="G218" s="381">
        <v>21</v>
      </c>
      <c r="H218" s="381">
        <v>36</v>
      </c>
      <c r="I218" s="381">
        <v>11</v>
      </c>
      <c r="J218" s="381">
        <v>5</v>
      </c>
      <c r="K218" s="381">
        <v>16</v>
      </c>
      <c r="L218" s="381">
        <v>1907</v>
      </c>
    </row>
    <row r="219" spans="2:12" x14ac:dyDescent="0.25">
      <c r="B219" s="373">
        <v>42552</v>
      </c>
      <c r="C219" s="337">
        <v>977</v>
      </c>
      <c r="D219" s="337">
        <v>835</v>
      </c>
      <c r="E219" s="381">
        <v>1812</v>
      </c>
      <c r="F219" s="381">
        <v>24</v>
      </c>
      <c r="G219" s="381">
        <v>24</v>
      </c>
      <c r="H219" s="381">
        <v>48</v>
      </c>
      <c r="I219" s="381">
        <v>10</v>
      </c>
      <c r="J219" s="381">
        <v>13</v>
      </c>
      <c r="K219" s="381">
        <v>23</v>
      </c>
      <c r="L219" s="381">
        <v>1883</v>
      </c>
    </row>
    <row r="220" spans="2:12" x14ac:dyDescent="0.25">
      <c r="B220" s="373">
        <v>42583</v>
      </c>
      <c r="C220" s="337">
        <v>2266</v>
      </c>
      <c r="D220" s="337">
        <v>1640</v>
      </c>
      <c r="E220" s="381">
        <v>3906</v>
      </c>
      <c r="F220" s="381">
        <v>90</v>
      </c>
      <c r="G220" s="381">
        <v>73</v>
      </c>
      <c r="H220" s="381">
        <v>163</v>
      </c>
      <c r="I220" s="381">
        <v>19</v>
      </c>
      <c r="J220" s="381">
        <v>15</v>
      </c>
      <c r="K220" s="381">
        <v>34</v>
      </c>
      <c r="L220" s="381">
        <v>4103</v>
      </c>
    </row>
    <row r="221" spans="2:12" x14ac:dyDescent="0.25">
      <c r="B221" s="373">
        <v>42614</v>
      </c>
      <c r="C221" s="337">
        <v>948</v>
      </c>
      <c r="D221" s="337">
        <v>779</v>
      </c>
      <c r="E221" s="381">
        <v>1727</v>
      </c>
      <c r="F221" s="381">
        <v>42</v>
      </c>
      <c r="G221" s="381">
        <v>41</v>
      </c>
      <c r="H221" s="381">
        <v>83</v>
      </c>
      <c r="I221" s="381">
        <v>3</v>
      </c>
      <c r="J221" s="381">
        <v>0</v>
      </c>
      <c r="K221" s="381">
        <v>3</v>
      </c>
      <c r="L221" s="381">
        <v>1813</v>
      </c>
    </row>
    <row r="222" spans="2:12" x14ac:dyDescent="0.25">
      <c r="B222" s="373">
        <v>42644</v>
      </c>
      <c r="C222" s="337">
        <v>770</v>
      </c>
      <c r="D222" s="337">
        <v>832</v>
      </c>
      <c r="E222" s="381">
        <v>1602</v>
      </c>
      <c r="F222" s="381">
        <v>13</v>
      </c>
      <c r="G222" s="381">
        <v>16</v>
      </c>
      <c r="H222" s="381">
        <v>29</v>
      </c>
      <c r="I222" s="381">
        <v>0</v>
      </c>
      <c r="J222" s="381">
        <v>0</v>
      </c>
      <c r="K222" s="381">
        <v>0</v>
      </c>
      <c r="L222" s="381">
        <v>1631</v>
      </c>
    </row>
    <row r="223" spans="2:12" x14ac:dyDescent="0.25">
      <c r="B223" s="373">
        <v>42675</v>
      </c>
      <c r="C223" s="337">
        <v>484</v>
      </c>
      <c r="D223" s="337">
        <v>317</v>
      </c>
      <c r="E223" s="381">
        <v>801</v>
      </c>
      <c r="F223" s="381">
        <v>12</v>
      </c>
      <c r="G223" s="381">
        <v>9</v>
      </c>
      <c r="H223" s="381">
        <v>21</v>
      </c>
      <c r="I223" s="381">
        <v>0</v>
      </c>
      <c r="J223" s="381">
        <v>0</v>
      </c>
      <c r="K223" s="381">
        <v>0</v>
      </c>
      <c r="L223" s="381">
        <v>822</v>
      </c>
    </row>
    <row r="224" spans="2:12" x14ac:dyDescent="0.25">
      <c r="B224" s="373">
        <v>42705</v>
      </c>
      <c r="C224" s="337">
        <v>1057</v>
      </c>
      <c r="D224" s="337">
        <v>797</v>
      </c>
      <c r="E224" s="381">
        <v>1854</v>
      </c>
      <c r="F224" s="381">
        <v>156</v>
      </c>
      <c r="G224" s="381">
        <v>126</v>
      </c>
      <c r="H224" s="381">
        <v>282</v>
      </c>
      <c r="I224" s="381">
        <v>6</v>
      </c>
      <c r="J224" s="381">
        <v>0</v>
      </c>
      <c r="K224" s="381">
        <v>6</v>
      </c>
      <c r="L224" s="381">
        <v>2142</v>
      </c>
    </row>
    <row r="225" spans="2:12" x14ac:dyDescent="0.25">
      <c r="B225" s="245" t="s">
        <v>55</v>
      </c>
      <c r="C225" s="398"/>
      <c r="D225" s="398"/>
      <c r="E225" s="399">
        <v>27817</v>
      </c>
      <c r="F225" s="399"/>
      <c r="G225" s="399"/>
      <c r="H225" s="399">
        <v>1016</v>
      </c>
      <c r="I225" s="399"/>
      <c r="J225" s="399"/>
      <c r="K225" s="399">
        <v>178</v>
      </c>
      <c r="L225" s="399">
        <v>29011</v>
      </c>
    </row>
    <row r="226" spans="2:12" x14ac:dyDescent="0.25">
      <c r="B226" s="373">
        <v>42736</v>
      </c>
      <c r="C226" s="337">
        <v>1709</v>
      </c>
      <c r="D226" s="337">
        <v>1188</v>
      </c>
      <c r="E226" s="381">
        <v>2897</v>
      </c>
      <c r="F226" s="381">
        <v>87</v>
      </c>
      <c r="G226" s="381">
        <v>62</v>
      </c>
      <c r="H226" s="381">
        <v>149</v>
      </c>
      <c r="I226" s="381">
        <v>21</v>
      </c>
      <c r="J226" s="381">
        <v>22</v>
      </c>
      <c r="K226" s="381">
        <v>43</v>
      </c>
      <c r="L226" s="381">
        <v>3089</v>
      </c>
    </row>
    <row r="227" spans="2:12" x14ac:dyDescent="0.25">
      <c r="B227" s="373">
        <v>42767</v>
      </c>
      <c r="C227" s="337">
        <v>1599</v>
      </c>
      <c r="D227" s="337">
        <v>1237</v>
      </c>
      <c r="E227" s="381">
        <v>2836</v>
      </c>
      <c r="F227" s="381">
        <v>35</v>
      </c>
      <c r="G227" s="381">
        <v>42</v>
      </c>
      <c r="H227" s="381">
        <v>77</v>
      </c>
      <c r="I227" s="381">
        <v>11</v>
      </c>
      <c r="J227" s="381">
        <v>10</v>
      </c>
      <c r="K227" s="381">
        <v>21</v>
      </c>
      <c r="L227" s="381">
        <v>2934</v>
      </c>
    </row>
    <row r="228" spans="2:12" x14ac:dyDescent="0.25">
      <c r="B228" s="373">
        <v>42795</v>
      </c>
      <c r="C228" s="337">
        <v>1281</v>
      </c>
      <c r="D228" s="337">
        <v>949</v>
      </c>
      <c r="E228" s="381">
        <v>2230</v>
      </c>
      <c r="F228" s="381">
        <v>63</v>
      </c>
      <c r="G228" s="381">
        <v>47</v>
      </c>
      <c r="H228" s="381">
        <v>110</v>
      </c>
      <c r="I228" s="381">
        <v>18</v>
      </c>
      <c r="J228" s="381">
        <v>10</v>
      </c>
      <c r="K228" s="381">
        <v>28</v>
      </c>
      <c r="L228" s="381">
        <v>2368</v>
      </c>
    </row>
    <row r="229" spans="2:12" x14ac:dyDescent="0.25">
      <c r="B229" s="373">
        <v>42826</v>
      </c>
      <c r="C229" s="337">
        <v>694</v>
      </c>
      <c r="D229" s="337">
        <v>578</v>
      </c>
      <c r="E229" s="381">
        <v>1272</v>
      </c>
      <c r="F229" s="381">
        <v>16</v>
      </c>
      <c r="G229" s="381">
        <v>19</v>
      </c>
      <c r="H229" s="381">
        <v>35</v>
      </c>
      <c r="I229" s="381">
        <v>8</v>
      </c>
      <c r="J229" s="381">
        <v>7</v>
      </c>
      <c r="K229" s="381">
        <v>15</v>
      </c>
      <c r="L229" s="381">
        <v>1322</v>
      </c>
    </row>
    <row r="230" spans="2:12" x14ac:dyDescent="0.25">
      <c r="B230" s="373">
        <v>42856</v>
      </c>
      <c r="C230" s="337">
        <v>698</v>
      </c>
      <c r="D230" s="337">
        <v>493</v>
      </c>
      <c r="E230" s="381">
        <v>1191</v>
      </c>
      <c r="F230" s="381">
        <v>13</v>
      </c>
      <c r="G230" s="381">
        <v>3</v>
      </c>
      <c r="H230" s="381">
        <v>16</v>
      </c>
      <c r="I230" s="381">
        <v>45</v>
      </c>
      <c r="J230" s="381">
        <v>41</v>
      </c>
      <c r="K230" s="381">
        <v>86</v>
      </c>
      <c r="L230" s="381">
        <v>1293</v>
      </c>
    </row>
    <row r="231" spans="2:12" x14ac:dyDescent="0.25">
      <c r="B231" s="373">
        <v>42887</v>
      </c>
      <c r="C231" s="337">
        <v>891</v>
      </c>
      <c r="D231" s="337">
        <v>581</v>
      </c>
      <c r="E231" s="381">
        <v>1472</v>
      </c>
      <c r="F231" s="381">
        <v>18</v>
      </c>
      <c r="G231" s="381">
        <v>18</v>
      </c>
      <c r="H231" s="381">
        <v>36</v>
      </c>
      <c r="I231" s="381">
        <v>10</v>
      </c>
      <c r="J231" s="381">
        <v>12</v>
      </c>
      <c r="K231" s="381">
        <v>22</v>
      </c>
      <c r="L231" s="381">
        <v>1530</v>
      </c>
    </row>
    <row r="232" spans="2:12" x14ac:dyDescent="0.25">
      <c r="B232" s="373">
        <v>42917</v>
      </c>
      <c r="C232" s="337">
        <v>857</v>
      </c>
      <c r="D232" s="337">
        <v>571</v>
      </c>
      <c r="E232" s="381">
        <v>1428</v>
      </c>
      <c r="F232" s="381">
        <v>15</v>
      </c>
      <c r="G232" s="381">
        <v>14</v>
      </c>
      <c r="H232" s="381">
        <v>29</v>
      </c>
      <c r="I232" s="381">
        <v>84</v>
      </c>
      <c r="J232" s="381">
        <v>54</v>
      </c>
      <c r="K232" s="381">
        <v>138</v>
      </c>
      <c r="L232" s="381">
        <v>1595</v>
      </c>
    </row>
    <row r="233" spans="2:12" x14ac:dyDescent="0.25">
      <c r="B233" s="373">
        <v>42948</v>
      </c>
      <c r="C233" s="337">
        <v>697</v>
      </c>
      <c r="D233" s="337">
        <v>460</v>
      </c>
      <c r="E233" s="381">
        <v>1157</v>
      </c>
      <c r="F233" s="381">
        <v>11</v>
      </c>
      <c r="G233" s="381">
        <v>9</v>
      </c>
      <c r="H233" s="381">
        <v>20</v>
      </c>
      <c r="I233" s="381">
        <v>43</v>
      </c>
      <c r="J233" s="381">
        <v>34</v>
      </c>
      <c r="K233" s="381">
        <v>77</v>
      </c>
      <c r="L233" s="381">
        <v>1254</v>
      </c>
    </row>
    <row r="234" spans="2:12" x14ac:dyDescent="0.25">
      <c r="B234" s="373">
        <v>42979</v>
      </c>
      <c r="C234" s="337">
        <v>850</v>
      </c>
      <c r="D234" s="337">
        <v>547</v>
      </c>
      <c r="E234" s="381">
        <v>1397</v>
      </c>
      <c r="F234" s="381">
        <v>1</v>
      </c>
      <c r="G234" s="381">
        <v>3</v>
      </c>
      <c r="H234" s="381">
        <v>4</v>
      </c>
      <c r="I234" s="381">
        <v>12</v>
      </c>
      <c r="J234" s="381">
        <v>14</v>
      </c>
      <c r="K234" s="381">
        <v>26</v>
      </c>
      <c r="L234" s="381">
        <v>1427</v>
      </c>
    </row>
    <row r="235" spans="2:12" x14ac:dyDescent="0.25">
      <c r="B235" s="373">
        <v>43009</v>
      </c>
      <c r="C235" s="337">
        <v>305</v>
      </c>
      <c r="D235" s="337">
        <v>234</v>
      </c>
      <c r="E235" s="381">
        <v>539</v>
      </c>
      <c r="F235" s="381">
        <v>11</v>
      </c>
      <c r="G235" s="381">
        <v>11</v>
      </c>
      <c r="H235" s="381">
        <v>22</v>
      </c>
      <c r="I235" s="381">
        <v>36</v>
      </c>
      <c r="J235" s="381">
        <v>19</v>
      </c>
      <c r="K235" s="381">
        <v>55</v>
      </c>
      <c r="L235" s="381">
        <v>616</v>
      </c>
    </row>
    <row r="236" spans="2:12" x14ac:dyDescent="0.25">
      <c r="B236" s="373">
        <v>43040</v>
      </c>
      <c r="C236" s="337">
        <v>524</v>
      </c>
      <c r="D236" s="337">
        <v>369</v>
      </c>
      <c r="E236" s="381">
        <v>893</v>
      </c>
      <c r="F236" s="381">
        <v>15</v>
      </c>
      <c r="G236" s="381">
        <v>6</v>
      </c>
      <c r="H236" s="381">
        <v>21</v>
      </c>
      <c r="I236" s="381">
        <v>22</v>
      </c>
      <c r="J236" s="381">
        <v>11</v>
      </c>
      <c r="K236" s="381">
        <v>33</v>
      </c>
      <c r="L236" s="381">
        <v>947</v>
      </c>
    </row>
    <row r="237" spans="2:12" x14ac:dyDescent="0.25">
      <c r="B237" s="373">
        <v>43070</v>
      </c>
      <c r="C237" s="337">
        <v>638</v>
      </c>
      <c r="D237" s="337">
        <v>595</v>
      </c>
      <c r="E237" s="381">
        <v>1233</v>
      </c>
      <c r="F237" s="381">
        <v>17</v>
      </c>
      <c r="G237" s="381">
        <v>15</v>
      </c>
      <c r="H237" s="381">
        <v>32</v>
      </c>
      <c r="I237" s="381">
        <v>5</v>
      </c>
      <c r="J237" s="381">
        <v>5</v>
      </c>
      <c r="K237" s="381">
        <v>10</v>
      </c>
      <c r="L237" s="381">
        <v>1275</v>
      </c>
    </row>
    <row r="238" spans="2:12" x14ac:dyDescent="0.25">
      <c r="B238" s="245" t="s">
        <v>58</v>
      </c>
      <c r="C238" s="398"/>
      <c r="D238" s="398"/>
      <c r="E238" s="399">
        <v>18545</v>
      </c>
      <c r="F238" s="399"/>
      <c r="G238" s="399"/>
      <c r="H238" s="399">
        <v>551</v>
      </c>
      <c r="I238" s="399"/>
      <c r="J238" s="399"/>
      <c r="K238" s="399">
        <v>554</v>
      </c>
      <c r="L238" s="399">
        <v>19650</v>
      </c>
    </row>
    <row r="239" spans="2:12" x14ac:dyDescent="0.25">
      <c r="B239" s="373">
        <v>43101</v>
      </c>
      <c r="C239" s="337">
        <v>755</v>
      </c>
      <c r="D239" s="337">
        <v>663</v>
      </c>
      <c r="E239" s="381">
        <v>1418</v>
      </c>
      <c r="F239" s="381">
        <v>14</v>
      </c>
      <c r="G239" s="381">
        <v>12</v>
      </c>
      <c r="H239" s="381">
        <v>26</v>
      </c>
      <c r="I239" s="381">
        <v>8</v>
      </c>
      <c r="J239" s="381">
        <v>3</v>
      </c>
      <c r="K239" s="381">
        <v>11</v>
      </c>
      <c r="L239" s="381">
        <v>1455</v>
      </c>
    </row>
    <row r="240" spans="2:12" x14ac:dyDescent="0.25">
      <c r="B240" s="373">
        <v>43132</v>
      </c>
      <c r="C240" s="337">
        <v>908</v>
      </c>
      <c r="D240" s="337">
        <v>778</v>
      </c>
      <c r="E240" s="381">
        <v>1686</v>
      </c>
      <c r="F240" s="381">
        <v>16</v>
      </c>
      <c r="G240" s="381">
        <v>9</v>
      </c>
      <c r="H240" s="381">
        <v>25</v>
      </c>
      <c r="I240" s="381">
        <v>55</v>
      </c>
      <c r="J240" s="381">
        <v>50</v>
      </c>
      <c r="K240" s="381">
        <v>105</v>
      </c>
      <c r="L240" s="381">
        <v>1816</v>
      </c>
    </row>
    <row r="241" spans="2:12" x14ac:dyDescent="0.25">
      <c r="B241" s="373">
        <v>43160</v>
      </c>
      <c r="C241" s="337">
        <v>1306</v>
      </c>
      <c r="D241" s="337">
        <v>853</v>
      </c>
      <c r="E241" s="381">
        <v>2159</v>
      </c>
      <c r="F241" s="381">
        <v>34</v>
      </c>
      <c r="G241" s="381">
        <v>26</v>
      </c>
      <c r="H241" s="381">
        <v>60</v>
      </c>
      <c r="I241" s="381">
        <v>35</v>
      </c>
      <c r="J241" s="381">
        <v>15</v>
      </c>
      <c r="K241" s="381">
        <v>50</v>
      </c>
      <c r="L241" s="381">
        <v>2269</v>
      </c>
    </row>
    <row r="242" spans="2:12" x14ac:dyDescent="0.25">
      <c r="B242" s="373">
        <v>43191</v>
      </c>
      <c r="C242" s="337">
        <v>1004</v>
      </c>
      <c r="D242" s="337">
        <v>564</v>
      </c>
      <c r="E242" s="381">
        <v>1568</v>
      </c>
      <c r="F242" s="381">
        <v>19</v>
      </c>
      <c r="G242" s="381">
        <v>14</v>
      </c>
      <c r="H242" s="381">
        <v>33</v>
      </c>
      <c r="I242" s="381">
        <v>20</v>
      </c>
      <c r="J242" s="381">
        <v>18</v>
      </c>
      <c r="K242" s="381">
        <v>38</v>
      </c>
      <c r="L242" s="381">
        <v>1639</v>
      </c>
    </row>
    <row r="243" spans="2:12" x14ac:dyDescent="0.25">
      <c r="B243" s="373">
        <v>43221</v>
      </c>
      <c r="C243" s="337">
        <v>717</v>
      </c>
      <c r="D243" s="337">
        <v>410</v>
      </c>
      <c r="E243" s="381">
        <v>1127</v>
      </c>
      <c r="F243" s="381">
        <v>17</v>
      </c>
      <c r="G243" s="381">
        <v>15</v>
      </c>
      <c r="H243" s="381">
        <v>32</v>
      </c>
      <c r="I243" s="381">
        <v>26</v>
      </c>
      <c r="J243" s="381">
        <v>26</v>
      </c>
      <c r="K243" s="381">
        <v>52</v>
      </c>
      <c r="L243" s="381">
        <v>1211</v>
      </c>
    </row>
    <row r="244" spans="2:12" x14ac:dyDescent="0.25">
      <c r="B244" s="373">
        <v>43252</v>
      </c>
      <c r="C244" s="337">
        <v>1018</v>
      </c>
      <c r="D244" s="337">
        <v>658</v>
      </c>
      <c r="E244" s="381">
        <v>1676</v>
      </c>
      <c r="F244" s="381">
        <v>18</v>
      </c>
      <c r="G244" s="381">
        <v>12</v>
      </c>
      <c r="H244" s="381">
        <v>30</v>
      </c>
      <c r="I244" s="381">
        <v>23</v>
      </c>
      <c r="J244" s="381">
        <v>10</v>
      </c>
      <c r="K244" s="381">
        <v>33</v>
      </c>
      <c r="L244" s="381">
        <v>1739</v>
      </c>
    </row>
    <row r="245" spans="2:12" x14ac:dyDescent="0.25">
      <c r="B245" s="373">
        <v>43282</v>
      </c>
      <c r="C245" s="337">
        <v>845</v>
      </c>
      <c r="D245" s="337">
        <v>604</v>
      </c>
      <c r="E245" s="381">
        <v>1449</v>
      </c>
      <c r="F245" s="381">
        <v>17</v>
      </c>
      <c r="G245" s="381">
        <v>33</v>
      </c>
      <c r="H245" s="381">
        <v>50</v>
      </c>
      <c r="I245" s="381">
        <v>35</v>
      </c>
      <c r="J245" s="381">
        <v>31</v>
      </c>
      <c r="K245" s="381">
        <v>66</v>
      </c>
      <c r="L245" s="381">
        <v>1565</v>
      </c>
    </row>
    <row r="246" spans="2:12" x14ac:dyDescent="0.25">
      <c r="B246" s="373">
        <v>43313</v>
      </c>
      <c r="C246" s="337">
        <v>1178</v>
      </c>
      <c r="D246" s="337">
        <v>821</v>
      </c>
      <c r="E246" s="381">
        <v>1999</v>
      </c>
      <c r="F246" s="381">
        <v>20</v>
      </c>
      <c r="G246" s="381">
        <v>30</v>
      </c>
      <c r="H246" s="381">
        <v>50</v>
      </c>
      <c r="I246" s="381">
        <v>33</v>
      </c>
      <c r="J246" s="381">
        <v>28</v>
      </c>
      <c r="K246" s="381">
        <v>61</v>
      </c>
      <c r="L246" s="381">
        <v>2110</v>
      </c>
    </row>
    <row r="247" spans="2:12" x14ac:dyDescent="0.25">
      <c r="B247" s="373">
        <v>43344</v>
      </c>
      <c r="C247" s="337">
        <v>1529</v>
      </c>
      <c r="D247" s="337">
        <v>1059</v>
      </c>
      <c r="E247" s="381">
        <v>2588</v>
      </c>
      <c r="F247" s="381">
        <v>40</v>
      </c>
      <c r="G247" s="381">
        <v>42</v>
      </c>
      <c r="H247" s="381">
        <v>82</v>
      </c>
      <c r="I247" s="381">
        <v>45</v>
      </c>
      <c r="J247" s="381">
        <v>15</v>
      </c>
      <c r="K247" s="381">
        <v>60</v>
      </c>
      <c r="L247" s="381">
        <v>2730</v>
      </c>
    </row>
    <row r="248" spans="2:12" x14ac:dyDescent="0.25">
      <c r="B248" s="373">
        <v>43374</v>
      </c>
      <c r="C248" s="337">
        <v>978</v>
      </c>
      <c r="D248" s="337">
        <v>757</v>
      </c>
      <c r="E248" s="381">
        <v>1735</v>
      </c>
      <c r="F248" s="381">
        <v>21</v>
      </c>
      <c r="G248" s="381">
        <v>40</v>
      </c>
      <c r="H248" s="381">
        <v>61</v>
      </c>
      <c r="I248" s="381">
        <v>27</v>
      </c>
      <c r="J248" s="381">
        <v>13</v>
      </c>
      <c r="K248" s="381">
        <v>40</v>
      </c>
      <c r="L248" s="381">
        <v>1836</v>
      </c>
    </row>
    <row r="249" spans="2:12" x14ac:dyDescent="0.25">
      <c r="B249" s="373">
        <v>43405</v>
      </c>
      <c r="C249" s="337">
        <v>583</v>
      </c>
      <c r="D249" s="337">
        <v>278</v>
      </c>
      <c r="E249" s="381">
        <v>861</v>
      </c>
      <c r="F249" s="381">
        <v>9</v>
      </c>
      <c r="G249" s="381">
        <v>8</v>
      </c>
      <c r="H249" s="381">
        <v>17</v>
      </c>
      <c r="I249" s="381">
        <v>63</v>
      </c>
      <c r="J249" s="381">
        <v>44</v>
      </c>
      <c r="K249" s="381">
        <v>107</v>
      </c>
      <c r="L249" s="381">
        <v>985</v>
      </c>
    </row>
    <row r="250" spans="2:12" x14ac:dyDescent="0.25">
      <c r="B250" s="373">
        <v>43435</v>
      </c>
      <c r="C250" s="337">
        <v>1471</v>
      </c>
      <c r="D250" s="337">
        <v>707</v>
      </c>
      <c r="E250" s="381">
        <v>2178</v>
      </c>
      <c r="F250" s="381">
        <v>34</v>
      </c>
      <c r="G250" s="381">
        <v>21</v>
      </c>
      <c r="H250" s="381">
        <v>55</v>
      </c>
      <c r="I250" s="381">
        <v>49</v>
      </c>
      <c r="J250" s="381">
        <v>38</v>
      </c>
      <c r="K250" s="381">
        <v>87</v>
      </c>
      <c r="L250" s="381">
        <v>2320</v>
      </c>
    </row>
    <row r="251" spans="2:12" x14ac:dyDescent="0.25">
      <c r="B251" s="245" t="s">
        <v>59</v>
      </c>
      <c r="C251" s="398"/>
      <c r="D251" s="398"/>
      <c r="E251" s="399">
        <v>20444</v>
      </c>
      <c r="F251" s="399"/>
      <c r="G251" s="399"/>
      <c r="H251" s="399">
        <v>521</v>
      </c>
      <c r="I251" s="399"/>
      <c r="J251" s="399"/>
      <c r="K251" s="399">
        <v>710</v>
      </c>
      <c r="L251" s="399">
        <v>21675</v>
      </c>
    </row>
    <row r="252" spans="2:12" x14ac:dyDescent="0.25">
      <c r="B252" s="373">
        <v>43466</v>
      </c>
      <c r="C252" s="337">
        <v>1585</v>
      </c>
      <c r="D252" s="337">
        <v>954</v>
      </c>
      <c r="E252" s="381">
        <v>2539</v>
      </c>
      <c r="F252" s="381">
        <v>44</v>
      </c>
      <c r="G252" s="381">
        <v>43</v>
      </c>
      <c r="H252" s="381">
        <v>87</v>
      </c>
      <c r="I252" s="381">
        <v>82</v>
      </c>
      <c r="J252" s="381">
        <v>27</v>
      </c>
      <c r="K252" s="381">
        <v>109</v>
      </c>
      <c r="L252" s="381">
        <v>2735</v>
      </c>
    </row>
    <row r="253" spans="2:12" x14ac:dyDescent="0.25">
      <c r="B253" s="373">
        <v>43497</v>
      </c>
      <c r="C253" s="337">
        <v>1537</v>
      </c>
      <c r="D253" s="337">
        <v>762</v>
      </c>
      <c r="E253" s="381">
        <v>2299</v>
      </c>
      <c r="F253" s="381">
        <v>27</v>
      </c>
      <c r="G253" s="381">
        <v>19</v>
      </c>
      <c r="H253" s="381">
        <v>46</v>
      </c>
      <c r="I253" s="381">
        <v>54</v>
      </c>
      <c r="J253" s="381">
        <v>28</v>
      </c>
      <c r="K253" s="381">
        <v>82</v>
      </c>
      <c r="L253" s="381">
        <v>2427</v>
      </c>
    </row>
    <row r="254" spans="2:12" x14ac:dyDescent="0.25">
      <c r="B254" s="373">
        <v>43525</v>
      </c>
      <c r="C254" s="337">
        <v>454</v>
      </c>
      <c r="D254" s="337">
        <v>329</v>
      </c>
      <c r="E254" s="381">
        <v>783</v>
      </c>
      <c r="F254" s="381">
        <v>8</v>
      </c>
      <c r="G254" s="381">
        <v>7</v>
      </c>
      <c r="H254" s="381">
        <v>15</v>
      </c>
      <c r="I254" s="381">
        <v>5</v>
      </c>
      <c r="J254" s="381">
        <v>6</v>
      </c>
      <c r="K254" s="381">
        <v>11</v>
      </c>
      <c r="L254" s="381">
        <v>809</v>
      </c>
    </row>
    <row r="255" spans="2:12" x14ac:dyDescent="0.25">
      <c r="B255" s="373">
        <v>43556</v>
      </c>
      <c r="C255" s="337">
        <v>988</v>
      </c>
      <c r="D255" s="337">
        <v>507</v>
      </c>
      <c r="E255" s="381">
        <v>1495</v>
      </c>
      <c r="F255" s="381">
        <v>20</v>
      </c>
      <c r="G255" s="381">
        <v>11</v>
      </c>
      <c r="H255" s="381">
        <v>31</v>
      </c>
      <c r="I255" s="381">
        <v>72</v>
      </c>
      <c r="J255" s="381">
        <v>46</v>
      </c>
      <c r="K255" s="381">
        <v>118</v>
      </c>
      <c r="L255" s="381">
        <v>1644</v>
      </c>
    </row>
    <row r="256" spans="2:12" x14ac:dyDescent="0.25">
      <c r="B256" s="373">
        <v>43586</v>
      </c>
      <c r="C256" s="337">
        <v>995</v>
      </c>
      <c r="D256" s="337">
        <v>602</v>
      </c>
      <c r="E256" s="381">
        <v>1597</v>
      </c>
      <c r="F256" s="381">
        <v>30</v>
      </c>
      <c r="G256" s="381">
        <v>28</v>
      </c>
      <c r="H256" s="381">
        <v>58</v>
      </c>
      <c r="I256" s="381">
        <v>60</v>
      </c>
      <c r="J256" s="381">
        <v>33</v>
      </c>
      <c r="K256" s="381">
        <v>93</v>
      </c>
      <c r="L256" s="381">
        <v>1748</v>
      </c>
    </row>
    <row r="257" spans="2:12" x14ac:dyDescent="0.25">
      <c r="B257" s="373">
        <v>43617</v>
      </c>
      <c r="C257" s="337">
        <v>1868</v>
      </c>
      <c r="D257" s="337">
        <v>1297</v>
      </c>
      <c r="E257" s="381">
        <v>3165</v>
      </c>
      <c r="F257" s="381">
        <v>86</v>
      </c>
      <c r="G257" s="381">
        <v>86</v>
      </c>
      <c r="H257" s="381">
        <v>172</v>
      </c>
      <c r="I257" s="381">
        <v>50</v>
      </c>
      <c r="J257" s="381">
        <v>30</v>
      </c>
      <c r="K257" s="381">
        <v>80</v>
      </c>
      <c r="L257" s="381">
        <v>3417</v>
      </c>
    </row>
    <row r="258" spans="2:12" x14ac:dyDescent="0.25">
      <c r="B258" s="373">
        <v>43647</v>
      </c>
      <c r="C258" s="337">
        <v>2276</v>
      </c>
      <c r="D258" s="337">
        <v>1274</v>
      </c>
      <c r="E258" s="381">
        <v>3550</v>
      </c>
      <c r="F258" s="381">
        <v>43</v>
      </c>
      <c r="G258" s="381">
        <v>59</v>
      </c>
      <c r="H258" s="381">
        <v>102</v>
      </c>
      <c r="I258" s="381">
        <v>108</v>
      </c>
      <c r="J258" s="381">
        <v>70</v>
      </c>
      <c r="K258" s="381">
        <v>178</v>
      </c>
      <c r="L258" s="381">
        <v>3830</v>
      </c>
    </row>
    <row r="259" spans="2:12" x14ac:dyDescent="0.25">
      <c r="B259" s="373">
        <v>43678</v>
      </c>
      <c r="C259" s="337">
        <v>1983</v>
      </c>
      <c r="D259" s="337">
        <v>1098</v>
      </c>
      <c r="E259" s="381">
        <v>3081</v>
      </c>
      <c r="F259" s="381">
        <v>57</v>
      </c>
      <c r="G259" s="381">
        <v>62</v>
      </c>
      <c r="H259" s="381">
        <v>119</v>
      </c>
      <c r="I259" s="381">
        <v>78</v>
      </c>
      <c r="J259" s="381">
        <v>37</v>
      </c>
      <c r="K259" s="381">
        <v>115</v>
      </c>
      <c r="L259" s="381">
        <v>3315</v>
      </c>
    </row>
    <row r="260" spans="2:12" x14ac:dyDescent="0.25">
      <c r="B260" s="373">
        <v>43709</v>
      </c>
      <c r="C260" s="337">
        <v>1341</v>
      </c>
      <c r="D260" s="337">
        <v>990</v>
      </c>
      <c r="E260" s="381">
        <v>2331</v>
      </c>
      <c r="F260" s="381">
        <v>18</v>
      </c>
      <c r="G260" s="381">
        <v>11</v>
      </c>
      <c r="H260" s="381">
        <v>29</v>
      </c>
      <c r="I260" s="381">
        <v>23</v>
      </c>
      <c r="J260" s="381">
        <v>15</v>
      </c>
      <c r="K260" s="381">
        <v>38</v>
      </c>
      <c r="L260" s="381">
        <v>2398</v>
      </c>
    </row>
    <row r="261" spans="2:12" x14ac:dyDescent="0.25">
      <c r="B261" s="373">
        <v>43739</v>
      </c>
      <c r="C261" s="337">
        <v>866</v>
      </c>
      <c r="D261" s="337">
        <v>575</v>
      </c>
      <c r="E261" s="381">
        <v>1441</v>
      </c>
      <c r="F261" s="381">
        <v>51</v>
      </c>
      <c r="G261" s="381">
        <v>40</v>
      </c>
      <c r="H261" s="381">
        <v>91</v>
      </c>
      <c r="I261" s="381">
        <v>31</v>
      </c>
      <c r="J261" s="381">
        <v>12</v>
      </c>
      <c r="K261" s="381">
        <v>43</v>
      </c>
      <c r="L261" s="381">
        <v>1575</v>
      </c>
    </row>
    <row r="262" spans="2:12" x14ac:dyDescent="0.25">
      <c r="B262" s="373">
        <v>43770</v>
      </c>
      <c r="C262" s="337">
        <v>902</v>
      </c>
      <c r="D262" s="337">
        <v>489</v>
      </c>
      <c r="E262" s="381">
        <v>1391</v>
      </c>
      <c r="F262" s="381">
        <v>23</v>
      </c>
      <c r="G262" s="381">
        <v>20</v>
      </c>
      <c r="H262" s="381">
        <v>43</v>
      </c>
      <c r="I262" s="381">
        <v>24</v>
      </c>
      <c r="J262" s="381">
        <v>18</v>
      </c>
      <c r="K262" s="381">
        <v>42</v>
      </c>
      <c r="L262" s="381">
        <v>1476</v>
      </c>
    </row>
    <row r="263" spans="2:12" x14ac:dyDescent="0.25">
      <c r="B263" s="373">
        <v>43800</v>
      </c>
      <c r="C263" s="337">
        <v>491</v>
      </c>
      <c r="D263" s="337">
        <v>410</v>
      </c>
      <c r="E263" s="381">
        <v>901</v>
      </c>
      <c r="F263" s="381">
        <v>12</v>
      </c>
      <c r="G263" s="381">
        <v>12</v>
      </c>
      <c r="H263" s="381">
        <v>24</v>
      </c>
      <c r="I263" s="381">
        <v>3</v>
      </c>
      <c r="J263" s="381">
        <v>1</v>
      </c>
      <c r="K263" s="381">
        <v>4</v>
      </c>
      <c r="L263" s="381">
        <v>929</v>
      </c>
    </row>
    <row r="264" spans="2:12" x14ac:dyDescent="0.25">
      <c r="B264" s="245" t="s">
        <v>60</v>
      </c>
      <c r="C264" s="398"/>
      <c r="D264" s="398"/>
      <c r="E264" s="399">
        <v>24573</v>
      </c>
      <c r="F264" s="399"/>
      <c r="G264" s="399"/>
      <c r="H264" s="399">
        <v>817</v>
      </c>
      <c r="I264" s="399"/>
      <c r="J264" s="399"/>
      <c r="K264" s="399">
        <v>913</v>
      </c>
      <c r="L264" s="399">
        <v>26303</v>
      </c>
    </row>
    <row r="265" spans="2:12" x14ac:dyDescent="0.25">
      <c r="B265" s="373">
        <v>43831</v>
      </c>
      <c r="C265" s="337">
        <v>1205</v>
      </c>
      <c r="D265" s="337">
        <v>702</v>
      </c>
      <c r="E265" s="381">
        <v>1907</v>
      </c>
      <c r="F265" s="381">
        <v>38</v>
      </c>
      <c r="G265" s="381">
        <v>19</v>
      </c>
      <c r="H265" s="381">
        <v>57</v>
      </c>
      <c r="I265" s="381">
        <v>54</v>
      </c>
      <c r="J265" s="381">
        <v>37</v>
      </c>
      <c r="K265" s="381">
        <v>91</v>
      </c>
      <c r="L265" s="381">
        <v>2055</v>
      </c>
    </row>
    <row r="266" spans="2:12" x14ac:dyDescent="0.25">
      <c r="B266" s="373">
        <v>43862</v>
      </c>
      <c r="C266" s="337">
        <v>1372</v>
      </c>
      <c r="D266" s="337">
        <v>1327</v>
      </c>
      <c r="E266" s="381">
        <v>2699</v>
      </c>
      <c r="F266" s="381">
        <v>81</v>
      </c>
      <c r="G266" s="381">
        <v>150</v>
      </c>
      <c r="H266" s="381">
        <v>231</v>
      </c>
      <c r="I266" s="381">
        <v>42</v>
      </c>
      <c r="J266" s="381">
        <v>28</v>
      </c>
      <c r="K266" s="381">
        <v>70</v>
      </c>
      <c r="L266" s="381">
        <v>3000</v>
      </c>
    </row>
    <row r="267" spans="2:12" x14ac:dyDescent="0.25">
      <c r="B267" s="373">
        <v>43891</v>
      </c>
      <c r="C267" s="337">
        <v>1750</v>
      </c>
      <c r="D267" s="337">
        <v>1162</v>
      </c>
      <c r="E267" s="381">
        <v>2912</v>
      </c>
      <c r="F267" s="381">
        <v>73</v>
      </c>
      <c r="G267" s="381">
        <v>85</v>
      </c>
      <c r="H267" s="381">
        <v>158</v>
      </c>
      <c r="I267" s="381">
        <v>60</v>
      </c>
      <c r="J267" s="381">
        <v>49</v>
      </c>
      <c r="K267" s="381">
        <v>109</v>
      </c>
      <c r="L267" s="381">
        <v>3179</v>
      </c>
    </row>
    <row r="268" spans="2:12" x14ac:dyDescent="0.25">
      <c r="B268" s="373">
        <v>43922</v>
      </c>
      <c r="C268" s="337">
        <v>3482</v>
      </c>
      <c r="D268" s="337">
        <v>2096</v>
      </c>
      <c r="E268" s="381">
        <v>5578</v>
      </c>
      <c r="F268" s="381">
        <v>132</v>
      </c>
      <c r="G268" s="381">
        <v>116</v>
      </c>
      <c r="H268" s="381">
        <v>248</v>
      </c>
      <c r="I268" s="381">
        <v>239</v>
      </c>
      <c r="J268" s="381">
        <v>157</v>
      </c>
      <c r="K268" s="381">
        <v>396</v>
      </c>
      <c r="L268" s="381">
        <v>6222</v>
      </c>
    </row>
    <row r="269" spans="2:12" x14ac:dyDescent="0.25">
      <c r="B269" s="373">
        <v>43952</v>
      </c>
      <c r="C269" s="337">
        <v>3376</v>
      </c>
      <c r="D269" s="337">
        <v>1668</v>
      </c>
      <c r="E269" s="381">
        <v>5044</v>
      </c>
      <c r="F269" s="381">
        <v>71</v>
      </c>
      <c r="G269" s="381">
        <v>48</v>
      </c>
      <c r="H269" s="381">
        <v>119</v>
      </c>
      <c r="I269" s="381">
        <v>238</v>
      </c>
      <c r="J269" s="381">
        <v>203</v>
      </c>
      <c r="K269" s="381">
        <v>441</v>
      </c>
      <c r="L269" s="381">
        <v>5604</v>
      </c>
    </row>
    <row r="270" spans="2:12" x14ac:dyDescent="0.25">
      <c r="B270" s="373">
        <v>43983</v>
      </c>
      <c r="C270" s="337">
        <v>3453</v>
      </c>
      <c r="D270" s="337">
        <v>1719</v>
      </c>
      <c r="E270" s="381">
        <v>5172</v>
      </c>
      <c r="F270" s="381">
        <v>56</v>
      </c>
      <c r="G270" s="381">
        <v>45</v>
      </c>
      <c r="H270" s="381">
        <v>101</v>
      </c>
      <c r="I270" s="381">
        <v>241</v>
      </c>
      <c r="J270" s="381">
        <v>217</v>
      </c>
      <c r="K270" s="381">
        <v>458</v>
      </c>
      <c r="L270" s="381">
        <v>5731</v>
      </c>
    </row>
    <row r="271" spans="2:12" x14ac:dyDescent="0.25">
      <c r="B271" s="373">
        <v>44013</v>
      </c>
      <c r="C271" s="337">
        <v>4515</v>
      </c>
      <c r="D271" s="337">
        <v>2459</v>
      </c>
      <c r="E271" s="381">
        <v>6974</v>
      </c>
      <c r="F271" s="381">
        <v>191</v>
      </c>
      <c r="G271" s="381">
        <v>130</v>
      </c>
      <c r="H271" s="381">
        <v>321</v>
      </c>
      <c r="I271" s="381">
        <v>497</v>
      </c>
      <c r="J271" s="381">
        <v>390</v>
      </c>
      <c r="K271" s="381">
        <v>887</v>
      </c>
      <c r="L271" s="381">
        <v>8182</v>
      </c>
    </row>
    <row r="272" spans="2:12" x14ac:dyDescent="0.25">
      <c r="B272" s="373">
        <v>44044</v>
      </c>
      <c r="C272" s="337">
        <v>4543</v>
      </c>
      <c r="D272" s="337">
        <v>2497</v>
      </c>
      <c r="E272" s="381">
        <v>7040</v>
      </c>
      <c r="F272" s="381">
        <v>180</v>
      </c>
      <c r="G272" s="381">
        <v>146</v>
      </c>
      <c r="H272" s="381">
        <v>326</v>
      </c>
      <c r="I272" s="381">
        <v>246</v>
      </c>
      <c r="J272" s="381">
        <v>221</v>
      </c>
      <c r="K272" s="381">
        <v>467</v>
      </c>
      <c r="L272" s="381">
        <v>7833</v>
      </c>
    </row>
    <row r="273" spans="2:12" x14ac:dyDescent="0.25">
      <c r="B273" s="373">
        <v>44075</v>
      </c>
      <c r="C273" s="337">
        <v>2169</v>
      </c>
      <c r="D273" s="337">
        <v>1096</v>
      </c>
      <c r="E273" s="381">
        <v>3265</v>
      </c>
      <c r="F273" s="381">
        <v>93</v>
      </c>
      <c r="G273" s="381">
        <v>82</v>
      </c>
      <c r="H273" s="381">
        <v>175</v>
      </c>
      <c r="I273" s="381">
        <v>123</v>
      </c>
      <c r="J273" s="381">
        <v>80</v>
      </c>
      <c r="K273" s="381">
        <v>203</v>
      </c>
      <c r="L273" s="381">
        <v>3643</v>
      </c>
    </row>
    <row r="274" spans="2:12" x14ac:dyDescent="0.25">
      <c r="B274" s="373">
        <v>44105</v>
      </c>
      <c r="C274" s="337">
        <v>1870</v>
      </c>
      <c r="D274" s="337">
        <v>1040</v>
      </c>
      <c r="E274" s="381">
        <v>2910</v>
      </c>
      <c r="F274" s="381">
        <v>30</v>
      </c>
      <c r="G274" s="381">
        <v>43</v>
      </c>
      <c r="H274" s="381">
        <v>73</v>
      </c>
      <c r="I274" s="381">
        <v>145</v>
      </c>
      <c r="J274" s="381">
        <v>90</v>
      </c>
      <c r="K274" s="381">
        <v>235</v>
      </c>
      <c r="L274" s="381">
        <v>3218</v>
      </c>
    </row>
    <row r="275" spans="2:12" x14ac:dyDescent="0.25">
      <c r="B275" s="373">
        <v>44136</v>
      </c>
      <c r="C275" s="337">
        <v>1395</v>
      </c>
      <c r="D275" s="337">
        <v>773</v>
      </c>
      <c r="E275" s="381">
        <v>2168</v>
      </c>
      <c r="F275" s="381">
        <v>61</v>
      </c>
      <c r="G275" s="381">
        <v>54</v>
      </c>
      <c r="H275" s="381">
        <v>115</v>
      </c>
      <c r="I275" s="381">
        <v>89</v>
      </c>
      <c r="J275" s="381">
        <v>79</v>
      </c>
      <c r="K275" s="381">
        <v>168</v>
      </c>
      <c r="L275" s="381">
        <v>2451</v>
      </c>
    </row>
    <row r="276" spans="2:12" x14ac:dyDescent="0.25">
      <c r="B276" s="373">
        <v>44166</v>
      </c>
      <c r="C276" s="337">
        <v>1662</v>
      </c>
      <c r="D276" s="337">
        <v>710</v>
      </c>
      <c r="E276" s="381">
        <v>2372</v>
      </c>
      <c r="F276" s="381">
        <v>30</v>
      </c>
      <c r="G276" s="381">
        <v>31</v>
      </c>
      <c r="H276" s="381">
        <v>61</v>
      </c>
      <c r="I276" s="381">
        <v>73</v>
      </c>
      <c r="J276" s="381">
        <v>61</v>
      </c>
      <c r="K276" s="381">
        <v>134</v>
      </c>
      <c r="L276" s="381">
        <v>2567</v>
      </c>
    </row>
    <row r="277" spans="2:12" x14ac:dyDescent="0.25">
      <c r="B277" s="245" t="s">
        <v>64</v>
      </c>
      <c r="C277" s="398"/>
      <c r="D277" s="398"/>
      <c r="E277" s="399">
        <v>48041</v>
      </c>
      <c r="F277" s="399"/>
      <c r="G277" s="399"/>
      <c r="H277" s="399">
        <v>1985</v>
      </c>
      <c r="I277" s="399"/>
      <c r="J277" s="399"/>
      <c r="K277" s="399">
        <v>3659</v>
      </c>
      <c r="L277" s="399">
        <v>53685</v>
      </c>
    </row>
    <row r="278" spans="2:12" x14ac:dyDescent="0.25">
      <c r="B278" s="373">
        <v>44197</v>
      </c>
      <c r="C278" s="337">
        <v>2090</v>
      </c>
      <c r="D278" s="337">
        <v>934</v>
      </c>
      <c r="E278" s="381">
        <v>3024</v>
      </c>
      <c r="F278" s="381">
        <v>46</v>
      </c>
      <c r="G278" s="381">
        <v>31</v>
      </c>
      <c r="H278" s="381">
        <v>77</v>
      </c>
      <c r="I278" s="381">
        <v>112</v>
      </c>
      <c r="J278" s="381">
        <v>101</v>
      </c>
      <c r="K278" s="381">
        <v>213</v>
      </c>
      <c r="L278" s="381">
        <v>3314</v>
      </c>
    </row>
    <row r="279" spans="2:12" x14ac:dyDescent="0.25">
      <c r="B279" s="373">
        <v>44228</v>
      </c>
      <c r="C279" s="337">
        <v>2887</v>
      </c>
      <c r="D279" s="337">
        <v>1200</v>
      </c>
      <c r="E279" s="381">
        <v>4087</v>
      </c>
      <c r="F279" s="381">
        <v>78</v>
      </c>
      <c r="G279" s="381">
        <v>53</v>
      </c>
      <c r="H279" s="381">
        <v>131</v>
      </c>
      <c r="I279" s="381">
        <v>114</v>
      </c>
      <c r="J279" s="381">
        <v>90</v>
      </c>
      <c r="K279" s="381">
        <v>204</v>
      </c>
      <c r="L279" s="381">
        <v>4422</v>
      </c>
    </row>
    <row r="280" spans="2:12" x14ac:dyDescent="0.25">
      <c r="B280" s="373">
        <v>44256</v>
      </c>
      <c r="C280" s="337">
        <v>3264</v>
      </c>
      <c r="D280" s="337">
        <v>1514</v>
      </c>
      <c r="E280" s="381">
        <v>4778</v>
      </c>
      <c r="F280" s="381">
        <v>49</v>
      </c>
      <c r="G280" s="381">
        <v>53</v>
      </c>
      <c r="H280" s="381">
        <v>102</v>
      </c>
      <c r="I280" s="381">
        <v>308</v>
      </c>
      <c r="J280" s="381">
        <v>203</v>
      </c>
      <c r="K280" s="381">
        <v>511</v>
      </c>
      <c r="L280" s="381">
        <v>5391</v>
      </c>
    </row>
    <row r="281" spans="2:12" x14ac:dyDescent="0.25">
      <c r="B281" s="373">
        <v>44287</v>
      </c>
      <c r="C281" s="337">
        <v>4279</v>
      </c>
      <c r="D281" s="337">
        <v>2062</v>
      </c>
      <c r="E281" s="381">
        <v>6341</v>
      </c>
      <c r="F281" s="381">
        <v>106</v>
      </c>
      <c r="G281" s="381">
        <v>82</v>
      </c>
      <c r="H281" s="381">
        <v>188</v>
      </c>
      <c r="I281" s="381">
        <v>342</v>
      </c>
      <c r="J281" s="381">
        <v>272</v>
      </c>
      <c r="K281" s="381">
        <v>614</v>
      </c>
      <c r="L281" s="381">
        <v>7143</v>
      </c>
    </row>
    <row r="282" spans="2:12" x14ac:dyDescent="0.25">
      <c r="B282" s="373">
        <v>44317</v>
      </c>
      <c r="C282" s="337">
        <v>3493</v>
      </c>
      <c r="D282" s="337">
        <v>1924</v>
      </c>
      <c r="E282" s="381">
        <v>5417</v>
      </c>
      <c r="F282" s="381">
        <v>95</v>
      </c>
      <c r="G282" s="381">
        <v>76</v>
      </c>
      <c r="H282" s="381">
        <v>171</v>
      </c>
      <c r="I282" s="381">
        <v>260</v>
      </c>
      <c r="J282" s="381">
        <v>237</v>
      </c>
      <c r="K282" s="381">
        <v>497</v>
      </c>
      <c r="L282" s="381">
        <v>6085</v>
      </c>
    </row>
    <row r="283" spans="2:12" x14ac:dyDescent="0.25">
      <c r="B283" s="373">
        <v>44348</v>
      </c>
      <c r="C283" s="337">
        <v>2836</v>
      </c>
      <c r="D283" s="337">
        <v>1991</v>
      </c>
      <c r="E283" s="381">
        <v>4827</v>
      </c>
      <c r="F283" s="381">
        <v>87</v>
      </c>
      <c r="G283" s="381">
        <v>140</v>
      </c>
      <c r="H283" s="381">
        <v>227</v>
      </c>
      <c r="I283" s="381">
        <v>262</v>
      </c>
      <c r="J283" s="381">
        <v>199</v>
      </c>
      <c r="K283" s="381">
        <v>461</v>
      </c>
      <c r="L283" s="381">
        <v>5515</v>
      </c>
    </row>
    <row r="284" spans="2:12" x14ac:dyDescent="0.25">
      <c r="B284" s="373">
        <v>44378</v>
      </c>
      <c r="C284" s="337">
        <v>2343</v>
      </c>
      <c r="D284" s="337">
        <v>1233</v>
      </c>
      <c r="E284" s="381">
        <v>3576</v>
      </c>
      <c r="F284" s="381">
        <v>100</v>
      </c>
      <c r="G284" s="381">
        <v>93</v>
      </c>
      <c r="H284" s="381">
        <v>193</v>
      </c>
      <c r="I284" s="381">
        <v>212</v>
      </c>
      <c r="J284" s="381">
        <v>162</v>
      </c>
      <c r="K284" s="381">
        <v>374</v>
      </c>
      <c r="L284" s="381">
        <v>4143</v>
      </c>
    </row>
    <row r="285" spans="2:12" x14ac:dyDescent="0.25">
      <c r="B285" s="373">
        <v>44409</v>
      </c>
      <c r="C285" s="337">
        <v>2201</v>
      </c>
      <c r="D285" s="337">
        <v>996</v>
      </c>
      <c r="E285" s="381">
        <v>3197</v>
      </c>
      <c r="F285" s="381">
        <v>47</v>
      </c>
      <c r="G285" s="381">
        <v>37</v>
      </c>
      <c r="H285" s="381">
        <v>84</v>
      </c>
      <c r="I285" s="381">
        <v>212</v>
      </c>
      <c r="J285" s="381">
        <v>146</v>
      </c>
      <c r="K285" s="381">
        <v>358</v>
      </c>
      <c r="L285" s="381">
        <v>3639</v>
      </c>
    </row>
    <row r="286" spans="2:12" x14ac:dyDescent="0.25">
      <c r="B286" s="373">
        <v>44440</v>
      </c>
      <c r="C286" s="337">
        <v>1991</v>
      </c>
      <c r="D286" s="337">
        <v>1077</v>
      </c>
      <c r="E286" s="381">
        <v>3068</v>
      </c>
      <c r="F286" s="381">
        <v>76</v>
      </c>
      <c r="G286" s="381">
        <v>70</v>
      </c>
      <c r="H286" s="381">
        <v>146</v>
      </c>
      <c r="I286" s="381">
        <v>208</v>
      </c>
      <c r="J286" s="381">
        <v>146</v>
      </c>
      <c r="K286" s="381">
        <v>354</v>
      </c>
      <c r="L286" s="381">
        <v>3568</v>
      </c>
    </row>
    <row r="287" spans="2:12" x14ac:dyDescent="0.25">
      <c r="B287" s="373">
        <v>44470</v>
      </c>
      <c r="C287" s="337">
        <v>1639</v>
      </c>
      <c r="D287" s="337">
        <v>788</v>
      </c>
      <c r="E287" s="381">
        <v>2427</v>
      </c>
      <c r="F287" s="381">
        <v>61</v>
      </c>
      <c r="G287" s="381">
        <v>34</v>
      </c>
      <c r="H287" s="381">
        <v>95</v>
      </c>
      <c r="I287" s="381">
        <v>144</v>
      </c>
      <c r="J287" s="381">
        <v>79</v>
      </c>
      <c r="K287" s="381">
        <v>223</v>
      </c>
      <c r="L287" s="381">
        <v>2745</v>
      </c>
    </row>
    <row r="288" spans="2:12" x14ac:dyDescent="0.25">
      <c r="B288" s="373">
        <v>44501</v>
      </c>
      <c r="C288" s="337">
        <v>1532</v>
      </c>
      <c r="D288" s="337">
        <v>765</v>
      </c>
      <c r="E288" s="381">
        <v>2297</v>
      </c>
      <c r="F288" s="381">
        <v>25</v>
      </c>
      <c r="G288" s="381">
        <v>18</v>
      </c>
      <c r="H288" s="381">
        <v>43</v>
      </c>
      <c r="I288" s="381">
        <v>179</v>
      </c>
      <c r="J288" s="381">
        <v>114</v>
      </c>
      <c r="K288" s="381">
        <v>293</v>
      </c>
      <c r="L288" s="381">
        <v>2633</v>
      </c>
    </row>
    <row r="289" spans="2:12" x14ac:dyDescent="0.25">
      <c r="B289" s="373">
        <v>44531</v>
      </c>
      <c r="C289" s="337">
        <v>1277</v>
      </c>
      <c r="D289" s="337">
        <v>646</v>
      </c>
      <c r="E289" s="381">
        <v>1923</v>
      </c>
      <c r="F289" s="381">
        <v>39</v>
      </c>
      <c r="G289" s="381">
        <v>24</v>
      </c>
      <c r="H289" s="381">
        <v>63</v>
      </c>
      <c r="I289" s="381">
        <v>76</v>
      </c>
      <c r="J289" s="381">
        <v>105</v>
      </c>
      <c r="K289" s="381">
        <v>181</v>
      </c>
      <c r="L289" s="381">
        <v>2167</v>
      </c>
    </row>
    <row r="290" spans="2:12" x14ac:dyDescent="0.25">
      <c r="B290" s="245" t="s">
        <v>65</v>
      </c>
      <c r="C290" s="398">
        <v>29832</v>
      </c>
      <c r="D290" s="398">
        <v>15130</v>
      </c>
      <c r="E290" s="399">
        <v>44962</v>
      </c>
      <c r="F290" s="399">
        <v>809</v>
      </c>
      <c r="G290" s="399">
        <v>711</v>
      </c>
      <c r="H290" s="399">
        <v>1520</v>
      </c>
      <c r="I290" s="399">
        <v>2429</v>
      </c>
      <c r="J290" s="399">
        <v>1854</v>
      </c>
      <c r="K290" s="399">
        <v>4283</v>
      </c>
      <c r="L290" s="399">
        <v>50765</v>
      </c>
    </row>
    <row r="291" spans="2:12" x14ac:dyDescent="0.25">
      <c r="B291" s="373">
        <v>44562</v>
      </c>
      <c r="C291" s="337">
        <v>1886</v>
      </c>
      <c r="D291" s="337">
        <v>887</v>
      </c>
      <c r="E291" s="381">
        <v>2773</v>
      </c>
      <c r="F291" s="381">
        <v>53</v>
      </c>
      <c r="G291" s="381">
        <v>47</v>
      </c>
      <c r="H291" s="381">
        <v>100</v>
      </c>
      <c r="I291" s="381">
        <v>181</v>
      </c>
      <c r="J291" s="381">
        <v>113</v>
      </c>
      <c r="K291" s="381">
        <v>294</v>
      </c>
      <c r="L291" s="381">
        <v>3167</v>
      </c>
    </row>
    <row r="292" spans="2:12" x14ac:dyDescent="0.25">
      <c r="B292" s="373">
        <v>44593</v>
      </c>
      <c r="C292" s="337">
        <v>1412</v>
      </c>
      <c r="D292" s="337">
        <v>595</v>
      </c>
      <c r="E292" s="381">
        <v>2007</v>
      </c>
      <c r="F292" s="381">
        <v>30</v>
      </c>
      <c r="G292" s="381">
        <v>18</v>
      </c>
      <c r="H292" s="381">
        <v>48</v>
      </c>
      <c r="I292" s="381">
        <v>91</v>
      </c>
      <c r="J292" s="381">
        <v>65</v>
      </c>
      <c r="K292" s="381">
        <v>156</v>
      </c>
      <c r="L292" s="381">
        <v>2211</v>
      </c>
    </row>
    <row r="293" spans="2:12" x14ac:dyDescent="0.25">
      <c r="B293" s="373">
        <v>44621</v>
      </c>
      <c r="C293" s="337">
        <v>1162</v>
      </c>
      <c r="D293" s="337">
        <v>726</v>
      </c>
      <c r="E293" s="381">
        <v>1888</v>
      </c>
      <c r="F293" s="381">
        <v>26</v>
      </c>
      <c r="G293" s="381">
        <v>33</v>
      </c>
      <c r="H293" s="381">
        <v>59</v>
      </c>
      <c r="I293" s="381">
        <v>134</v>
      </c>
      <c r="J293" s="381">
        <v>63</v>
      </c>
      <c r="K293" s="381">
        <v>197</v>
      </c>
      <c r="L293" s="381">
        <v>2144</v>
      </c>
    </row>
    <row r="294" spans="2:12" x14ac:dyDescent="0.25">
      <c r="B294" s="373">
        <v>44652</v>
      </c>
      <c r="C294" s="337">
        <v>3769</v>
      </c>
      <c r="D294" s="337">
        <v>1904</v>
      </c>
      <c r="E294" s="381">
        <v>5673</v>
      </c>
      <c r="F294" s="381">
        <v>61</v>
      </c>
      <c r="G294" s="381">
        <v>35</v>
      </c>
      <c r="H294" s="381">
        <v>96</v>
      </c>
      <c r="I294" s="381">
        <v>462</v>
      </c>
      <c r="J294" s="381">
        <v>323</v>
      </c>
      <c r="K294" s="381">
        <v>785</v>
      </c>
      <c r="L294" s="381">
        <v>6554</v>
      </c>
    </row>
    <row r="295" spans="2:12" x14ac:dyDescent="0.25">
      <c r="B295" s="373">
        <v>44682</v>
      </c>
      <c r="C295" s="337">
        <v>2974</v>
      </c>
      <c r="D295" s="337">
        <v>1701</v>
      </c>
      <c r="E295" s="381">
        <v>4675</v>
      </c>
      <c r="F295" s="381">
        <v>45</v>
      </c>
      <c r="G295" s="381">
        <v>26</v>
      </c>
      <c r="H295" s="381">
        <v>71</v>
      </c>
      <c r="I295" s="381">
        <v>95</v>
      </c>
      <c r="J295" s="381">
        <v>56</v>
      </c>
      <c r="K295" s="381">
        <v>151</v>
      </c>
      <c r="L295" s="381">
        <v>4897</v>
      </c>
    </row>
    <row r="296" spans="2:12" x14ac:dyDescent="0.25">
      <c r="B296" s="373">
        <v>44713</v>
      </c>
      <c r="C296" s="337">
        <v>2583</v>
      </c>
      <c r="D296" s="337">
        <v>1144</v>
      </c>
      <c r="E296" s="381">
        <v>3727</v>
      </c>
      <c r="F296" s="381">
        <v>69</v>
      </c>
      <c r="G296" s="381">
        <v>74</v>
      </c>
      <c r="H296" s="381">
        <v>143</v>
      </c>
      <c r="I296" s="381">
        <v>154</v>
      </c>
      <c r="J296" s="381">
        <v>115</v>
      </c>
      <c r="K296" s="381">
        <v>269</v>
      </c>
      <c r="L296" s="381">
        <v>4139</v>
      </c>
    </row>
    <row r="297" spans="2:12" x14ac:dyDescent="0.25">
      <c r="B297" s="373">
        <v>44743</v>
      </c>
      <c r="C297" s="337">
        <v>3721</v>
      </c>
      <c r="D297" s="337">
        <v>1573</v>
      </c>
      <c r="E297" s="381">
        <v>5294</v>
      </c>
      <c r="F297" s="381">
        <v>88</v>
      </c>
      <c r="G297" s="381">
        <v>48</v>
      </c>
      <c r="H297" s="381">
        <v>136</v>
      </c>
      <c r="I297" s="381">
        <v>303</v>
      </c>
      <c r="J297" s="381">
        <v>185</v>
      </c>
      <c r="K297" s="381">
        <v>488</v>
      </c>
      <c r="L297" s="381">
        <v>5918</v>
      </c>
    </row>
    <row r="298" spans="2:12" x14ac:dyDescent="0.25">
      <c r="B298" s="373">
        <v>44774</v>
      </c>
      <c r="C298" s="337">
        <v>4303</v>
      </c>
      <c r="D298" s="337">
        <v>1721</v>
      </c>
      <c r="E298" s="381">
        <v>6024</v>
      </c>
      <c r="F298" s="381">
        <v>106</v>
      </c>
      <c r="G298" s="381">
        <v>83</v>
      </c>
      <c r="H298" s="381">
        <v>189</v>
      </c>
      <c r="I298" s="381">
        <v>340</v>
      </c>
      <c r="J298" s="381">
        <v>203</v>
      </c>
      <c r="K298" s="381">
        <v>543</v>
      </c>
      <c r="L298" s="381">
        <v>6756</v>
      </c>
    </row>
    <row r="299" spans="2:12" x14ac:dyDescent="0.25">
      <c r="B299" s="373">
        <v>44805</v>
      </c>
      <c r="C299" s="337">
        <v>2112</v>
      </c>
      <c r="D299" s="337">
        <v>1341</v>
      </c>
      <c r="E299" s="381">
        <v>3453</v>
      </c>
      <c r="F299" s="381">
        <v>57</v>
      </c>
      <c r="G299" s="381">
        <v>48</v>
      </c>
      <c r="H299" s="381">
        <v>105</v>
      </c>
      <c r="I299" s="381">
        <v>84</v>
      </c>
      <c r="J299" s="381">
        <v>45</v>
      </c>
      <c r="K299" s="381">
        <v>129</v>
      </c>
      <c r="L299" s="381">
        <v>3687</v>
      </c>
    </row>
    <row r="300" spans="2:12" x14ac:dyDescent="0.25">
      <c r="B300" s="373">
        <v>44835</v>
      </c>
      <c r="C300" s="337">
        <v>4150</v>
      </c>
      <c r="D300" s="337">
        <v>1782</v>
      </c>
      <c r="E300" s="381">
        <v>5932</v>
      </c>
      <c r="F300" s="381">
        <v>116</v>
      </c>
      <c r="G300" s="381">
        <v>81</v>
      </c>
      <c r="H300" s="381">
        <v>197</v>
      </c>
      <c r="I300" s="381">
        <v>398</v>
      </c>
      <c r="J300" s="381">
        <v>247</v>
      </c>
      <c r="K300" s="381">
        <v>645</v>
      </c>
      <c r="L300" s="381">
        <v>6774</v>
      </c>
    </row>
    <row r="301" spans="2:12" x14ac:dyDescent="0.25">
      <c r="B301" s="373">
        <v>44866</v>
      </c>
      <c r="C301" s="337">
        <v>2043</v>
      </c>
      <c r="D301" s="337">
        <v>877</v>
      </c>
      <c r="E301" s="381">
        <v>2920</v>
      </c>
      <c r="F301" s="381">
        <v>75</v>
      </c>
      <c r="G301" s="381">
        <v>80</v>
      </c>
      <c r="H301" s="381">
        <v>155</v>
      </c>
      <c r="I301" s="381">
        <v>97</v>
      </c>
      <c r="J301" s="381">
        <v>58</v>
      </c>
      <c r="K301" s="381">
        <v>155</v>
      </c>
      <c r="L301" s="381">
        <v>3230</v>
      </c>
    </row>
    <row r="302" spans="2:12" x14ac:dyDescent="0.25">
      <c r="B302" s="373">
        <v>44896</v>
      </c>
      <c r="C302" s="337">
        <v>803</v>
      </c>
      <c r="D302" s="337">
        <v>425</v>
      </c>
      <c r="E302" s="381">
        <v>1228</v>
      </c>
      <c r="F302" s="381">
        <v>4</v>
      </c>
      <c r="G302" s="381">
        <v>13</v>
      </c>
      <c r="H302" s="381">
        <v>17</v>
      </c>
      <c r="I302" s="381">
        <v>104</v>
      </c>
      <c r="J302" s="381">
        <v>65</v>
      </c>
      <c r="K302" s="381">
        <v>169</v>
      </c>
      <c r="L302" s="381">
        <v>1414</v>
      </c>
    </row>
    <row r="303" spans="2:12" x14ac:dyDescent="0.25">
      <c r="B303" s="245" t="s">
        <v>66</v>
      </c>
      <c r="C303" s="398">
        <v>30918</v>
      </c>
      <c r="D303" s="398">
        <v>14676</v>
      </c>
      <c r="E303" s="399">
        <v>45594</v>
      </c>
      <c r="F303" s="399">
        <v>730</v>
      </c>
      <c r="G303" s="399">
        <v>586</v>
      </c>
      <c r="H303" s="399">
        <v>1316</v>
      </c>
      <c r="I303" s="399">
        <v>2443</v>
      </c>
      <c r="J303" s="399">
        <v>1538</v>
      </c>
      <c r="K303" s="399">
        <v>3981</v>
      </c>
      <c r="L303" s="399">
        <v>50891</v>
      </c>
    </row>
    <row r="304" spans="2:12" x14ac:dyDescent="0.25">
      <c r="B304" s="373">
        <v>44927</v>
      </c>
      <c r="C304" s="337">
        <v>3854</v>
      </c>
      <c r="D304" s="337">
        <v>1528</v>
      </c>
      <c r="E304" s="381">
        <v>5382</v>
      </c>
      <c r="F304" s="381">
        <v>73</v>
      </c>
      <c r="G304" s="381">
        <v>60</v>
      </c>
      <c r="H304" s="381">
        <v>133</v>
      </c>
      <c r="I304" s="381">
        <v>415</v>
      </c>
      <c r="J304" s="381">
        <v>251</v>
      </c>
      <c r="K304" s="381">
        <v>666</v>
      </c>
      <c r="L304" s="381">
        <v>6181</v>
      </c>
    </row>
    <row r="305" spans="2:12" x14ac:dyDescent="0.25">
      <c r="B305" s="373">
        <v>44958</v>
      </c>
      <c r="C305" s="337">
        <v>3035</v>
      </c>
      <c r="D305" s="337">
        <v>1322</v>
      </c>
      <c r="E305" s="381">
        <v>4357</v>
      </c>
      <c r="F305" s="381">
        <v>77</v>
      </c>
      <c r="G305" s="381">
        <v>60</v>
      </c>
      <c r="H305" s="381">
        <v>137</v>
      </c>
      <c r="I305" s="381">
        <v>296</v>
      </c>
      <c r="J305" s="381">
        <v>155</v>
      </c>
      <c r="K305" s="381">
        <v>451</v>
      </c>
      <c r="L305" s="381">
        <v>4945</v>
      </c>
    </row>
    <row r="306" spans="2:12" x14ac:dyDescent="0.25">
      <c r="B306" s="373">
        <v>44986</v>
      </c>
      <c r="C306" s="337">
        <v>3982</v>
      </c>
      <c r="D306" s="337">
        <v>1554</v>
      </c>
      <c r="E306" s="381">
        <v>5536</v>
      </c>
      <c r="F306" s="381">
        <v>98</v>
      </c>
      <c r="G306" s="381">
        <v>67</v>
      </c>
      <c r="H306" s="381">
        <v>165</v>
      </c>
      <c r="I306" s="381">
        <v>431</v>
      </c>
      <c r="J306" s="381">
        <v>247</v>
      </c>
      <c r="K306" s="381">
        <v>678</v>
      </c>
      <c r="L306" s="381">
        <v>6379</v>
      </c>
    </row>
    <row r="307" spans="2:12" x14ac:dyDescent="0.25">
      <c r="B307" s="373">
        <v>45017</v>
      </c>
      <c r="C307" s="337">
        <v>3175</v>
      </c>
      <c r="D307" s="337">
        <v>1403</v>
      </c>
      <c r="E307" s="381">
        <v>4578</v>
      </c>
      <c r="F307" s="381">
        <v>53</v>
      </c>
      <c r="G307" s="381">
        <v>36</v>
      </c>
      <c r="H307" s="381">
        <v>89</v>
      </c>
      <c r="I307" s="381">
        <v>283</v>
      </c>
      <c r="J307" s="381">
        <v>170</v>
      </c>
      <c r="K307" s="381">
        <v>453</v>
      </c>
      <c r="L307" s="381">
        <v>5120</v>
      </c>
    </row>
    <row r="308" spans="2:12" x14ac:dyDescent="0.25">
      <c r="B308" s="373">
        <v>45047</v>
      </c>
      <c r="C308" s="337">
        <v>3397</v>
      </c>
      <c r="D308" s="337">
        <v>1659</v>
      </c>
      <c r="E308" s="381">
        <v>5056</v>
      </c>
      <c r="F308" s="381">
        <v>104</v>
      </c>
      <c r="G308" s="381">
        <v>96</v>
      </c>
      <c r="H308" s="381">
        <v>200</v>
      </c>
      <c r="I308" s="381">
        <v>326</v>
      </c>
      <c r="J308" s="381">
        <v>194</v>
      </c>
      <c r="K308" s="381">
        <v>520</v>
      </c>
      <c r="L308" s="381">
        <v>5776</v>
      </c>
    </row>
    <row r="309" spans="2:12" x14ac:dyDescent="0.25">
      <c r="B309" s="373">
        <v>45078</v>
      </c>
      <c r="C309" s="337">
        <v>3279</v>
      </c>
      <c r="D309" s="337">
        <v>1345</v>
      </c>
      <c r="E309" s="381">
        <v>4624</v>
      </c>
      <c r="F309" s="381">
        <v>100</v>
      </c>
      <c r="G309" s="381">
        <v>58</v>
      </c>
      <c r="H309" s="381">
        <v>158</v>
      </c>
      <c r="I309" s="381">
        <v>424</v>
      </c>
      <c r="J309" s="381">
        <v>253</v>
      </c>
      <c r="K309" s="381">
        <v>677</v>
      </c>
      <c r="L309" s="381">
        <v>5459</v>
      </c>
    </row>
    <row r="310" spans="2:12" x14ac:dyDescent="0.25">
      <c r="B310" s="373">
        <v>45108</v>
      </c>
      <c r="C310" s="337">
        <v>2870</v>
      </c>
      <c r="D310" s="337">
        <v>1153</v>
      </c>
      <c r="E310" s="381">
        <v>4023</v>
      </c>
      <c r="F310" s="381">
        <v>60</v>
      </c>
      <c r="G310" s="381">
        <v>39</v>
      </c>
      <c r="H310" s="381">
        <v>99</v>
      </c>
      <c r="I310" s="381">
        <v>316</v>
      </c>
      <c r="J310" s="381">
        <v>199</v>
      </c>
      <c r="K310" s="381">
        <v>515</v>
      </c>
      <c r="L310" s="381">
        <v>4637</v>
      </c>
    </row>
    <row r="311" spans="2:12" x14ac:dyDescent="0.25">
      <c r="B311" s="373">
        <v>45139</v>
      </c>
      <c r="C311" s="337">
        <v>3384</v>
      </c>
      <c r="D311" s="337">
        <v>1786</v>
      </c>
      <c r="E311" s="381">
        <v>5170</v>
      </c>
      <c r="F311" s="381">
        <v>108</v>
      </c>
      <c r="G311" s="381">
        <v>122</v>
      </c>
      <c r="H311" s="381">
        <v>230</v>
      </c>
      <c r="I311" s="381">
        <v>345</v>
      </c>
      <c r="J311" s="381">
        <v>189</v>
      </c>
      <c r="K311" s="381">
        <v>534</v>
      </c>
      <c r="L311" s="381">
        <v>5934</v>
      </c>
    </row>
    <row r="312" spans="2:12" x14ac:dyDescent="0.25">
      <c r="B312" s="373">
        <v>45170</v>
      </c>
      <c r="C312" s="337">
        <v>1197</v>
      </c>
      <c r="D312" s="337">
        <v>506</v>
      </c>
      <c r="E312" s="381">
        <v>1703</v>
      </c>
      <c r="F312" s="381">
        <v>43</v>
      </c>
      <c r="G312" s="381">
        <v>43</v>
      </c>
      <c r="H312" s="381">
        <v>86</v>
      </c>
      <c r="I312" s="381">
        <v>103</v>
      </c>
      <c r="J312" s="381">
        <v>67</v>
      </c>
      <c r="K312" s="381">
        <v>170</v>
      </c>
      <c r="L312" s="381">
        <v>1959</v>
      </c>
    </row>
    <row r="313" spans="2:12" x14ac:dyDescent="0.25">
      <c r="B313" s="373">
        <v>45200</v>
      </c>
      <c r="C313" s="337">
        <v>702</v>
      </c>
      <c r="D313" s="337">
        <v>408</v>
      </c>
      <c r="E313" s="381">
        <v>1110</v>
      </c>
      <c r="F313" s="381">
        <v>15</v>
      </c>
      <c r="G313" s="381">
        <v>17</v>
      </c>
      <c r="H313" s="381">
        <v>32</v>
      </c>
      <c r="I313" s="381">
        <v>82</v>
      </c>
      <c r="J313" s="381">
        <v>41</v>
      </c>
      <c r="K313" s="381">
        <v>123</v>
      </c>
      <c r="L313" s="381">
        <v>1265</v>
      </c>
    </row>
    <row r="314" spans="2:12" x14ac:dyDescent="0.25">
      <c r="B314" s="373">
        <v>45231</v>
      </c>
      <c r="C314" s="337">
        <v>1399</v>
      </c>
      <c r="D314" s="337">
        <v>581</v>
      </c>
      <c r="E314" s="381">
        <v>1980</v>
      </c>
      <c r="F314" s="381">
        <v>17</v>
      </c>
      <c r="G314" s="381">
        <v>16</v>
      </c>
      <c r="H314" s="381">
        <v>33</v>
      </c>
      <c r="I314" s="381">
        <v>143</v>
      </c>
      <c r="J314" s="381">
        <v>73</v>
      </c>
      <c r="K314" s="381">
        <v>216</v>
      </c>
      <c r="L314" s="381">
        <v>2229</v>
      </c>
    </row>
    <row r="315" spans="2:12" x14ac:dyDescent="0.25">
      <c r="B315" s="373">
        <v>45261</v>
      </c>
      <c r="C315" s="337">
        <v>1326</v>
      </c>
      <c r="D315" s="337">
        <v>612</v>
      </c>
      <c r="E315" s="381">
        <v>1938</v>
      </c>
      <c r="F315" s="381">
        <v>34</v>
      </c>
      <c r="G315" s="381">
        <v>19</v>
      </c>
      <c r="H315" s="381">
        <v>53</v>
      </c>
      <c r="I315" s="381">
        <v>259</v>
      </c>
      <c r="J315" s="381">
        <v>156</v>
      </c>
      <c r="K315" s="381">
        <v>415</v>
      </c>
      <c r="L315" s="381">
        <v>2406</v>
      </c>
    </row>
    <row r="316" spans="2:12" x14ac:dyDescent="0.25">
      <c r="B316" s="245" t="s">
        <v>929</v>
      </c>
      <c r="C316" s="398">
        <v>31600</v>
      </c>
      <c r="D316" s="398">
        <v>13857</v>
      </c>
      <c r="E316" s="399">
        <v>45457</v>
      </c>
      <c r="F316" s="399">
        <v>782</v>
      </c>
      <c r="G316" s="399">
        <v>633</v>
      </c>
      <c r="H316" s="399">
        <v>1415</v>
      </c>
      <c r="I316" s="399">
        <v>3423</v>
      </c>
      <c r="J316" s="399">
        <v>1995</v>
      </c>
      <c r="K316" s="399">
        <v>5418</v>
      </c>
      <c r="L316" s="399">
        <v>52290</v>
      </c>
    </row>
    <row r="317" spans="2:12" x14ac:dyDescent="0.25">
      <c r="B317" s="373">
        <v>45292</v>
      </c>
      <c r="C317" s="337">
        <v>1589</v>
      </c>
      <c r="D317" s="337">
        <v>954</v>
      </c>
      <c r="E317" s="381">
        <v>2543</v>
      </c>
      <c r="F317" s="381">
        <v>66</v>
      </c>
      <c r="G317" s="381">
        <v>46</v>
      </c>
      <c r="H317" s="381">
        <v>112</v>
      </c>
      <c r="I317" s="381">
        <v>157</v>
      </c>
      <c r="J317" s="381">
        <v>84</v>
      </c>
      <c r="K317" s="381">
        <v>241</v>
      </c>
      <c r="L317" s="381">
        <v>2896</v>
      </c>
    </row>
    <row r="318" spans="2:12" x14ac:dyDescent="0.25">
      <c r="B318" s="373">
        <v>45323</v>
      </c>
      <c r="C318" s="337">
        <v>2113</v>
      </c>
      <c r="D318" s="337">
        <v>1328</v>
      </c>
      <c r="E318" s="381">
        <v>3441</v>
      </c>
      <c r="F318" s="381">
        <v>51</v>
      </c>
      <c r="G318" s="381">
        <v>46</v>
      </c>
      <c r="H318" s="381">
        <v>97</v>
      </c>
      <c r="I318" s="381">
        <v>275</v>
      </c>
      <c r="J318" s="381">
        <v>163</v>
      </c>
      <c r="K318" s="381">
        <v>438</v>
      </c>
      <c r="L318" s="381">
        <v>3976</v>
      </c>
    </row>
    <row r="319" spans="2:12" x14ac:dyDescent="0.25">
      <c r="B319" s="373">
        <v>45352</v>
      </c>
      <c r="C319" s="337">
        <v>1276</v>
      </c>
      <c r="D319" s="337">
        <v>784</v>
      </c>
      <c r="E319" s="381">
        <v>2060</v>
      </c>
      <c r="F319" s="381">
        <v>39</v>
      </c>
      <c r="G319" s="381">
        <v>32</v>
      </c>
      <c r="H319" s="381">
        <v>71</v>
      </c>
      <c r="I319" s="381">
        <v>156</v>
      </c>
      <c r="J319" s="381">
        <v>96</v>
      </c>
      <c r="K319" s="381">
        <v>252</v>
      </c>
      <c r="L319" s="381">
        <v>2383</v>
      </c>
    </row>
    <row r="320" spans="2:12" x14ac:dyDescent="0.25">
      <c r="B320" s="373">
        <v>45383</v>
      </c>
      <c r="C320" s="337">
        <v>1189</v>
      </c>
      <c r="D320" s="337">
        <v>535</v>
      </c>
      <c r="E320" s="381">
        <v>1724</v>
      </c>
      <c r="F320" s="381">
        <v>38</v>
      </c>
      <c r="G320" s="381">
        <v>24</v>
      </c>
      <c r="H320" s="381">
        <v>62</v>
      </c>
      <c r="I320" s="381">
        <v>146</v>
      </c>
      <c r="J320" s="381">
        <v>88</v>
      </c>
      <c r="K320" s="381">
        <v>234</v>
      </c>
      <c r="L320" s="381">
        <v>2020</v>
      </c>
    </row>
    <row r="321" spans="2:12" x14ac:dyDescent="0.25">
      <c r="B321" s="373">
        <v>45413</v>
      </c>
      <c r="C321" s="337">
        <v>1449</v>
      </c>
      <c r="D321" s="337">
        <v>574</v>
      </c>
      <c r="E321" s="381">
        <v>2023</v>
      </c>
      <c r="F321" s="381">
        <v>30</v>
      </c>
      <c r="G321" s="381">
        <v>18</v>
      </c>
      <c r="H321" s="381">
        <v>48</v>
      </c>
      <c r="I321" s="381">
        <v>249</v>
      </c>
      <c r="J321" s="381">
        <v>146</v>
      </c>
      <c r="K321" s="381">
        <v>395</v>
      </c>
      <c r="L321" s="381">
        <v>2466</v>
      </c>
    </row>
    <row r="322" spans="2:12" x14ac:dyDescent="0.25">
      <c r="B322" s="373">
        <v>45444</v>
      </c>
      <c r="C322" s="337">
        <v>1049</v>
      </c>
      <c r="D322" s="337">
        <v>489</v>
      </c>
      <c r="E322" s="381">
        <v>1538</v>
      </c>
      <c r="F322" s="381">
        <v>38</v>
      </c>
      <c r="G322" s="381">
        <v>33</v>
      </c>
      <c r="H322" s="381">
        <v>71</v>
      </c>
      <c r="I322" s="381">
        <v>125</v>
      </c>
      <c r="J322" s="381">
        <v>67</v>
      </c>
      <c r="K322" s="381">
        <v>192</v>
      </c>
      <c r="L322" s="381">
        <v>1801</v>
      </c>
    </row>
    <row r="323" spans="2:12" x14ac:dyDescent="0.25">
      <c r="B323" s="373">
        <v>45474</v>
      </c>
      <c r="C323" s="337">
        <v>1198</v>
      </c>
      <c r="D323" s="337">
        <v>527</v>
      </c>
      <c r="E323" s="381">
        <v>1725</v>
      </c>
      <c r="F323" s="381">
        <v>38</v>
      </c>
      <c r="G323" s="381">
        <v>27</v>
      </c>
      <c r="H323" s="381">
        <v>65</v>
      </c>
      <c r="I323" s="381">
        <v>179</v>
      </c>
      <c r="J323" s="381">
        <v>93</v>
      </c>
      <c r="K323" s="381">
        <v>272</v>
      </c>
      <c r="L323" s="381">
        <v>2062</v>
      </c>
    </row>
    <row r="324" spans="2:12" x14ac:dyDescent="0.25">
      <c r="B324" s="373">
        <v>45505</v>
      </c>
      <c r="C324" s="337">
        <v>1067</v>
      </c>
      <c r="D324" s="337">
        <v>527</v>
      </c>
      <c r="E324" s="381">
        <v>1594</v>
      </c>
      <c r="F324" s="381">
        <v>28</v>
      </c>
      <c r="G324" s="381">
        <v>12</v>
      </c>
      <c r="H324" s="381">
        <v>40</v>
      </c>
      <c r="I324" s="381">
        <v>162</v>
      </c>
      <c r="J324" s="381">
        <v>68</v>
      </c>
      <c r="K324" s="381">
        <v>230</v>
      </c>
      <c r="L324" s="381">
        <v>1864</v>
      </c>
    </row>
    <row r="325" spans="2:12" x14ac:dyDescent="0.25">
      <c r="B325" s="373">
        <v>45536</v>
      </c>
      <c r="C325" s="337">
        <v>1070</v>
      </c>
      <c r="D325" s="337">
        <v>523</v>
      </c>
      <c r="E325" s="381">
        <v>1593</v>
      </c>
      <c r="F325" s="381">
        <v>28</v>
      </c>
      <c r="G325" s="381">
        <v>24</v>
      </c>
      <c r="H325" s="381">
        <v>52</v>
      </c>
      <c r="I325" s="381">
        <v>170</v>
      </c>
      <c r="J325" s="381">
        <v>101</v>
      </c>
      <c r="K325" s="381">
        <v>271</v>
      </c>
      <c r="L325" s="381">
        <v>1916</v>
      </c>
    </row>
    <row r="326" spans="2:12" ht="27.75" customHeight="1" x14ac:dyDescent="0.25">
      <c r="B326" s="403" t="s">
        <v>948</v>
      </c>
      <c r="C326" s="398">
        <v>12000</v>
      </c>
      <c r="D326" s="398">
        <v>6241</v>
      </c>
      <c r="E326" s="399">
        <v>18241</v>
      </c>
      <c r="F326" s="399">
        <v>356</v>
      </c>
      <c r="G326" s="399">
        <v>262</v>
      </c>
      <c r="H326" s="399">
        <v>618</v>
      </c>
      <c r="I326" s="399">
        <v>1619</v>
      </c>
      <c r="J326" s="399">
        <v>906</v>
      </c>
      <c r="K326" s="399">
        <v>2525</v>
      </c>
      <c r="L326" s="399">
        <v>21384</v>
      </c>
    </row>
    <row r="327" spans="2:12" x14ac:dyDescent="0.25">
      <c r="B327" s="4" t="s">
        <v>803</v>
      </c>
    </row>
    <row r="330" spans="2:12" x14ac:dyDescent="0.25">
      <c r="E330" s="144"/>
      <c r="H330" s="144"/>
      <c r="K330" s="144"/>
      <c r="L330" s="144"/>
    </row>
    <row r="331" spans="2:12" x14ac:dyDescent="0.25">
      <c r="E331" s="263"/>
      <c r="F331" s="263"/>
      <c r="G331" s="263"/>
      <c r="H331" s="263"/>
      <c r="I331" s="263"/>
      <c r="J331" s="263"/>
      <c r="K331" s="263"/>
    </row>
  </sheetData>
  <mergeCells count="7">
    <mergeCell ref="L169:L171"/>
    <mergeCell ref="C169:K169"/>
    <mergeCell ref="B163:D163"/>
    <mergeCell ref="B169:B171"/>
    <mergeCell ref="C170:E170"/>
    <mergeCell ref="F170:H170"/>
    <mergeCell ref="I170:K17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 workbookViewId="1"/>
  </sheetViews>
  <sheetFormatPr baseColWidth="10" defaultColWidth="11.5703125" defaultRowHeight="15" x14ac:dyDescent="0.25"/>
  <cols>
    <col min="1" max="1" width="46.5703125" style="164" bestFit="1" customWidth="1"/>
    <col min="2" max="2" width="13.28515625" style="163" customWidth="1"/>
    <col min="3" max="3" width="11.42578125" style="163" customWidth="1"/>
    <col min="4" max="4" width="13.42578125" style="163" customWidth="1"/>
    <col min="5" max="7" width="11.42578125" style="163" customWidth="1"/>
  </cols>
  <sheetData>
    <row r="3" spans="1:16" x14ac:dyDescent="0.25">
      <c r="A3" s="191" t="s">
        <v>488</v>
      </c>
    </row>
    <row r="7" spans="1:16" ht="18.75" x14ac:dyDescent="0.3">
      <c r="A7" s="2" t="s">
        <v>537</v>
      </c>
      <c r="B7" s="162"/>
    </row>
    <row r="8" spans="1:16" x14ac:dyDescent="0.25">
      <c r="A8" s="6" t="s">
        <v>10</v>
      </c>
      <c r="B8" s="162"/>
      <c r="C8" s="162"/>
      <c r="D8" s="162"/>
      <c r="E8" s="162"/>
      <c r="F8" s="162"/>
      <c r="G8" s="162"/>
    </row>
    <row r="9" spans="1:16" x14ac:dyDescent="0.25">
      <c r="A9" s="157"/>
      <c r="B9" s="162"/>
      <c r="C9" s="162"/>
      <c r="J9" s="138" t="s">
        <v>538</v>
      </c>
    </row>
    <row r="10" spans="1:16" ht="30" customHeight="1" x14ac:dyDescent="0.25">
      <c r="A10" s="539" t="s">
        <v>521</v>
      </c>
      <c r="B10" s="538" t="s">
        <v>522</v>
      </c>
      <c r="C10" s="538"/>
      <c r="D10" s="538"/>
      <c r="E10" s="538"/>
      <c r="F10" s="538"/>
      <c r="G10" s="153"/>
      <c r="H10" s="541" t="s">
        <v>523</v>
      </c>
      <c r="I10" s="541"/>
      <c r="J10" s="538" t="s">
        <v>524</v>
      </c>
      <c r="K10" s="538"/>
      <c r="L10" s="538"/>
      <c r="M10" s="538"/>
      <c r="N10" s="538"/>
      <c r="O10" s="538"/>
    </row>
    <row r="11" spans="1:16" ht="45" x14ac:dyDescent="0.25">
      <c r="A11" s="540"/>
      <c r="B11" s="179" t="s">
        <v>484</v>
      </c>
      <c r="C11" s="179" t="s">
        <v>128</v>
      </c>
      <c r="D11" s="179" t="s">
        <v>485</v>
      </c>
      <c r="E11" s="179" t="s">
        <v>11</v>
      </c>
      <c r="F11" s="179" t="s">
        <v>130</v>
      </c>
      <c r="G11" s="178" t="s">
        <v>25</v>
      </c>
      <c r="H11" s="179" t="s">
        <v>474</v>
      </c>
      <c r="I11" s="179" t="s">
        <v>475</v>
      </c>
      <c r="J11" s="180" t="s">
        <v>525</v>
      </c>
      <c r="K11" s="179" t="s">
        <v>526</v>
      </c>
      <c r="L11" s="179" t="s">
        <v>527</v>
      </c>
      <c r="M11" s="179" t="s">
        <v>528</v>
      </c>
      <c r="N11" s="179" t="s">
        <v>529</v>
      </c>
      <c r="O11" s="180">
        <v>7</v>
      </c>
      <c r="P11" s="178" t="s">
        <v>25</v>
      </c>
    </row>
    <row r="12" spans="1:16" x14ac:dyDescent="0.25">
      <c r="A12" s="177" t="s">
        <v>505</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7" t="s">
        <v>506</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7" t="s">
        <v>507</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7" t="s">
        <v>508</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7" t="s">
        <v>509</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7" t="s">
        <v>510</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7" t="s">
        <v>511</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7" t="s">
        <v>512</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7" t="s">
        <v>513</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7" t="s">
        <v>514</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7" t="s">
        <v>515</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7" t="s">
        <v>516</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7" t="s">
        <v>517</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7" t="s">
        <v>518</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7" t="s">
        <v>519</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7" t="s">
        <v>520</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7" t="s">
        <v>25</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7"/>
      <c r="B29" s="162"/>
      <c r="C29" s="162"/>
      <c r="D29" s="162"/>
      <c r="E29" s="162"/>
      <c r="F29" s="162"/>
      <c r="G29" s="162"/>
    </row>
    <row r="30" spans="1:16" x14ac:dyDescent="0.25">
      <c r="A30" s="157"/>
      <c r="B30" s="162"/>
      <c r="C30" s="162"/>
      <c r="D30" s="162"/>
      <c r="E30" s="162"/>
      <c r="F30" s="162"/>
      <c r="G30" s="162"/>
    </row>
    <row r="31" spans="1:16" x14ac:dyDescent="0.25">
      <c r="A31" s="198" t="s">
        <v>539</v>
      </c>
      <c r="B31" s="162"/>
      <c r="C31" s="162"/>
      <c r="D31" s="162"/>
      <c r="E31" s="162"/>
      <c r="F31" s="162"/>
      <c r="G31" s="162"/>
    </row>
    <row r="32" spans="1:16" ht="18.75" x14ac:dyDescent="0.3">
      <c r="A32" s="2" t="s">
        <v>530</v>
      </c>
      <c r="B32" s="162"/>
      <c r="C32" s="162"/>
      <c r="D32" s="162"/>
      <c r="E32" s="162"/>
      <c r="F32" s="162"/>
      <c r="G32" s="162"/>
    </row>
    <row r="33" spans="1:16" x14ac:dyDescent="0.25">
      <c r="A33" s="6" t="s">
        <v>10</v>
      </c>
      <c r="B33" s="162"/>
      <c r="C33" s="162"/>
      <c r="D33" s="162"/>
      <c r="E33" s="162"/>
      <c r="F33" s="162"/>
      <c r="G33" s="162"/>
    </row>
    <row r="34" spans="1:16" x14ac:dyDescent="0.25">
      <c r="A34" s="157"/>
      <c r="B34" s="162"/>
      <c r="C34" s="162"/>
      <c r="D34" s="162"/>
      <c r="E34" s="162"/>
      <c r="F34" s="162"/>
      <c r="G34" s="162"/>
    </row>
    <row r="35" spans="1:16" x14ac:dyDescent="0.25">
      <c r="A35" s="539" t="s">
        <v>521</v>
      </c>
      <c r="B35" s="538" t="s">
        <v>522</v>
      </c>
      <c r="C35" s="538"/>
      <c r="D35" s="538"/>
      <c r="E35" s="538"/>
      <c r="F35" s="538"/>
      <c r="G35" s="153"/>
      <c r="H35" s="541" t="s">
        <v>523</v>
      </c>
      <c r="I35" s="541"/>
      <c r="J35" s="538" t="s">
        <v>524</v>
      </c>
      <c r="K35" s="538"/>
      <c r="L35" s="538"/>
      <c r="M35" s="538"/>
      <c r="N35" s="538"/>
      <c r="O35" s="538"/>
    </row>
    <row r="36" spans="1:16" ht="45" x14ac:dyDescent="0.25">
      <c r="A36" s="540"/>
      <c r="B36" s="179" t="s">
        <v>484</v>
      </c>
      <c r="C36" s="179" t="s">
        <v>128</v>
      </c>
      <c r="D36" s="179" t="s">
        <v>485</v>
      </c>
      <c r="E36" s="179" t="s">
        <v>11</v>
      </c>
      <c r="F36" s="179" t="s">
        <v>130</v>
      </c>
      <c r="G36" s="178" t="s">
        <v>25</v>
      </c>
      <c r="H36" s="179" t="s">
        <v>474</v>
      </c>
      <c r="I36" s="179" t="s">
        <v>475</v>
      </c>
      <c r="J36" s="180" t="s">
        <v>525</v>
      </c>
      <c r="K36" s="179" t="s">
        <v>526</v>
      </c>
      <c r="L36" s="179" t="s">
        <v>527</v>
      </c>
      <c r="M36" s="179" t="s">
        <v>528</v>
      </c>
      <c r="N36" s="179" t="s">
        <v>529</v>
      </c>
      <c r="O36" s="180">
        <v>7</v>
      </c>
      <c r="P36" s="178" t="s">
        <v>25</v>
      </c>
    </row>
    <row r="37" spans="1:16" x14ac:dyDescent="0.25">
      <c r="A37" s="177" t="s">
        <v>505</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7" t="s">
        <v>506</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7" t="s">
        <v>507</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7" t="s">
        <v>508</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7" t="s">
        <v>509</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7" t="s">
        <v>510</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7" t="s">
        <v>511</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7" t="s">
        <v>512</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7" t="s">
        <v>513</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7" t="s">
        <v>514</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7" t="s">
        <v>515</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7" t="s">
        <v>516</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7" t="s">
        <v>517</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7" t="s">
        <v>518</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7" t="s">
        <v>519</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7" t="s">
        <v>520</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25</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7"/>
      <c r="B54" s="162"/>
      <c r="C54" s="162"/>
      <c r="D54" s="162"/>
      <c r="E54" s="162"/>
      <c r="F54" s="162"/>
      <c r="G54" s="162"/>
    </row>
    <row r="55" spans="1:16" x14ac:dyDescent="0.25">
      <c r="A55" s="198" t="s">
        <v>540</v>
      </c>
      <c r="B55" s="199"/>
      <c r="C55" s="162"/>
      <c r="D55" s="162"/>
      <c r="E55" s="162"/>
      <c r="F55" s="162"/>
      <c r="G55" s="162"/>
    </row>
    <row r="56" spans="1:16" ht="18.75" x14ac:dyDescent="0.3">
      <c r="A56" s="2" t="s">
        <v>531</v>
      </c>
      <c r="B56" s="162"/>
      <c r="C56" s="162"/>
      <c r="D56" s="162"/>
      <c r="E56" s="162"/>
      <c r="F56" s="162"/>
      <c r="G56" s="162"/>
    </row>
    <row r="57" spans="1:16" x14ac:dyDescent="0.25">
      <c r="A57" s="6" t="s">
        <v>10</v>
      </c>
      <c r="B57" s="162"/>
      <c r="C57" s="162"/>
      <c r="D57" s="162"/>
      <c r="E57" s="162"/>
      <c r="F57" s="162"/>
      <c r="G57" s="162"/>
    </row>
    <row r="58" spans="1:16" x14ac:dyDescent="0.25">
      <c r="A58" s="157" t="s">
        <v>489</v>
      </c>
      <c r="B58" s="162"/>
      <c r="C58" s="162"/>
    </row>
    <row r="59" spans="1:16" x14ac:dyDescent="0.25">
      <c r="A59" s="539" t="s">
        <v>521</v>
      </c>
      <c r="B59" s="538" t="s">
        <v>522</v>
      </c>
      <c r="C59" s="538"/>
      <c r="D59" s="538"/>
      <c r="E59" s="538"/>
      <c r="F59" s="538"/>
      <c r="G59" s="154"/>
    </row>
    <row r="60" spans="1:16" ht="30" x14ac:dyDescent="0.25">
      <c r="A60" s="540"/>
      <c r="B60" s="136" t="s">
        <v>484</v>
      </c>
      <c r="C60" s="136" t="s">
        <v>128</v>
      </c>
      <c r="D60" s="136" t="s">
        <v>485</v>
      </c>
      <c r="E60" s="136" t="s">
        <v>11</v>
      </c>
      <c r="F60" s="136" t="s">
        <v>130</v>
      </c>
      <c r="G60" s="136" t="s">
        <v>25</v>
      </c>
    </row>
    <row r="61" spans="1:16" x14ac:dyDescent="0.25">
      <c r="A61" s="177" t="s">
        <v>505</v>
      </c>
      <c r="B61" s="165">
        <f t="shared" ref="B61:G70" si="0">+B37/B12</f>
        <v>0.8223676089371682</v>
      </c>
      <c r="C61" s="165">
        <f t="shared" si="0"/>
        <v>0.57631673235399494</v>
      </c>
      <c r="D61" s="165">
        <f t="shared" si="0"/>
        <v>0.87112396096855804</v>
      </c>
      <c r="E61" s="165">
        <f t="shared" si="0"/>
        <v>0.47636297772142727</v>
      </c>
      <c r="F61" s="165">
        <f t="shared" si="0"/>
        <v>0.7980214344600165</v>
      </c>
      <c r="G61" s="165">
        <f t="shared" si="0"/>
        <v>0.78192697768762676</v>
      </c>
    </row>
    <row r="62" spans="1:16" x14ac:dyDescent="0.25">
      <c r="A62" s="177" t="s">
        <v>506</v>
      </c>
      <c r="B62" s="165">
        <f t="shared" si="0"/>
        <v>0.78783082183107511</v>
      </c>
      <c r="C62" s="165">
        <f t="shared" si="0"/>
        <v>0.56936134687630446</v>
      </c>
      <c r="D62" s="165">
        <f t="shared" si="0"/>
        <v>0.84438979526551505</v>
      </c>
      <c r="E62" s="165">
        <f t="shared" si="0"/>
        <v>0.46513202437373052</v>
      </c>
      <c r="F62" s="165">
        <f t="shared" si="0"/>
        <v>0.79561501300631732</v>
      </c>
      <c r="G62" s="165">
        <f t="shared" si="0"/>
        <v>0.7691425192193968</v>
      </c>
    </row>
    <row r="63" spans="1:16" x14ac:dyDescent="0.25">
      <c r="A63" s="177" t="s">
        <v>507</v>
      </c>
      <c r="B63" s="165">
        <f t="shared" si="0"/>
        <v>0.8358271424087057</v>
      </c>
      <c r="C63" s="165">
        <f t="shared" si="0"/>
        <v>0.59510275470048102</v>
      </c>
      <c r="D63" s="165">
        <f t="shared" si="0"/>
        <v>0.87709353259469214</v>
      </c>
      <c r="E63" s="165">
        <f t="shared" si="0"/>
        <v>0.52694084011436115</v>
      </c>
      <c r="F63" s="165">
        <f t="shared" si="0"/>
        <v>0.82554161915621438</v>
      </c>
      <c r="G63" s="165">
        <f t="shared" si="0"/>
        <v>0.81169386169386171</v>
      </c>
    </row>
    <row r="64" spans="1:16" x14ac:dyDescent="0.25">
      <c r="A64" s="177" t="s">
        <v>508</v>
      </c>
      <c r="B64" s="165">
        <f t="shared" si="0"/>
        <v>0.85777762227975651</v>
      </c>
      <c r="C64" s="165">
        <f t="shared" si="0"/>
        <v>0.59608313949125835</v>
      </c>
      <c r="D64" s="165">
        <f t="shared" si="0"/>
        <v>0.88809531682262566</v>
      </c>
      <c r="E64" s="165">
        <f t="shared" si="0"/>
        <v>0.50530111792282728</v>
      </c>
      <c r="F64" s="165">
        <f t="shared" si="0"/>
        <v>0.85821455363840959</v>
      </c>
      <c r="G64" s="165">
        <f t="shared" si="0"/>
        <v>0.82075279085849773</v>
      </c>
    </row>
    <row r="65" spans="1:7" x14ac:dyDescent="0.25">
      <c r="A65" s="177" t="s">
        <v>509</v>
      </c>
      <c r="B65" s="165">
        <f t="shared" si="0"/>
        <v>0.86006845489567074</v>
      </c>
      <c r="C65" s="165">
        <f t="shared" si="0"/>
        <v>0.61274465725504301</v>
      </c>
      <c r="D65" s="165">
        <f t="shared" si="0"/>
        <v>0.88454338372333818</v>
      </c>
      <c r="E65" s="165">
        <f t="shared" si="0"/>
        <v>0.4921151908522155</v>
      </c>
      <c r="F65" s="165">
        <f t="shared" si="0"/>
        <v>0.82810913705583755</v>
      </c>
      <c r="G65" s="165">
        <f t="shared" si="0"/>
        <v>0.81405041716595095</v>
      </c>
    </row>
    <row r="66" spans="1:7" x14ac:dyDescent="0.25">
      <c r="A66" s="177" t="s">
        <v>510</v>
      </c>
      <c r="B66" s="165">
        <f t="shared" si="0"/>
        <v>0.85050772096376859</v>
      </c>
      <c r="C66" s="165">
        <f t="shared" si="0"/>
        <v>0.51307806047009641</v>
      </c>
      <c r="D66" s="165">
        <f t="shared" si="0"/>
        <v>0.89342474561837981</v>
      </c>
      <c r="E66" s="165">
        <f t="shared" si="0"/>
        <v>0.50960179076343071</v>
      </c>
      <c r="F66" s="165">
        <f t="shared" si="0"/>
        <v>0.83353571034330498</v>
      </c>
      <c r="G66" s="165">
        <f t="shared" si="0"/>
        <v>0.81123303628032595</v>
      </c>
    </row>
    <row r="67" spans="1:7" x14ac:dyDescent="0.25">
      <c r="A67" s="177" t="s">
        <v>511</v>
      </c>
      <c r="B67" s="165">
        <f t="shared" si="0"/>
        <v>0.88476343941631974</v>
      </c>
      <c r="C67" s="165">
        <f t="shared" si="0"/>
        <v>0.53699274495734672</v>
      </c>
      <c r="D67" s="165">
        <f t="shared" si="0"/>
        <v>0.90578631049203118</v>
      </c>
      <c r="E67" s="165">
        <f t="shared" si="0"/>
        <v>0.54058926257675621</v>
      </c>
      <c r="F67" s="165">
        <f t="shared" si="0"/>
        <v>0.82575213060889208</v>
      </c>
      <c r="G67" s="165">
        <f t="shared" si="0"/>
        <v>0.82930698275673187</v>
      </c>
    </row>
    <row r="68" spans="1:7" x14ac:dyDescent="0.25">
      <c r="A68" s="177" t="s">
        <v>512</v>
      </c>
      <c r="B68" s="165">
        <f t="shared" si="0"/>
        <v>0.86500366837857667</v>
      </c>
      <c r="C68" s="165">
        <f t="shared" si="0"/>
        <v>0.49278475692336432</v>
      </c>
      <c r="D68" s="165">
        <f t="shared" si="0"/>
        <v>0.88534607571662138</v>
      </c>
      <c r="E68" s="165">
        <f t="shared" si="0"/>
        <v>0.53611492482335998</v>
      </c>
      <c r="F68" s="165">
        <f t="shared" si="0"/>
        <v>0.83058482211024587</v>
      </c>
      <c r="G68" s="165">
        <f t="shared" si="0"/>
        <v>0.79651309566174833</v>
      </c>
    </row>
    <row r="69" spans="1:7" x14ac:dyDescent="0.25">
      <c r="A69" s="177" t="s">
        <v>513</v>
      </c>
      <c r="B69" s="165">
        <f t="shared" si="0"/>
        <v>0.89704490266288017</v>
      </c>
      <c r="C69" s="165">
        <f t="shared" si="0"/>
        <v>0.46301037596011319</v>
      </c>
      <c r="D69" s="165">
        <f t="shared" si="0"/>
        <v>0.89935999060536664</v>
      </c>
      <c r="E69" s="165">
        <f t="shared" si="0"/>
        <v>0.52865417376490631</v>
      </c>
      <c r="F69" s="165">
        <f t="shared" si="0"/>
        <v>0.84002025060118968</v>
      </c>
      <c r="G69" s="165">
        <f t="shared" si="0"/>
        <v>0.80591016548463357</v>
      </c>
    </row>
    <row r="70" spans="1:7" x14ac:dyDescent="0.25">
      <c r="A70" s="177" t="s">
        <v>514</v>
      </c>
      <c r="B70" s="165">
        <f t="shared" si="0"/>
        <v>0.8975273212163376</v>
      </c>
      <c r="C70" s="165">
        <f t="shared" si="0"/>
        <v>0.55705840624261049</v>
      </c>
      <c r="D70" s="165">
        <f t="shared" si="0"/>
        <v>0.89610577969010607</v>
      </c>
      <c r="E70" s="165">
        <f t="shared" si="0"/>
        <v>0.59462676415575577</v>
      </c>
      <c r="F70" s="165">
        <f t="shared" si="0"/>
        <v>0.8367524555514112</v>
      </c>
      <c r="G70" s="165">
        <f t="shared" si="0"/>
        <v>0.82565982868160703</v>
      </c>
    </row>
    <row r="71" spans="1:7" x14ac:dyDescent="0.25">
      <c r="A71" s="177" t="s">
        <v>515</v>
      </c>
      <c r="B71" s="165">
        <f t="shared" ref="B71:G77" si="1">+B47/B22</f>
        <v>0.85623921794134561</v>
      </c>
      <c r="C71" s="165">
        <f t="shared" si="1"/>
        <v>0.48148148148148145</v>
      </c>
      <c r="D71" s="165">
        <f t="shared" si="1"/>
        <v>0.87007672634271105</v>
      </c>
      <c r="E71" s="165">
        <f t="shared" si="1"/>
        <v>0.43288084464555054</v>
      </c>
      <c r="F71" s="165">
        <f t="shared" si="1"/>
        <v>0.80864197530864201</v>
      </c>
      <c r="G71" s="165">
        <f t="shared" si="1"/>
        <v>0.79077228184787685</v>
      </c>
    </row>
    <row r="72" spans="1:7" x14ac:dyDescent="0.25">
      <c r="A72" s="177" t="s">
        <v>516</v>
      </c>
      <c r="B72" s="165">
        <f t="shared" si="1"/>
        <v>0.8458952583156405</v>
      </c>
      <c r="C72" s="165">
        <f t="shared" si="1"/>
        <v>0.64930875576036862</v>
      </c>
      <c r="D72" s="165">
        <f t="shared" si="1"/>
        <v>0.85434771296248113</v>
      </c>
      <c r="E72" s="165">
        <f t="shared" si="1"/>
        <v>0.5069828722002635</v>
      </c>
      <c r="F72" s="165">
        <f t="shared" si="1"/>
        <v>0.82752457551385161</v>
      </c>
      <c r="G72" s="165">
        <f t="shared" si="1"/>
        <v>0.7967327011548212</v>
      </c>
    </row>
    <row r="73" spans="1:7" x14ac:dyDescent="0.25">
      <c r="A73" s="177" t="s">
        <v>517</v>
      </c>
      <c r="B73" s="165">
        <f t="shared" si="1"/>
        <v>0.86150697977709334</v>
      </c>
      <c r="C73" s="165">
        <f t="shared" si="1"/>
        <v>0.60469741350425321</v>
      </c>
      <c r="D73" s="165">
        <f t="shared" si="1"/>
        <v>0.88287859263824309</v>
      </c>
      <c r="E73" s="165">
        <f t="shared" si="1"/>
        <v>0.53272319115869449</v>
      </c>
      <c r="F73" s="165">
        <f t="shared" si="1"/>
        <v>0.82763732833957548</v>
      </c>
      <c r="G73" s="165">
        <f t="shared" si="1"/>
        <v>0.82047313373549402</v>
      </c>
    </row>
    <row r="74" spans="1:7" x14ac:dyDescent="0.25">
      <c r="A74" s="177" t="s">
        <v>518</v>
      </c>
      <c r="B74" s="165">
        <f t="shared" si="1"/>
        <v>0.89630478372959033</v>
      </c>
      <c r="C74" s="165">
        <f t="shared" si="1"/>
        <v>0.65628925174950659</v>
      </c>
      <c r="D74" s="165">
        <f t="shared" si="1"/>
        <v>0.89162658076311951</v>
      </c>
      <c r="E74" s="165">
        <f t="shared" si="1"/>
        <v>0.57817772778402698</v>
      </c>
      <c r="F74" s="165">
        <f t="shared" si="1"/>
        <v>0.85687693898655637</v>
      </c>
      <c r="G74" s="165">
        <f t="shared" si="1"/>
        <v>0.83452613566729483</v>
      </c>
    </row>
    <row r="75" spans="1:7" x14ac:dyDescent="0.25">
      <c r="A75" s="177" t="s">
        <v>519</v>
      </c>
      <c r="B75" s="165">
        <f t="shared" si="1"/>
        <v>0.86400523560209419</v>
      </c>
      <c r="C75" s="165">
        <f t="shared" si="1"/>
        <v>0.68128916741271262</v>
      </c>
      <c r="D75" s="165">
        <f t="shared" si="1"/>
        <v>0.89262775196929911</v>
      </c>
      <c r="E75" s="165">
        <f t="shared" si="1"/>
        <v>0.56871926949192231</v>
      </c>
      <c r="F75" s="165">
        <f t="shared" si="1"/>
        <v>0.82494969818913477</v>
      </c>
      <c r="G75" s="165">
        <f t="shared" si="1"/>
        <v>0.83453792040088659</v>
      </c>
    </row>
    <row r="76" spans="1:7" x14ac:dyDescent="0.25">
      <c r="A76" s="177" t="s">
        <v>520</v>
      </c>
      <c r="B76" s="165">
        <f t="shared" si="1"/>
        <v>0.89605059262051345</v>
      </c>
      <c r="C76" s="165">
        <f t="shared" si="1"/>
        <v>0.43187562227157844</v>
      </c>
      <c r="D76" s="165">
        <f t="shared" si="1"/>
        <v>0.90785559084071532</v>
      </c>
      <c r="E76" s="165">
        <f t="shared" si="1"/>
        <v>0.55961787946691832</v>
      </c>
      <c r="F76" s="165">
        <f t="shared" si="1"/>
        <v>0.84547945205479447</v>
      </c>
      <c r="G76" s="165">
        <f t="shared" si="1"/>
        <v>0.77951433121019109</v>
      </c>
    </row>
    <row r="77" spans="1:7" x14ac:dyDescent="0.25">
      <c r="A77" s="136" t="s">
        <v>25</v>
      </c>
      <c r="B77" s="165">
        <f t="shared" si="1"/>
        <v>0.86657092084857446</v>
      </c>
      <c r="C77" s="165">
        <f t="shared" si="1"/>
        <v>0.55283376836101605</v>
      </c>
      <c r="D77" s="165">
        <f t="shared" si="1"/>
        <v>0.886623297749626</v>
      </c>
      <c r="E77" s="165">
        <f t="shared" si="1"/>
        <v>0.52626974072076371</v>
      </c>
      <c r="F77" s="165">
        <f t="shared" si="1"/>
        <v>0.83153321109964096</v>
      </c>
      <c r="G77" s="165">
        <f t="shared" si="1"/>
        <v>0.81351193229547447</v>
      </c>
    </row>
    <row r="78" spans="1:7" x14ac:dyDescent="0.25">
      <c r="A78" s="157"/>
      <c r="B78" s="162"/>
      <c r="C78" s="162"/>
      <c r="D78" s="162"/>
      <c r="E78" s="162"/>
      <c r="F78" s="162"/>
      <c r="G78" s="162"/>
    </row>
    <row r="79" spans="1:7" x14ac:dyDescent="0.25">
      <c r="A79" s="157"/>
      <c r="B79" s="162"/>
      <c r="C79" s="162"/>
      <c r="D79" s="162"/>
      <c r="E79" s="162"/>
      <c r="F79" s="162"/>
      <c r="G79" s="162"/>
    </row>
    <row r="80" spans="1:7" x14ac:dyDescent="0.25">
      <c r="A80" s="157"/>
      <c r="B80" s="162"/>
      <c r="C80" s="162"/>
      <c r="D80" s="162"/>
      <c r="E80" s="162"/>
      <c r="F80" s="162"/>
      <c r="G80" s="162"/>
    </row>
    <row r="81" spans="1:7" x14ac:dyDescent="0.25">
      <c r="A81" s="157"/>
      <c r="B81" s="162"/>
      <c r="C81" s="162"/>
      <c r="D81" s="162"/>
      <c r="E81" s="162"/>
      <c r="F81" s="162"/>
      <c r="G81" s="162"/>
    </row>
    <row r="82" spans="1:7" x14ac:dyDescent="0.25">
      <c r="A82" s="157"/>
      <c r="B82" s="162"/>
      <c r="C82" s="162"/>
      <c r="D82" s="162"/>
      <c r="E82" s="162"/>
      <c r="F82" s="162"/>
      <c r="G82" s="162"/>
    </row>
    <row r="83" spans="1:7" x14ac:dyDescent="0.25">
      <c r="A83" s="157"/>
      <c r="B83" s="162"/>
      <c r="C83" s="162"/>
      <c r="D83" s="162"/>
      <c r="E83" s="162"/>
      <c r="F83" s="162"/>
      <c r="G83" s="162"/>
    </row>
    <row r="84" spans="1:7" x14ac:dyDescent="0.25">
      <c r="A84" s="157"/>
      <c r="B84" s="162"/>
      <c r="C84" s="162"/>
      <c r="D84" s="162"/>
      <c r="E84" s="162"/>
      <c r="F84" s="162"/>
      <c r="G84" s="162"/>
    </row>
    <row r="85" spans="1:7" x14ac:dyDescent="0.25">
      <c r="A85" s="157"/>
      <c r="B85" s="162"/>
      <c r="C85" s="162"/>
      <c r="D85" s="162"/>
      <c r="E85" s="162"/>
      <c r="F85" s="162"/>
      <c r="G85" s="162"/>
    </row>
    <row r="86" spans="1:7" x14ac:dyDescent="0.25">
      <c r="A86" s="157"/>
      <c r="B86" s="162"/>
      <c r="C86" s="162"/>
      <c r="D86" s="162"/>
      <c r="E86" s="162"/>
      <c r="F86" s="162"/>
      <c r="G86" s="162"/>
    </row>
    <row r="87" spans="1:7" x14ac:dyDescent="0.25">
      <c r="A87" s="157"/>
      <c r="B87" s="162"/>
      <c r="C87" s="162"/>
      <c r="D87" s="162"/>
      <c r="E87" s="162"/>
      <c r="F87" s="162"/>
      <c r="G87" s="162"/>
    </row>
    <row r="88" spans="1:7" x14ac:dyDescent="0.25">
      <c r="A88" s="157"/>
      <c r="B88" s="162"/>
      <c r="C88" s="162"/>
      <c r="D88" s="162"/>
      <c r="E88" s="162"/>
      <c r="F88" s="162"/>
      <c r="G88" s="162"/>
    </row>
    <row r="89" spans="1:7" x14ac:dyDescent="0.25">
      <c r="A89" s="157"/>
      <c r="B89" s="162"/>
      <c r="C89" s="162"/>
      <c r="D89" s="162"/>
      <c r="E89" s="162"/>
      <c r="F89" s="162"/>
      <c r="G89" s="162"/>
    </row>
    <row r="90" spans="1:7" x14ac:dyDescent="0.25">
      <c r="A90" s="157"/>
      <c r="B90" s="162"/>
      <c r="C90" s="162"/>
      <c r="D90" s="162"/>
      <c r="E90" s="162"/>
      <c r="F90" s="162"/>
      <c r="G90" s="162"/>
    </row>
    <row r="91" spans="1:7" x14ac:dyDescent="0.25">
      <c r="A91" s="157"/>
      <c r="B91" s="162"/>
      <c r="C91" s="162"/>
      <c r="D91" s="162"/>
      <c r="E91" s="162"/>
      <c r="F91" s="162"/>
      <c r="G91" s="162"/>
    </row>
    <row r="92" spans="1:7" x14ac:dyDescent="0.25">
      <c r="A92" s="157"/>
      <c r="B92" s="162"/>
      <c r="C92" s="162"/>
      <c r="D92" s="162"/>
      <c r="E92" s="162"/>
      <c r="F92" s="162"/>
      <c r="G92" s="162"/>
    </row>
    <row r="93" spans="1:7" x14ac:dyDescent="0.25">
      <c r="A93" s="157"/>
      <c r="B93" s="162"/>
      <c r="C93" s="162"/>
    </row>
    <row r="94" spans="1:7" x14ac:dyDescent="0.25">
      <c r="A94" s="157"/>
      <c r="B94" s="162"/>
      <c r="C94" s="162"/>
      <c r="D94" s="162"/>
      <c r="E94" s="162"/>
      <c r="F94" s="162"/>
      <c r="G94" s="162"/>
    </row>
    <row r="95" spans="1:7" x14ac:dyDescent="0.25">
      <c r="A95" s="157"/>
      <c r="B95" s="162"/>
      <c r="C95" s="162"/>
      <c r="D95" s="162"/>
    </row>
    <row r="96" spans="1:7" x14ac:dyDescent="0.25">
      <c r="A96" s="157"/>
    </row>
    <row r="97" spans="1:7" x14ac:dyDescent="0.25">
      <c r="A97" s="157"/>
      <c r="B97" s="162"/>
      <c r="C97" s="162"/>
    </row>
    <row r="98" spans="1:7" x14ac:dyDescent="0.25">
      <c r="A98" s="157"/>
      <c r="B98" s="162"/>
      <c r="C98" s="162"/>
      <c r="D98" s="162"/>
      <c r="E98" s="162"/>
      <c r="F98" s="162"/>
      <c r="G98" s="162"/>
    </row>
    <row r="99" spans="1:7" x14ac:dyDescent="0.25">
      <c r="A99" s="157"/>
      <c r="B99" s="162"/>
      <c r="C99" s="162"/>
    </row>
    <row r="100" spans="1:7" x14ac:dyDescent="0.25">
      <c r="A100" s="157"/>
      <c r="B100" s="162"/>
      <c r="C100" s="162"/>
      <c r="D100" s="162"/>
      <c r="E100" s="162"/>
      <c r="F100" s="162"/>
      <c r="G100" s="162"/>
    </row>
    <row r="101" spans="1:7" x14ac:dyDescent="0.25">
      <c r="A101" s="157"/>
      <c r="B101" s="162"/>
      <c r="C101" s="162"/>
      <c r="D101" s="162"/>
      <c r="E101" s="162"/>
      <c r="F101" s="162"/>
      <c r="G101" s="162"/>
    </row>
    <row r="102" spans="1:7" x14ac:dyDescent="0.25">
      <c r="A102" s="157"/>
      <c r="B102" s="162"/>
      <c r="C102" s="162"/>
      <c r="D102" s="162"/>
      <c r="E102" s="162"/>
      <c r="F102" s="162"/>
      <c r="G102" s="162"/>
    </row>
    <row r="103" spans="1:7" x14ac:dyDescent="0.25">
      <c r="A103" s="157"/>
      <c r="B103" s="162"/>
      <c r="C103" s="162"/>
      <c r="D103" s="162"/>
      <c r="E103" s="162"/>
      <c r="F103" s="162"/>
      <c r="G103" s="162"/>
    </row>
    <row r="104" spans="1:7" x14ac:dyDescent="0.25">
      <c r="A104" s="157"/>
      <c r="B104" s="162"/>
      <c r="C104" s="162"/>
      <c r="D104" s="162"/>
      <c r="E104" s="162"/>
      <c r="F104" s="162"/>
      <c r="G104" s="162"/>
    </row>
    <row r="105" spans="1:7" x14ac:dyDescent="0.25">
      <c r="A105" s="157"/>
      <c r="B105" s="162"/>
      <c r="C105" s="162"/>
      <c r="D105" s="162"/>
      <c r="E105" s="162"/>
      <c r="F105" s="162"/>
      <c r="G105" s="162"/>
    </row>
    <row r="106" spans="1:7" x14ac:dyDescent="0.25">
      <c r="A106" s="157"/>
      <c r="B106" s="162"/>
      <c r="C106" s="162"/>
      <c r="D106" s="162"/>
      <c r="E106" s="162"/>
      <c r="F106" s="162"/>
      <c r="G106" s="162"/>
    </row>
    <row r="107" spans="1:7" x14ac:dyDescent="0.25">
      <c r="A107" s="157"/>
      <c r="B107" s="162"/>
      <c r="C107" s="162"/>
      <c r="D107" s="162"/>
      <c r="E107" s="162"/>
      <c r="F107" s="162"/>
      <c r="G107" s="162"/>
    </row>
    <row r="108" spans="1:7" x14ac:dyDescent="0.25">
      <c r="A108" s="157"/>
      <c r="B108" s="162"/>
      <c r="C108" s="162"/>
      <c r="D108" s="162"/>
      <c r="E108" s="162"/>
      <c r="F108" s="162"/>
      <c r="G108" s="162"/>
    </row>
    <row r="109" spans="1:7" x14ac:dyDescent="0.25">
      <c r="A109" s="157"/>
      <c r="B109" s="162"/>
      <c r="C109" s="162"/>
      <c r="D109" s="162"/>
      <c r="E109" s="162"/>
      <c r="F109" s="162"/>
      <c r="G109" s="162"/>
    </row>
    <row r="110" spans="1:7" x14ac:dyDescent="0.25">
      <c r="A110" s="157"/>
      <c r="B110" s="162"/>
      <c r="C110" s="162"/>
    </row>
    <row r="111" spans="1:7" x14ac:dyDescent="0.25">
      <c r="A111" s="157"/>
      <c r="B111" s="162"/>
      <c r="C111" s="162"/>
      <c r="D111" s="162"/>
      <c r="E111" s="162"/>
      <c r="F111" s="162"/>
      <c r="G111" s="162"/>
    </row>
    <row r="112" spans="1:7" x14ac:dyDescent="0.25">
      <c r="A112" s="157"/>
      <c r="B112" s="162"/>
      <c r="C112" s="162"/>
      <c r="D112" s="162"/>
    </row>
    <row r="113" spans="1:7" x14ac:dyDescent="0.25">
      <c r="A113" s="157"/>
    </row>
    <row r="114" spans="1:7" x14ac:dyDescent="0.25">
      <c r="A114" s="157"/>
      <c r="B114" s="162"/>
      <c r="C114" s="162"/>
    </row>
    <row r="115" spans="1:7" x14ac:dyDescent="0.25">
      <c r="A115" s="157"/>
      <c r="B115" s="162"/>
      <c r="C115" s="162"/>
      <c r="D115" s="162"/>
      <c r="E115" s="162"/>
      <c r="F115" s="162"/>
      <c r="G115" s="162"/>
    </row>
    <row r="116" spans="1:7" x14ac:dyDescent="0.25">
      <c r="A116" s="157"/>
      <c r="B116" s="162"/>
      <c r="C116" s="162"/>
    </row>
    <row r="117" spans="1:7" x14ac:dyDescent="0.25">
      <c r="A117" s="157"/>
      <c r="B117" s="162"/>
      <c r="C117" s="162"/>
      <c r="D117" s="162"/>
      <c r="E117" s="162"/>
      <c r="F117" s="162"/>
      <c r="G117" s="162"/>
    </row>
    <row r="118" spans="1:7" x14ac:dyDescent="0.25">
      <c r="A118" s="157"/>
      <c r="B118" s="162"/>
      <c r="C118" s="162"/>
      <c r="D118" s="162"/>
      <c r="E118" s="162"/>
      <c r="F118" s="162"/>
      <c r="G118" s="162"/>
    </row>
    <row r="119" spans="1:7" x14ac:dyDescent="0.25">
      <c r="A119" s="157"/>
      <c r="B119" s="162"/>
      <c r="C119" s="162"/>
      <c r="D119" s="162"/>
      <c r="E119" s="162"/>
      <c r="F119" s="162"/>
      <c r="G119" s="162"/>
    </row>
    <row r="120" spans="1:7" x14ac:dyDescent="0.25">
      <c r="A120" s="157"/>
      <c r="B120" s="162"/>
      <c r="C120" s="162"/>
      <c r="D120" s="162"/>
      <c r="E120" s="162"/>
      <c r="F120" s="162"/>
      <c r="G120" s="162"/>
    </row>
    <row r="121" spans="1:7" x14ac:dyDescent="0.25">
      <c r="A121" s="157"/>
      <c r="B121" s="162"/>
      <c r="C121" s="162"/>
      <c r="D121" s="162"/>
      <c r="E121" s="162"/>
      <c r="F121" s="162"/>
      <c r="G121" s="162"/>
    </row>
    <row r="122" spans="1:7" x14ac:dyDescent="0.25">
      <c r="A122" s="157"/>
      <c r="B122" s="162"/>
      <c r="C122" s="162"/>
      <c r="D122" s="162"/>
      <c r="E122" s="162"/>
      <c r="F122" s="162"/>
      <c r="G122" s="162"/>
    </row>
    <row r="123" spans="1:7" x14ac:dyDescent="0.25">
      <c r="A123" s="157"/>
      <c r="B123" s="162"/>
      <c r="C123" s="162"/>
      <c r="D123" s="162"/>
      <c r="E123" s="162"/>
      <c r="F123" s="162"/>
      <c r="G123" s="162"/>
    </row>
    <row r="124" spans="1:7" x14ac:dyDescent="0.25">
      <c r="A124" s="157"/>
      <c r="B124" s="162"/>
      <c r="C124" s="162"/>
      <c r="D124" s="162"/>
      <c r="E124" s="162"/>
      <c r="F124" s="162"/>
      <c r="G124" s="162"/>
    </row>
    <row r="125" spans="1:7" x14ac:dyDescent="0.25">
      <c r="A125" s="157"/>
      <c r="B125" s="162"/>
      <c r="C125" s="162"/>
      <c r="D125" s="162"/>
      <c r="E125" s="162"/>
      <c r="F125" s="162"/>
      <c r="G125" s="162"/>
    </row>
    <row r="126" spans="1:7" x14ac:dyDescent="0.25">
      <c r="A126" s="157"/>
      <c r="B126" s="162"/>
      <c r="C126" s="162"/>
      <c r="D126" s="162"/>
      <c r="E126" s="162"/>
      <c r="F126" s="162"/>
      <c r="G126" s="162"/>
    </row>
    <row r="127" spans="1:7" x14ac:dyDescent="0.25">
      <c r="A127" s="157"/>
      <c r="B127" s="162"/>
      <c r="C127" s="162"/>
      <c r="D127" s="162"/>
      <c r="E127" s="162"/>
      <c r="F127" s="162"/>
      <c r="G127" s="162"/>
    </row>
    <row r="128" spans="1:7" x14ac:dyDescent="0.25">
      <c r="A128" s="157"/>
      <c r="B128" s="162"/>
      <c r="C128" s="162"/>
    </row>
    <row r="129" spans="1:7" x14ac:dyDescent="0.25">
      <c r="A129" s="157"/>
      <c r="B129" s="162"/>
      <c r="C129" s="162"/>
      <c r="D129" s="162"/>
      <c r="E129" s="162"/>
      <c r="F129" s="162"/>
      <c r="G129" s="162"/>
    </row>
    <row r="130" spans="1:7" x14ac:dyDescent="0.25">
      <c r="A130" s="157"/>
      <c r="B130" s="162"/>
      <c r="C130" s="162"/>
      <c r="D130" s="162"/>
    </row>
    <row r="131" spans="1:7" x14ac:dyDescent="0.25">
      <c r="A131" s="157"/>
    </row>
    <row r="132" spans="1:7" x14ac:dyDescent="0.25">
      <c r="A132" s="157"/>
      <c r="B132" s="162"/>
      <c r="C132" s="162"/>
    </row>
    <row r="133" spans="1:7" x14ac:dyDescent="0.25">
      <c r="A133" s="157"/>
      <c r="B133" s="162"/>
      <c r="C133" s="162"/>
      <c r="D133" s="162"/>
      <c r="E133" s="162"/>
      <c r="F133" s="162"/>
      <c r="G133" s="162"/>
    </row>
    <row r="134" spans="1:7" x14ac:dyDescent="0.25">
      <c r="A134" s="157"/>
      <c r="B134" s="162"/>
      <c r="C134" s="162"/>
    </row>
    <row r="135" spans="1:7" x14ac:dyDescent="0.25">
      <c r="A135" s="157"/>
      <c r="B135" s="162"/>
      <c r="C135" s="162"/>
      <c r="D135" s="162"/>
      <c r="E135" s="162"/>
      <c r="F135" s="162"/>
      <c r="G135" s="162"/>
    </row>
    <row r="136" spans="1:7" x14ac:dyDescent="0.25">
      <c r="A136" s="157"/>
      <c r="B136" s="162"/>
      <c r="C136" s="162"/>
      <c r="D136" s="162"/>
      <c r="E136" s="162"/>
      <c r="F136" s="162"/>
      <c r="G136" s="162"/>
    </row>
    <row r="137" spans="1:7" x14ac:dyDescent="0.25">
      <c r="A137" s="157"/>
      <c r="B137" s="162"/>
      <c r="C137" s="162"/>
      <c r="D137" s="162"/>
      <c r="E137" s="162"/>
      <c r="F137" s="162"/>
      <c r="G137" s="162"/>
    </row>
    <row r="138" spans="1:7" x14ac:dyDescent="0.25">
      <c r="A138" s="157"/>
      <c r="B138" s="162"/>
      <c r="C138" s="162"/>
      <c r="D138" s="162"/>
      <c r="E138" s="162"/>
      <c r="F138" s="162"/>
      <c r="G138" s="162"/>
    </row>
    <row r="139" spans="1:7" x14ac:dyDescent="0.25">
      <c r="A139" s="157"/>
      <c r="B139" s="162"/>
      <c r="C139" s="162"/>
      <c r="D139" s="162"/>
      <c r="E139" s="162"/>
      <c r="F139" s="162"/>
      <c r="G139" s="162"/>
    </row>
    <row r="140" spans="1:7" x14ac:dyDescent="0.25">
      <c r="A140" s="157"/>
      <c r="B140" s="162"/>
      <c r="C140" s="162"/>
      <c r="D140" s="162"/>
      <c r="E140" s="162"/>
      <c r="F140" s="162"/>
      <c r="G140" s="162"/>
    </row>
    <row r="141" spans="1:7" x14ac:dyDescent="0.25">
      <c r="A141" s="157"/>
      <c r="B141" s="162"/>
      <c r="C141" s="162"/>
      <c r="D141" s="162"/>
      <c r="E141" s="162"/>
      <c r="F141" s="162"/>
      <c r="G141" s="162"/>
    </row>
    <row r="142" spans="1:7" x14ac:dyDescent="0.25">
      <c r="A142" s="157"/>
      <c r="B142" s="162"/>
      <c r="C142" s="162"/>
      <c r="D142" s="162"/>
      <c r="E142" s="162"/>
      <c r="F142" s="162"/>
      <c r="G142" s="162"/>
    </row>
    <row r="143" spans="1:7" x14ac:dyDescent="0.25">
      <c r="A143" s="157"/>
      <c r="B143" s="162"/>
      <c r="C143" s="162"/>
      <c r="D143" s="162"/>
      <c r="E143" s="162"/>
      <c r="F143" s="162"/>
      <c r="G143" s="162"/>
    </row>
    <row r="144" spans="1:7" x14ac:dyDescent="0.25">
      <c r="A144" s="157"/>
      <c r="B144" s="162"/>
      <c r="C144" s="162"/>
      <c r="D144" s="162"/>
      <c r="E144" s="162"/>
      <c r="F144" s="162"/>
      <c r="G144" s="162"/>
    </row>
    <row r="145" spans="1:7" x14ac:dyDescent="0.25">
      <c r="A145" s="157"/>
      <c r="B145" s="162"/>
      <c r="C145" s="162"/>
      <c r="D145" s="162"/>
      <c r="E145" s="162"/>
      <c r="F145" s="162"/>
      <c r="G145" s="162"/>
    </row>
    <row r="146" spans="1:7" x14ac:dyDescent="0.25">
      <c r="A146" s="157"/>
      <c r="B146" s="162"/>
      <c r="C146" s="162"/>
      <c r="D146" s="162"/>
      <c r="E146" s="162"/>
      <c r="F146" s="162"/>
      <c r="G146" s="162"/>
    </row>
    <row r="147" spans="1:7" x14ac:dyDescent="0.25">
      <c r="A147" s="157"/>
      <c r="B147" s="162"/>
      <c r="C147" s="162"/>
      <c r="D147" s="162"/>
      <c r="E147" s="162"/>
      <c r="F147" s="162"/>
      <c r="G147" s="162"/>
    </row>
    <row r="148" spans="1:7" x14ac:dyDescent="0.25">
      <c r="A148" s="157"/>
      <c r="B148" s="162"/>
      <c r="C148" s="162"/>
      <c r="D148" s="162"/>
      <c r="E148" s="162"/>
      <c r="F148" s="162"/>
      <c r="G148" s="162"/>
    </row>
    <row r="149" spans="1:7" x14ac:dyDescent="0.25">
      <c r="A149" s="157"/>
      <c r="B149" s="162"/>
      <c r="C149" s="162"/>
      <c r="D149" s="162"/>
      <c r="E149" s="162"/>
      <c r="F149" s="162"/>
      <c r="G149" s="162"/>
    </row>
    <row r="150" spans="1:7" x14ac:dyDescent="0.25">
      <c r="A150" s="157"/>
      <c r="B150" s="162"/>
      <c r="C150" s="162"/>
      <c r="D150" s="162"/>
      <c r="E150" s="162"/>
      <c r="F150" s="162"/>
      <c r="G150" s="162"/>
    </row>
    <row r="151" spans="1:7" x14ac:dyDescent="0.25">
      <c r="A151" s="157"/>
      <c r="B151" s="162"/>
      <c r="C151" s="162"/>
      <c r="D151" s="162"/>
      <c r="E151" s="162"/>
      <c r="F151" s="162"/>
      <c r="G151" s="162"/>
    </row>
    <row r="152" spans="1:7" x14ac:dyDescent="0.25">
      <c r="A152" s="157"/>
      <c r="B152" s="162"/>
      <c r="C152" s="162"/>
      <c r="D152" s="162"/>
      <c r="E152" s="162"/>
      <c r="F152" s="162"/>
      <c r="G152" s="162"/>
    </row>
    <row r="153" spans="1:7" x14ac:dyDescent="0.25">
      <c r="A153" s="157"/>
      <c r="B153" s="162"/>
      <c r="C153" s="162"/>
      <c r="D153" s="162"/>
      <c r="E153" s="162"/>
      <c r="F153" s="162"/>
      <c r="G153" s="162"/>
    </row>
    <row r="154" spans="1:7" x14ac:dyDescent="0.25">
      <c r="A154" s="157"/>
      <c r="B154" s="162"/>
      <c r="C154" s="162"/>
      <c r="D154" s="162"/>
      <c r="E154" s="162"/>
      <c r="F154" s="162"/>
      <c r="G154" s="162"/>
    </row>
    <row r="155" spans="1:7" x14ac:dyDescent="0.25">
      <c r="A155" s="157"/>
      <c r="B155" s="162"/>
      <c r="C155" s="162"/>
      <c r="D155" s="162"/>
      <c r="E155" s="162"/>
      <c r="F155" s="162"/>
      <c r="G155" s="162"/>
    </row>
    <row r="156" spans="1:7" x14ac:dyDescent="0.25">
      <c r="A156" s="157"/>
      <c r="B156" s="162"/>
      <c r="C156" s="162"/>
      <c r="D156" s="162"/>
      <c r="E156" s="162"/>
      <c r="F156" s="162"/>
      <c r="G156" s="162"/>
    </row>
    <row r="157" spans="1:7" x14ac:dyDescent="0.25">
      <c r="A157" s="157"/>
      <c r="B157" s="162"/>
      <c r="C157" s="162"/>
      <c r="D157" s="162"/>
      <c r="E157" s="162"/>
      <c r="F157" s="162"/>
      <c r="G157" s="162"/>
    </row>
    <row r="158" spans="1:7" x14ac:dyDescent="0.25">
      <c r="A158" s="157"/>
      <c r="B158" s="162"/>
      <c r="C158" s="162"/>
      <c r="D158" s="162"/>
      <c r="E158" s="162"/>
      <c r="F158" s="162"/>
      <c r="G158" s="162"/>
    </row>
    <row r="159" spans="1:7" x14ac:dyDescent="0.25">
      <c r="A159" s="157"/>
      <c r="B159" s="162"/>
      <c r="C159" s="162"/>
      <c r="D159" s="162"/>
      <c r="E159" s="162"/>
      <c r="F159" s="162"/>
      <c r="G159" s="162"/>
    </row>
    <row r="160" spans="1:7" x14ac:dyDescent="0.25">
      <c r="A160" s="157"/>
      <c r="B160" s="162"/>
      <c r="C160" s="162"/>
      <c r="D160" s="162"/>
      <c r="E160" s="162"/>
      <c r="F160" s="162"/>
      <c r="G160" s="162"/>
    </row>
    <row r="161" spans="1:7" x14ac:dyDescent="0.25">
      <c r="A161" s="157"/>
      <c r="B161" s="162"/>
      <c r="C161" s="162"/>
      <c r="D161" s="162"/>
      <c r="E161" s="162"/>
      <c r="F161" s="162"/>
      <c r="G161" s="162"/>
    </row>
    <row r="162" spans="1:7" x14ac:dyDescent="0.25">
      <c r="A162" s="157"/>
      <c r="B162" s="162"/>
      <c r="C162" s="162"/>
      <c r="D162" s="162"/>
      <c r="E162" s="162"/>
      <c r="F162" s="162"/>
      <c r="G162" s="162"/>
    </row>
    <row r="163" spans="1:7" x14ac:dyDescent="0.25">
      <c r="A163" s="157"/>
      <c r="B163" s="162"/>
      <c r="C163" s="162"/>
      <c r="D163" s="162"/>
      <c r="E163" s="162"/>
      <c r="F163" s="162"/>
      <c r="G163" s="162"/>
    </row>
    <row r="164" spans="1:7" x14ac:dyDescent="0.25">
      <c r="A164" s="157"/>
      <c r="B164" s="162"/>
      <c r="C164" s="162"/>
      <c r="D164" s="162"/>
      <c r="E164" s="162"/>
      <c r="F164" s="162"/>
      <c r="G164" s="162"/>
    </row>
    <row r="165" spans="1:7" x14ac:dyDescent="0.25">
      <c r="A165" s="157"/>
      <c r="B165" s="162"/>
      <c r="C165" s="162"/>
      <c r="D165" s="162"/>
      <c r="E165" s="162"/>
      <c r="F165" s="162"/>
      <c r="G165" s="162"/>
    </row>
    <row r="166" spans="1:7" x14ac:dyDescent="0.25">
      <c r="A166" s="157"/>
      <c r="B166" s="162"/>
      <c r="C166" s="162"/>
      <c r="D166" s="162"/>
      <c r="E166" s="162"/>
      <c r="F166" s="162"/>
      <c r="G166" s="162"/>
    </row>
    <row r="167" spans="1:7" x14ac:dyDescent="0.25">
      <c r="A167" s="157"/>
      <c r="B167" s="162"/>
      <c r="C167" s="162"/>
      <c r="D167" s="162"/>
      <c r="E167" s="162"/>
      <c r="F167" s="162"/>
      <c r="G167" s="162"/>
    </row>
    <row r="168" spans="1:7" x14ac:dyDescent="0.25">
      <c r="A168" s="157"/>
      <c r="B168" s="162"/>
      <c r="C168" s="162"/>
      <c r="D168" s="162"/>
      <c r="E168" s="162"/>
      <c r="F168" s="162"/>
      <c r="G168" s="162"/>
    </row>
    <row r="169" spans="1:7" x14ac:dyDescent="0.25">
      <c r="A169" s="157"/>
      <c r="B169" s="162"/>
      <c r="C169" s="162"/>
      <c r="D169" s="162"/>
      <c r="E169" s="162"/>
      <c r="F169" s="162"/>
      <c r="G169" s="162"/>
    </row>
    <row r="170" spans="1:7" x14ac:dyDescent="0.25">
      <c r="A170" s="157"/>
      <c r="B170" s="162"/>
      <c r="C170" s="162"/>
      <c r="D170" s="162"/>
      <c r="E170" s="162"/>
      <c r="F170" s="162"/>
      <c r="G170" s="162"/>
    </row>
    <row r="171" spans="1:7" x14ac:dyDescent="0.25">
      <c r="A171" s="157"/>
      <c r="B171" s="162"/>
      <c r="C171" s="162"/>
      <c r="D171" s="162"/>
      <c r="E171" s="162"/>
      <c r="F171" s="162"/>
      <c r="G171" s="162"/>
    </row>
    <row r="172" spans="1:7" x14ac:dyDescent="0.25">
      <c r="A172" s="157"/>
      <c r="B172" s="162"/>
      <c r="C172" s="162"/>
      <c r="D172" s="162"/>
      <c r="E172" s="162"/>
      <c r="F172" s="162"/>
      <c r="G172" s="162"/>
    </row>
    <row r="173" spans="1:7" x14ac:dyDescent="0.25">
      <c r="A173" s="157"/>
      <c r="B173" s="162"/>
      <c r="C173" s="162"/>
      <c r="D173" s="162"/>
      <c r="E173" s="162"/>
      <c r="F173" s="162"/>
      <c r="G173" s="162"/>
    </row>
    <row r="174" spans="1:7" x14ac:dyDescent="0.25">
      <c r="A174" s="157"/>
      <c r="B174" s="162"/>
      <c r="C174" s="162"/>
      <c r="D174" s="162"/>
      <c r="E174" s="162"/>
      <c r="F174" s="162"/>
      <c r="G174" s="162"/>
    </row>
    <row r="175" spans="1:7" x14ac:dyDescent="0.25">
      <c r="A175" s="157"/>
      <c r="B175" s="162"/>
      <c r="C175" s="162"/>
      <c r="D175" s="162"/>
      <c r="E175" s="162"/>
      <c r="F175" s="162"/>
      <c r="G175" s="162"/>
    </row>
    <row r="176" spans="1:7" x14ac:dyDescent="0.25">
      <c r="A176" s="157"/>
      <c r="B176" s="162"/>
      <c r="C176" s="162"/>
      <c r="D176" s="162"/>
      <c r="E176" s="162"/>
      <c r="F176" s="162"/>
      <c r="G176" s="162"/>
    </row>
    <row r="177" spans="1:7" x14ac:dyDescent="0.25">
      <c r="A177" s="157"/>
      <c r="B177" s="162"/>
      <c r="C177" s="162"/>
      <c r="D177" s="162"/>
      <c r="E177" s="162"/>
      <c r="F177" s="162"/>
      <c r="G177" s="162"/>
    </row>
    <row r="178" spans="1:7" x14ac:dyDescent="0.25">
      <c r="A178" s="157"/>
      <c r="B178" s="162"/>
      <c r="C178" s="162"/>
      <c r="D178" s="162"/>
      <c r="E178" s="162"/>
      <c r="F178" s="162"/>
      <c r="G178" s="162"/>
    </row>
    <row r="179" spans="1:7" x14ac:dyDescent="0.25">
      <c r="A179" s="157"/>
      <c r="B179" s="162"/>
      <c r="C179" s="162"/>
      <c r="D179" s="162"/>
      <c r="E179" s="162"/>
      <c r="F179" s="162"/>
      <c r="G179" s="162"/>
    </row>
    <row r="180" spans="1:7" x14ac:dyDescent="0.25">
      <c r="A180" s="157"/>
      <c r="B180" s="162"/>
      <c r="C180" s="162"/>
      <c r="D180" s="162"/>
      <c r="E180" s="162"/>
      <c r="F180" s="162"/>
      <c r="G180" s="162"/>
    </row>
    <row r="181" spans="1:7" x14ac:dyDescent="0.25">
      <c r="A181" s="157"/>
      <c r="B181" s="162"/>
      <c r="C181" s="162"/>
      <c r="D181" s="162"/>
      <c r="E181" s="162"/>
      <c r="F181" s="162"/>
      <c r="G181" s="162"/>
    </row>
    <row r="182" spans="1:7" x14ac:dyDescent="0.25">
      <c r="A182" s="157"/>
      <c r="B182" s="162"/>
      <c r="C182" s="162"/>
      <c r="D182" s="162"/>
      <c r="E182" s="162"/>
      <c r="F182" s="162"/>
      <c r="G182" s="162"/>
    </row>
    <row r="183" spans="1:7" x14ac:dyDescent="0.25">
      <c r="A183" s="157"/>
      <c r="B183" s="162"/>
      <c r="C183" s="162"/>
      <c r="D183" s="162"/>
      <c r="E183" s="162"/>
      <c r="F183" s="162"/>
      <c r="G183" s="162"/>
    </row>
    <row r="184" spans="1:7" x14ac:dyDescent="0.25">
      <c r="A184" s="157"/>
      <c r="B184" s="162"/>
      <c r="C184" s="162"/>
      <c r="D184" s="162"/>
      <c r="E184" s="162"/>
      <c r="F184" s="162"/>
      <c r="G184" s="162"/>
    </row>
    <row r="185" spans="1:7" x14ac:dyDescent="0.25">
      <c r="A185" s="157"/>
      <c r="B185" s="162"/>
      <c r="C185" s="162"/>
      <c r="D185" s="162"/>
      <c r="E185" s="162"/>
      <c r="F185" s="162"/>
      <c r="G185" s="162"/>
    </row>
    <row r="186" spans="1:7" x14ac:dyDescent="0.25">
      <c r="A186" s="157"/>
      <c r="B186" s="162"/>
      <c r="C186" s="162"/>
      <c r="D186" s="162"/>
      <c r="E186" s="162"/>
      <c r="F186" s="162"/>
      <c r="G186" s="162"/>
    </row>
    <row r="187" spans="1:7" x14ac:dyDescent="0.25">
      <c r="A187" s="157"/>
      <c r="B187" s="162"/>
      <c r="C187" s="162"/>
    </row>
    <row r="188" spans="1:7" x14ac:dyDescent="0.25">
      <c r="A188" s="157"/>
      <c r="B188" s="162"/>
      <c r="C188" s="162"/>
      <c r="D188" s="162"/>
      <c r="E188" s="162"/>
      <c r="F188" s="162"/>
      <c r="G188" s="162"/>
    </row>
    <row r="189" spans="1:7" x14ac:dyDescent="0.25">
      <c r="A189" s="157"/>
      <c r="B189" s="162"/>
      <c r="C189" s="162"/>
      <c r="D189" s="162"/>
    </row>
    <row r="190" spans="1:7" x14ac:dyDescent="0.25">
      <c r="A190" s="157"/>
    </row>
    <row r="191" spans="1:7" x14ac:dyDescent="0.25">
      <c r="A191" s="157"/>
      <c r="B191" s="162"/>
      <c r="C191" s="162"/>
    </row>
    <row r="192" spans="1:7" x14ac:dyDescent="0.25">
      <c r="A192" s="157"/>
      <c r="B192" s="162"/>
      <c r="C192" s="162"/>
      <c r="D192" s="162"/>
      <c r="E192" s="162"/>
      <c r="F192" s="162"/>
      <c r="G192" s="162"/>
    </row>
    <row r="193" spans="1:7" x14ac:dyDescent="0.25">
      <c r="A193" s="157"/>
      <c r="B193" s="162"/>
      <c r="C193" s="162"/>
    </row>
    <row r="194" spans="1:7" x14ac:dyDescent="0.25">
      <c r="A194" s="157"/>
      <c r="B194" s="162"/>
      <c r="C194" s="162"/>
      <c r="D194" s="162"/>
      <c r="E194" s="162"/>
      <c r="F194" s="162"/>
      <c r="G194" s="162"/>
    </row>
    <row r="195" spans="1:7" x14ac:dyDescent="0.25">
      <c r="A195" s="157"/>
      <c r="B195" s="162"/>
      <c r="C195" s="162"/>
      <c r="D195" s="162"/>
      <c r="E195" s="162"/>
      <c r="F195" s="162"/>
      <c r="G195" s="162"/>
    </row>
    <row r="196" spans="1:7" x14ac:dyDescent="0.25">
      <c r="A196" s="157"/>
      <c r="B196" s="162"/>
      <c r="C196" s="162"/>
      <c r="D196" s="162"/>
      <c r="E196" s="162"/>
      <c r="F196" s="162"/>
      <c r="G196" s="162"/>
    </row>
    <row r="197" spans="1:7" x14ac:dyDescent="0.25">
      <c r="A197" s="157"/>
      <c r="B197" s="162"/>
      <c r="C197" s="162"/>
      <c r="D197" s="162"/>
      <c r="E197" s="162"/>
      <c r="F197" s="162"/>
      <c r="G197" s="162"/>
    </row>
    <row r="198" spans="1:7" x14ac:dyDescent="0.25">
      <c r="A198" s="157"/>
      <c r="B198" s="162"/>
      <c r="C198" s="162"/>
      <c r="D198" s="162"/>
      <c r="E198" s="162"/>
      <c r="F198" s="162"/>
      <c r="G198" s="162"/>
    </row>
    <row r="199" spans="1:7" x14ac:dyDescent="0.25">
      <c r="A199" s="157"/>
      <c r="B199" s="162"/>
      <c r="C199" s="162"/>
      <c r="D199" s="162"/>
      <c r="E199" s="162"/>
      <c r="F199" s="162"/>
      <c r="G199" s="162"/>
    </row>
    <row r="200" spans="1:7" x14ac:dyDescent="0.25">
      <c r="A200" s="157"/>
      <c r="B200" s="162"/>
      <c r="C200" s="162"/>
      <c r="D200" s="162"/>
      <c r="E200" s="162"/>
      <c r="F200" s="162"/>
      <c r="G200" s="162"/>
    </row>
    <row r="201" spans="1:7" x14ac:dyDescent="0.25">
      <c r="A201" s="157"/>
      <c r="B201" s="162"/>
      <c r="C201" s="162"/>
      <c r="D201" s="162"/>
      <c r="E201" s="162"/>
      <c r="F201" s="162"/>
      <c r="G201" s="162"/>
    </row>
    <row r="202" spans="1:7" x14ac:dyDescent="0.25">
      <c r="A202" s="157"/>
      <c r="B202" s="162"/>
      <c r="C202" s="162"/>
      <c r="D202" s="162"/>
      <c r="E202" s="162"/>
      <c r="F202" s="162"/>
      <c r="G202" s="162"/>
    </row>
    <row r="203" spans="1:7" x14ac:dyDescent="0.25">
      <c r="A203" s="157"/>
      <c r="B203" s="162"/>
      <c r="C203" s="162"/>
      <c r="D203" s="162"/>
      <c r="E203" s="162"/>
      <c r="F203" s="162"/>
      <c r="G203" s="162"/>
    </row>
    <row r="204" spans="1:7" x14ac:dyDescent="0.25">
      <c r="A204" s="157"/>
      <c r="B204" s="162"/>
      <c r="C204" s="162"/>
      <c r="D204" s="162"/>
      <c r="E204" s="162"/>
      <c r="F204" s="162"/>
      <c r="G204" s="162"/>
    </row>
    <row r="205" spans="1:7" x14ac:dyDescent="0.25">
      <c r="A205" s="157"/>
      <c r="B205" s="162"/>
      <c r="C205" s="162"/>
      <c r="D205" s="162"/>
      <c r="E205" s="162"/>
      <c r="F205" s="162"/>
      <c r="G205" s="162"/>
    </row>
    <row r="206" spans="1:7" x14ac:dyDescent="0.25">
      <c r="A206" s="157"/>
      <c r="B206" s="162"/>
      <c r="C206" s="162"/>
    </row>
    <row r="207" spans="1:7" x14ac:dyDescent="0.25">
      <c r="A207" s="157"/>
      <c r="B207" s="162"/>
      <c r="C207" s="162"/>
      <c r="D207" s="162"/>
      <c r="E207" s="162"/>
      <c r="F207" s="162"/>
      <c r="G207" s="162"/>
    </row>
    <row r="208" spans="1:7" x14ac:dyDescent="0.25">
      <c r="A208" s="157"/>
      <c r="B208" s="162"/>
      <c r="C208" s="162"/>
      <c r="D208" s="162"/>
    </row>
    <row r="209" spans="1:7" x14ac:dyDescent="0.25">
      <c r="A209" s="157"/>
    </row>
    <row r="210" spans="1:7" x14ac:dyDescent="0.25">
      <c r="A210" s="157"/>
      <c r="B210" s="162"/>
      <c r="C210" s="162"/>
    </row>
    <row r="211" spans="1:7" x14ac:dyDescent="0.25">
      <c r="A211" s="157"/>
      <c r="B211" s="162"/>
      <c r="C211" s="162"/>
      <c r="D211" s="162"/>
      <c r="E211" s="162"/>
      <c r="F211" s="162"/>
      <c r="G211" s="162"/>
    </row>
    <row r="212" spans="1:7" x14ac:dyDescent="0.25">
      <c r="A212" s="157"/>
      <c r="B212" s="162"/>
      <c r="C212" s="162"/>
    </row>
    <row r="213" spans="1:7" x14ac:dyDescent="0.25">
      <c r="A213" s="157"/>
      <c r="B213" s="162"/>
      <c r="C213" s="162"/>
      <c r="D213" s="162"/>
      <c r="E213" s="162"/>
      <c r="F213" s="162"/>
      <c r="G213" s="162"/>
    </row>
    <row r="214" spans="1:7" x14ac:dyDescent="0.25">
      <c r="A214" s="157"/>
      <c r="B214" s="162"/>
      <c r="C214" s="162"/>
      <c r="D214" s="162"/>
      <c r="E214" s="162"/>
      <c r="F214" s="162"/>
      <c r="G214" s="162"/>
    </row>
    <row r="215" spans="1:7" x14ac:dyDescent="0.25">
      <c r="A215" s="157"/>
      <c r="B215" s="162"/>
      <c r="C215" s="162"/>
      <c r="D215" s="162"/>
      <c r="E215" s="162"/>
      <c r="F215" s="162"/>
      <c r="G215" s="162"/>
    </row>
    <row r="216" spans="1:7" x14ac:dyDescent="0.25">
      <c r="A216" s="157"/>
      <c r="B216" s="162"/>
      <c r="C216" s="162"/>
      <c r="D216" s="162"/>
      <c r="E216" s="162"/>
      <c r="F216" s="162"/>
      <c r="G216" s="162"/>
    </row>
    <row r="217" spans="1:7" x14ac:dyDescent="0.25">
      <c r="A217" s="157"/>
      <c r="B217" s="162"/>
      <c r="C217" s="162"/>
    </row>
    <row r="218" spans="1:7" x14ac:dyDescent="0.25">
      <c r="A218" s="157"/>
      <c r="B218" s="162"/>
      <c r="C218" s="162"/>
      <c r="D218" s="162"/>
      <c r="E218" s="162"/>
      <c r="F218" s="162"/>
      <c r="G218" s="162"/>
    </row>
    <row r="219" spans="1:7" x14ac:dyDescent="0.25">
      <c r="A219" s="157"/>
      <c r="B219" s="162"/>
      <c r="C219" s="162"/>
      <c r="D219" s="162"/>
    </row>
    <row r="220" spans="1:7" x14ac:dyDescent="0.25">
      <c r="A220" s="157"/>
    </row>
    <row r="221" spans="1:7" x14ac:dyDescent="0.25">
      <c r="A221" s="157"/>
      <c r="B221" s="162"/>
      <c r="C221" s="162"/>
    </row>
    <row r="222" spans="1:7" x14ac:dyDescent="0.25">
      <c r="A222" s="157"/>
      <c r="B222" s="162"/>
      <c r="C222" s="162"/>
      <c r="D222" s="162"/>
      <c r="E222" s="162"/>
      <c r="F222" s="162"/>
      <c r="G222" s="162"/>
    </row>
    <row r="223" spans="1:7" x14ac:dyDescent="0.25">
      <c r="A223" s="157"/>
      <c r="B223" s="162"/>
      <c r="C223" s="162"/>
    </row>
    <row r="224" spans="1:7" x14ac:dyDescent="0.25">
      <c r="A224" s="157"/>
      <c r="B224" s="162"/>
      <c r="C224" s="162"/>
      <c r="D224" s="162"/>
      <c r="E224" s="162"/>
      <c r="F224" s="162"/>
      <c r="G224" s="162"/>
    </row>
    <row r="225" spans="1:7" x14ac:dyDescent="0.25">
      <c r="A225" s="157"/>
      <c r="B225" s="162"/>
      <c r="C225" s="162"/>
      <c r="D225" s="162"/>
      <c r="E225" s="162"/>
      <c r="F225" s="162"/>
      <c r="G225" s="162"/>
    </row>
    <row r="226" spans="1:7" x14ac:dyDescent="0.25">
      <c r="A226" s="157"/>
      <c r="B226" s="162"/>
      <c r="C226" s="162"/>
      <c r="D226" s="162"/>
      <c r="E226" s="162"/>
      <c r="F226" s="162"/>
      <c r="G226" s="162"/>
    </row>
    <row r="227" spans="1:7" x14ac:dyDescent="0.25">
      <c r="A227" s="157"/>
      <c r="B227" s="162"/>
      <c r="C227" s="162"/>
      <c r="D227" s="162"/>
      <c r="E227" s="162"/>
      <c r="F227" s="162"/>
      <c r="G227" s="162"/>
    </row>
    <row r="228" spans="1:7" x14ac:dyDescent="0.25">
      <c r="A228" s="157"/>
      <c r="B228" s="162"/>
      <c r="C228" s="162"/>
      <c r="D228" s="162"/>
      <c r="E228" s="162"/>
      <c r="F228" s="162"/>
      <c r="G228" s="162"/>
    </row>
    <row r="229" spans="1:7" x14ac:dyDescent="0.25">
      <c r="A229" s="157"/>
      <c r="B229" s="162"/>
      <c r="C229" s="162"/>
      <c r="D229" s="162"/>
      <c r="E229" s="162"/>
      <c r="F229" s="162"/>
      <c r="G229" s="162"/>
    </row>
    <row r="230" spans="1:7" x14ac:dyDescent="0.25">
      <c r="A230" s="157"/>
      <c r="B230" s="162"/>
      <c r="C230" s="162"/>
      <c r="D230" s="162"/>
      <c r="E230" s="162"/>
      <c r="F230" s="162"/>
      <c r="G230" s="162"/>
    </row>
    <row r="231" spans="1:7" x14ac:dyDescent="0.25">
      <c r="A231" s="157"/>
      <c r="B231" s="162"/>
      <c r="C231" s="162"/>
      <c r="D231" s="162"/>
      <c r="E231" s="162"/>
      <c r="F231" s="162"/>
      <c r="G231" s="162"/>
    </row>
    <row r="232" spans="1:7" x14ac:dyDescent="0.25">
      <c r="A232" s="157"/>
      <c r="B232" s="162"/>
      <c r="C232" s="162"/>
      <c r="D232" s="162"/>
      <c r="E232" s="162"/>
      <c r="F232" s="162"/>
      <c r="G232" s="162"/>
    </row>
    <row r="233" spans="1:7" x14ac:dyDescent="0.25">
      <c r="A233" s="157"/>
      <c r="B233" s="162"/>
      <c r="C233" s="162"/>
      <c r="D233" s="162"/>
      <c r="E233" s="162"/>
      <c r="F233" s="162"/>
      <c r="G233" s="162"/>
    </row>
    <row r="234" spans="1:7" x14ac:dyDescent="0.25">
      <c r="A234" s="157"/>
      <c r="B234" s="162"/>
      <c r="C234" s="162"/>
      <c r="D234" s="162"/>
      <c r="E234" s="162"/>
      <c r="F234" s="162"/>
      <c r="G234" s="162"/>
    </row>
    <row r="235" spans="1:7" x14ac:dyDescent="0.25">
      <c r="A235" s="157"/>
      <c r="B235" s="162"/>
      <c r="C235" s="162"/>
      <c r="D235" s="162"/>
      <c r="E235" s="162"/>
      <c r="F235" s="162"/>
      <c r="G235" s="162"/>
    </row>
    <row r="236" spans="1:7" x14ac:dyDescent="0.25">
      <c r="A236" s="157"/>
      <c r="B236" s="162"/>
      <c r="C236" s="162"/>
      <c r="D236" s="162"/>
      <c r="E236" s="162"/>
      <c r="F236" s="162"/>
      <c r="G236" s="162"/>
    </row>
    <row r="237" spans="1:7" x14ac:dyDescent="0.25">
      <c r="A237" s="157"/>
      <c r="B237" s="162"/>
      <c r="C237" s="162"/>
      <c r="D237" s="162"/>
      <c r="E237" s="162"/>
      <c r="F237" s="162"/>
      <c r="G237" s="162"/>
    </row>
    <row r="238" spans="1:7" x14ac:dyDescent="0.25">
      <c r="A238" s="157"/>
      <c r="B238" s="162"/>
      <c r="C238" s="162"/>
      <c r="D238" s="162"/>
      <c r="E238" s="162"/>
      <c r="F238" s="162"/>
      <c r="G238" s="162"/>
    </row>
    <row r="239" spans="1:7" x14ac:dyDescent="0.25">
      <c r="A239" s="157"/>
      <c r="B239" s="162"/>
      <c r="C239" s="162"/>
      <c r="D239" s="162"/>
      <c r="E239" s="162"/>
      <c r="F239" s="162"/>
      <c r="G239" s="162"/>
    </row>
    <row r="240" spans="1:7" x14ac:dyDescent="0.25">
      <c r="A240" s="157"/>
      <c r="B240" s="162"/>
      <c r="C240" s="162"/>
      <c r="D240" s="162"/>
      <c r="E240" s="162"/>
      <c r="F240" s="162"/>
      <c r="G240" s="162"/>
    </row>
    <row r="241" spans="1:7" x14ac:dyDescent="0.25">
      <c r="A241" s="157"/>
      <c r="B241" s="162"/>
      <c r="C241" s="162"/>
      <c r="D241" s="162"/>
      <c r="E241" s="162"/>
      <c r="F241" s="162"/>
      <c r="G241" s="162"/>
    </row>
    <row r="242" spans="1:7" x14ac:dyDescent="0.25">
      <c r="A242" s="157"/>
      <c r="B242" s="162"/>
      <c r="C242" s="162"/>
      <c r="D242" s="162"/>
      <c r="E242" s="162"/>
      <c r="F242" s="162"/>
      <c r="G242" s="162"/>
    </row>
    <row r="243" spans="1:7" x14ac:dyDescent="0.25">
      <c r="A243" s="157"/>
      <c r="B243" s="162"/>
      <c r="C243" s="162"/>
      <c r="D243" s="162"/>
      <c r="E243" s="162"/>
      <c r="F243" s="162"/>
      <c r="G243" s="162"/>
    </row>
    <row r="244" spans="1:7" x14ac:dyDescent="0.25">
      <c r="A244" s="157"/>
      <c r="B244" s="162"/>
      <c r="C244" s="162"/>
      <c r="D244" s="162"/>
      <c r="E244" s="162"/>
      <c r="F244" s="162"/>
      <c r="G244" s="162"/>
    </row>
    <row r="245" spans="1:7" x14ac:dyDescent="0.25">
      <c r="A245" s="157"/>
      <c r="B245" s="162"/>
      <c r="C245" s="162"/>
    </row>
    <row r="246" spans="1:7" x14ac:dyDescent="0.25">
      <c r="A246" s="157"/>
      <c r="B246" s="162"/>
      <c r="C246" s="162"/>
      <c r="D246" s="162"/>
      <c r="E246" s="162"/>
      <c r="F246" s="162"/>
      <c r="G246" s="162"/>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 workbookViewId="1"/>
  </sheetViews>
  <sheetFormatPr baseColWidth="10" defaultRowHeight="15" x14ac:dyDescent="0.25"/>
  <cols>
    <col min="1" max="1" width="18.28515625" customWidth="1"/>
    <col min="2" max="2" width="11.85546875" customWidth="1"/>
  </cols>
  <sheetData>
    <row r="2" spans="1:7" ht="18.75" x14ac:dyDescent="0.3">
      <c r="A2" s="2" t="s">
        <v>533</v>
      </c>
    </row>
    <row r="3" spans="1:7" x14ac:dyDescent="0.25">
      <c r="A3" s="6" t="s">
        <v>10</v>
      </c>
    </row>
    <row r="5" spans="1:7" x14ac:dyDescent="0.25">
      <c r="A5" s="186" t="s">
        <v>505</v>
      </c>
    </row>
    <row r="6" spans="1:7" x14ac:dyDescent="0.25">
      <c r="A6" s="90"/>
      <c r="B6" s="475" t="s">
        <v>487</v>
      </c>
      <c r="C6" s="475"/>
      <c r="D6" s="475"/>
      <c r="E6" s="475"/>
      <c r="F6" s="475"/>
      <c r="G6" s="91"/>
    </row>
    <row r="7" spans="1:7" x14ac:dyDescent="0.25">
      <c r="A7" s="159" t="s">
        <v>532</v>
      </c>
      <c r="B7" s="200" t="s">
        <v>127</v>
      </c>
      <c r="C7" s="161" t="s">
        <v>128</v>
      </c>
      <c r="D7" s="201" t="s">
        <v>129</v>
      </c>
      <c r="E7" s="161" t="s">
        <v>11</v>
      </c>
      <c r="F7" s="185" t="s">
        <v>130</v>
      </c>
      <c r="G7" s="160" t="s">
        <v>25</v>
      </c>
    </row>
    <row r="8" spans="1:7" x14ac:dyDescent="0.25">
      <c r="A8" s="156" t="s">
        <v>131</v>
      </c>
      <c r="B8" s="137">
        <v>1424</v>
      </c>
      <c r="C8" s="137">
        <v>1114</v>
      </c>
      <c r="D8" s="137">
        <v>4984</v>
      </c>
      <c r="E8" s="137">
        <v>463</v>
      </c>
      <c r="F8" s="137">
        <v>646</v>
      </c>
      <c r="G8" s="182">
        <v>8631</v>
      </c>
    </row>
    <row r="9" spans="1:7" x14ac:dyDescent="0.25">
      <c r="A9" s="136" t="s">
        <v>137</v>
      </c>
      <c r="B9" s="137">
        <v>66</v>
      </c>
      <c r="C9" s="137">
        <v>23</v>
      </c>
      <c r="D9" s="137">
        <v>92</v>
      </c>
      <c r="E9" s="137">
        <v>1</v>
      </c>
      <c r="F9" s="137">
        <v>10</v>
      </c>
      <c r="G9" s="137">
        <v>192</v>
      </c>
    </row>
    <row r="10" spans="1:7" x14ac:dyDescent="0.25">
      <c r="A10" s="136" t="s">
        <v>132</v>
      </c>
      <c r="B10" s="137">
        <v>63</v>
      </c>
      <c r="C10" s="137">
        <v>21</v>
      </c>
      <c r="D10" s="137">
        <v>47</v>
      </c>
      <c r="E10" s="137">
        <v>1</v>
      </c>
      <c r="F10" s="137">
        <v>5</v>
      </c>
      <c r="G10" s="137">
        <v>137</v>
      </c>
    </row>
    <row r="11" spans="1:7" x14ac:dyDescent="0.25">
      <c r="A11" s="136" t="s">
        <v>133</v>
      </c>
      <c r="B11" s="137">
        <v>122</v>
      </c>
      <c r="C11" s="137">
        <v>49</v>
      </c>
      <c r="D11" s="137">
        <v>254</v>
      </c>
      <c r="E11" s="137">
        <v>25</v>
      </c>
      <c r="F11" s="137">
        <v>26</v>
      </c>
      <c r="G11" s="137">
        <v>476</v>
      </c>
    </row>
    <row r="12" spans="1:7" x14ac:dyDescent="0.25">
      <c r="A12" s="155" t="s">
        <v>134</v>
      </c>
      <c r="B12" s="181">
        <v>4488</v>
      </c>
      <c r="C12" s="181">
        <v>1820</v>
      </c>
      <c r="D12" s="181">
        <v>17191</v>
      </c>
      <c r="E12" s="181">
        <v>1998</v>
      </c>
      <c r="F12" s="181">
        <v>1151</v>
      </c>
      <c r="G12" s="181">
        <v>26648</v>
      </c>
    </row>
    <row r="13" spans="1:7" x14ac:dyDescent="0.25">
      <c r="A13" s="158" t="s">
        <v>135</v>
      </c>
      <c r="B13" s="173">
        <v>178</v>
      </c>
      <c r="C13" s="173">
        <v>70</v>
      </c>
      <c r="D13" s="173">
        <v>564</v>
      </c>
      <c r="E13" s="173">
        <v>39</v>
      </c>
      <c r="F13" s="173">
        <v>25</v>
      </c>
      <c r="G13" s="173">
        <v>876</v>
      </c>
    </row>
    <row r="14" spans="1:7" x14ac:dyDescent="0.25">
      <c r="A14" s="158" t="s">
        <v>136</v>
      </c>
      <c r="B14" s="173">
        <v>321</v>
      </c>
      <c r="C14" s="173">
        <v>120</v>
      </c>
      <c r="D14" s="173">
        <v>972</v>
      </c>
      <c r="E14" s="173">
        <v>103</v>
      </c>
      <c r="F14" s="173">
        <v>73</v>
      </c>
      <c r="G14" s="173">
        <v>1589</v>
      </c>
    </row>
    <row r="15" spans="1:7" x14ac:dyDescent="0.25">
      <c r="A15" s="183" t="s">
        <v>25</v>
      </c>
      <c r="B15" s="184">
        <v>6662</v>
      </c>
      <c r="C15" s="184">
        <v>3217</v>
      </c>
      <c r="D15" s="184">
        <v>24104</v>
      </c>
      <c r="E15" s="184">
        <v>2630</v>
      </c>
      <c r="F15" s="184">
        <v>1936</v>
      </c>
      <c r="G15" s="184">
        <v>38549</v>
      </c>
    </row>
    <row r="16" spans="1:7" x14ac:dyDescent="0.25">
      <c r="A16" s="157"/>
      <c r="B16" s="157"/>
      <c r="C16" s="157"/>
      <c r="D16" s="157"/>
      <c r="E16" s="157"/>
      <c r="F16" s="157"/>
      <c r="G16" s="157"/>
    </row>
    <row r="17" spans="1:7" x14ac:dyDescent="0.25">
      <c r="A17" s="157"/>
      <c r="B17" s="157"/>
      <c r="C17" s="157"/>
      <c r="D17" s="157"/>
      <c r="E17" s="157"/>
      <c r="F17" s="157"/>
      <c r="G17" s="157"/>
    </row>
    <row r="18" spans="1:7" x14ac:dyDescent="0.25">
      <c r="A18" s="157"/>
      <c r="B18" s="157"/>
      <c r="C18" s="157"/>
      <c r="D18" s="157"/>
    </row>
    <row r="19" spans="1:7" x14ac:dyDescent="0.25">
      <c r="A19" s="186" t="s">
        <v>506</v>
      </c>
    </row>
    <row r="20" spans="1:7" x14ac:dyDescent="0.25">
      <c r="A20" s="90"/>
      <c r="B20" s="475" t="s">
        <v>487</v>
      </c>
      <c r="C20" s="475"/>
      <c r="D20" s="475"/>
      <c r="E20" s="475"/>
      <c r="F20" s="475"/>
      <c r="G20" s="91"/>
    </row>
    <row r="21" spans="1:7" x14ac:dyDescent="0.25">
      <c r="A21" s="159" t="s">
        <v>532</v>
      </c>
      <c r="B21" s="160" t="s">
        <v>127</v>
      </c>
      <c r="C21" s="160" t="s">
        <v>128</v>
      </c>
      <c r="D21" s="160" t="s">
        <v>129</v>
      </c>
      <c r="E21" s="160" t="s">
        <v>11</v>
      </c>
      <c r="F21" s="160" t="s">
        <v>130</v>
      </c>
      <c r="G21" s="160" t="s">
        <v>25</v>
      </c>
    </row>
    <row r="22" spans="1:7" x14ac:dyDescent="0.25">
      <c r="A22" s="156" t="s">
        <v>139</v>
      </c>
      <c r="B22" s="182">
        <v>7570</v>
      </c>
      <c r="C22" s="182">
        <v>2615</v>
      </c>
      <c r="D22" s="182">
        <v>27432</v>
      </c>
      <c r="E22" s="182">
        <v>2782</v>
      </c>
      <c r="F22" s="182">
        <v>1460</v>
      </c>
      <c r="G22" s="182">
        <v>41859</v>
      </c>
    </row>
    <row r="23" spans="1:7" x14ac:dyDescent="0.25">
      <c r="A23" s="136" t="s">
        <v>140</v>
      </c>
      <c r="B23" s="137">
        <v>3138</v>
      </c>
      <c r="C23" s="137">
        <v>877</v>
      </c>
      <c r="D23" s="137">
        <v>9397</v>
      </c>
      <c r="E23" s="137">
        <v>832</v>
      </c>
      <c r="F23" s="137">
        <v>426</v>
      </c>
      <c r="G23" s="137">
        <v>14670</v>
      </c>
    </row>
    <row r="24" spans="1:7" x14ac:dyDescent="0.25">
      <c r="A24" s="136" t="s">
        <v>141</v>
      </c>
      <c r="B24" s="137">
        <v>80</v>
      </c>
      <c r="C24" s="137">
        <v>19</v>
      </c>
      <c r="D24" s="137">
        <v>272</v>
      </c>
      <c r="E24" s="137">
        <v>32</v>
      </c>
      <c r="F24" s="137">
        <v>11</v>
      </c>
      <c r="G24" s="137">
        <v>414</v>
      </c>
    </row>
    <row r="25" spans="1:7" x14ac:dyDescent="0.25">
      <c r="A25" s="136" t="s">
        <v>142</v>
      </c>
      <c r="B25" s="137">
        <v>222</v>
      </c>
      <c r="C25" s="137">
        <v>59</v>
      </c>
      <c r="D25" s="137">
        <v>761</v>
      </c>
      <c r="E25" s="137">
        <v>89</v>
      </c>
      <c r="F25" s="137">
        <v>34</v>
      </c>
      <c r="G25" s="137">
        <v>1165</v>
      </c>
    </row>
    <row r="26" spans="1:7" x14ac:dyDescent="0.25">
      <c r="A26" s="136" t="s">
        <v>143</v>
      </c>
      <c r="B26" s="137">
        <v>15</v>
      </c>
      <c r="C26" s="137">
        <v>1</v>
      </c>
      <c r="D26" s="137">
        <v>19</v>
      </c>
      <c r="E26" s="137">
        <v>1</v>
      </c>
      <c r="F26" s="137">
        <v>1</v>
      </c>
      <c r="G26" s="137">
        <v>37</v>
      </c>
    </row>
    <row r="27" spans="1:7" ht="30" x14ac:dyDescent="0.25">
      <c r="A27" s="136" t="s">
        <v>144</v>
      </c>
      <c r="B27" s="137">
        <v>179</v>
      </c>
      <c r="C27" s="137">
        <v>36</v>
      </c>
      <c r="D27" s="137">
        <v>417</v>
      </c>
      <c r="E27" s="137">
        <v>33</v>
      </c>
      <c r="F27" s="137">
        <v>15</v>
      </c>
      <c r="G27" s="137">
        <v>680</v>
      </c>
    </row>
    <row r="28" spans="1:7" x14ac:dyDescent="0.25">
      <c r="A28" s="136" t="s">
        <v>145</v>
      </c>
      <c r="B28" s="137">
        <v>23</v>
      </c>
      <c r="C28" s="137">
        <v>8</v>
      </c>
      <c r="D28" s="137">
        <v>55</v>
      </c>
      <c r="E28" s="137">
        <v>8</v>
      </c>
      <c r="F28" s="137">
        <v>4</v>
      </c>
      <c r="G28" s="137">
        <v>98</v>
      </c>
    </row>
    <row r="29" spans="1:7" x14ac:dyDescent="0.25">
      <c r="A29" s="136" t="s">
        <v>146</v>
      </c>
      <c r="B29" s="137">
        <v>378</v>
      </c>
      <c r="C29" s="137">
        <v>161</v>
      </c>
      <c r="D29" s="137">
        <v>1187</v>
      </c>
      <c r="E29" s="137">
        <v>102</v>
      </c>
      <c r="F29" s="137">
        <v>57</v>
      </c>
      <c r="G29" s="137">
        <v>1885</v>
      </c>
    </row>
    <row r="30" spans="1:7" x14ac:dyDescent="0.25">
      <c r="A30" s="155" t="s">
        <v>147</v>
      </c>
      <c r="B30" s="181">
        <v>838</v>
      </c>
      <c r="C30" s="181">
        <v>316</v>
      </c>
      <c r="D30" s="181">
        <v>2693</v>
      </c>
      <c r="E30" s="181">
        <v>243</v>
      </c>
      <c r="F30" s="181">
        <v>133</v>
      </c>
      <c r="G30" s="181">
        <v>4223</v>
      </c>
    </row>
    <row r="31" spans="1:7" x14ac:dyDescent="0.25">
      <c r="A31" s="183" t="s">
        <v>25</v>
      </c>
      <c r="B31" s="184">
        <v>12443</v>
      </c>
      <c r="C31" s="184">
        <v>4092</v>
      </c>
      <c r="D31" s="184">
        <v>42233</v>
      </c>
      <c r="E31" s="184">
        <v>4122</v>
      </c>
      <c r="F31" s="184">
        <v>2141</v>
      </c>
      <c r="G31" s="184">
        <v>65031</v>
      </c>
    </row>
    <row r="32" spans="1:7" x14ac:dyDescent="0.25">
      <c r="A32" s="157"/>
      <c r="B32" s="157"/>
      <c r="C32" s="157"/>
      <c r="D32" s="157"/>
      <c r="E32" s="157"/>
      <c r="F32" s="157"/>
      <c r="G32" s="157"/>
    </row>
    <row r="33" spans="1:7" x14ac:dyDescent="0.25">
      <c r="A33" s="157"/>
      <c r="B33" s="157"/>
      <c r="C33" s="157"/>
      <c r="D33" s="157"/>
    </row>
    <row r="34" spans="1:7" x14ac:dyDescent="0.25">
      <c r="A34" s="186" t="s">
        <v>507</v>
      </c>
    </row>
    <row r="35" spans="1:7" x14ac:dyDescent="0.25">
      <c r="A35" s="157"/>
      <c r="B35" s="475" t="s">
        <v>487</v>
      </c>
      <c r="C35" s="475"/>
      <c r="D35" s="475"/>
      <c r="E35" s="475"/>
      <c r="F35" s="475"/>
      <c r="G35" s="91"/>
    </row>
    <row r="36" spans="1:7" x14ac:dyDescent="0.25">
      <c r="A36" s="159" t="s">
        <v>532</v>
      </c>
      <c r="B36" s="160" t="s">
        <v>127</v>
      </c>
      <c r="C36" s="160" t="s">
        <v>128</v>
      </c>
      <c r="D36" s="160" t="s">
        <v>129</v>
      </c>
      <c r="E36" s="160" t="s">
        <v>11</v>
      </c>
      <c r="F36" s="160" t="s">
        <v>130</v>
      </c>
      <c r="G36" s="160" t="s">
        <v>25</v>
      </c>
    </row>
    <row r="37" spans="1:7" x14ac:dyDescent="0.25">
      <c r="A37" s="136" t="s">
        <v>148</v>
      </c>
      <c r="B37" s="137">
        <v>239</v>
      </c>
      <c r="C37" s="137">
        <v>67</v>
      </c>
      <c r="D37" s="137">
        <v>612</v>
      </c>
      <c r="E37" s="137">
        <v>17</v>
      </c>
      <c r="F37" s="137">
        <v>27</v>
      </c>
      <c r="G37" s="137">
        <v>962</v>
      </c>
    </row>
    <row r="38" spans="1:7" x14ac:dyDescent="0.25">
      <c r="A38" s="136" t="s">
        <v>149</v>
      </c>
      <c r="B38" s="137">
        <v>458</v>
      </c>
      <c r="C38" s="137">
        <v>158</v>
      </c>
      <c r="D38" s="137">
        <v>1668</v>
      </c>
      <c r="E38" s="137">
        <v>148</v>
      </c>
      <c r="F38" s="137">
        <v>92</v>
      </c>
      <c r="G38" s="137">
        <v>2524</v>
      </c>
    </row>
    <row r="39" spans="1:7" x14ac:dyDescent="0.25">
      <c r="A39" s="136" t="s">
        <v>490</v>
      </c>
      <c r="B39" s="137">
        <v>525</v>
      </c>
      <c r="C39" s="137">
        <v>152</v>
      </c>
      <c r="D39" s="137">
        <v>1396</v>
      </c>
      <c r="E39" s="137">
        <v>115</v>
      </c>
      <c r="F39" s="137">
        <v>58</v>
      </c>
      <c r="G39" s="137">
        <v>2246</v>
      </c>
    </row>
    <row r="40" spans="1:7" x14ac:dyDescent="0.25">
      <c r="A40" s="136" t="s">
        <v>150</v>
      </c>
      <c r="B40" s="137">
        <v>3599</v>
      </c>
      <c r="C40" s="137">
        <v>1258</v>
      </c>
      <c r="D40" s="137">
        <v>13406</v>
      </c>
      <c r="E40" s="137">
        <v>1276</v>
      </c>
      <c r="F40" s="137">
        <v>790</v>
      </c>
      <c r="G40" s="137">
        <v>20329</v>
      </c>
    </row>
    <row r="41" spans="1:7" ht="30" x14ac:dyDescent="0.25">
      <c r="A41" s="136" t="s">
        <v>151</v>
      </c>
      <c r="B41" s="137">
        <v>291</v>
      </c>
      <c r="C41" s="137">
        <v>140</v>
      </c>
      <c r="D41" s="137">
        <v>859</v>
      </c>
      <c r="E41" s="137">
        <v>62</v>
      </c>
      <c r="F41" s="137">
        <v>47</v>
      </c>
      <c r="G41" s="137">
        <v>1399</v>
      </c>
    </row>
    <row r="42" spans="1:7" x14ac:dyDescent="0.25">
      <c r="A42" s="136" t="s">
        <v>152</v>
      </c>
      <c r="B42" s="137">
        <v>250</v>
      </c>
      <c r="C42" s="137">
        <v>88</v>
      </c>
      <c r="D42" s="137">
        <v>756</v>
      </c>
      <c r="E42" s="137">
        <v>47</v>
      </c>
      <c r="F42" s="137">
        <v>28</v>
      </c>
      <c r="G42" s="137">
        <v>1169</v>
      </c>
    </row>
    <row r="43" spans="1:7" x14ac:dyDescent="0.25">
      <c r="A43" s="136" t="s">
        <v>153</v>
      </c>
      <c r="B43" s="137">
        <v>373</v>
      </c>
      <c r="C43" s="137">
        <v>95</v>
      </c>
      <c r="D43" s="137">
        <v>1098</v>
      </c>
      <c r="E43" s="137">
        <v>68</v>
      </c>
      <c r="F43" s="137">
        <v>53</v>
      </c>
      <c r="G43" s="137">
        <v>1687</v>
      </c>
    </row>
    <row r="44" spans="1:7" x14ac:dyDescent="0.25">
      <c r="A44" s="136" t="s">
        <v>154</v>
      </c>
      <c r="B44" s="137">
        <v>274</v>
      </c>
      <c r="C44" s="137">
        <v>122</v>
      </c>
      <c r="D44" s="137">
        <v>1013</v>
      </c>
      <c r="E44" s="137">
        <v>90</v>
      </c>
      <c r="F44" s="137">
        <v>66</v>
      </c>
      <c r="G44" s="137">
        <v>1565</v>
      </c>
    </row>
    <row r="45" spans="1:7" x14ac:dyDescent="0.25">
      <c r="A45" s="155" t="s">
        <v>155</v>
      </c>
      <c r="B45" s="181">
        <v>1979</v>
      </c>
      <c r="C45" s="181">
        <v>642</v>
      </c>
      <c r="D45" s="181">
        <v>6424</v>
      </c>
      <c r="E45" s="181">
        <v>573</v>
      </c>
      <c r="F45" s="181">
        <v>287</v>
      </c>
      <c r="G45" s="181">
        <v>9905</v>
      </c>
    </row>
    <row r="46" spans="1:7" x14ac:dyDescent="0.25">
      <c r="A46" s="183" t="s">
        <v>25</v>
      </c>
      <c r="B46" s="184">
        <v>7988</v>
      </c>
      <c r="C46" s="184">
        <v>2722</v>
      </c>
      <c r="D46" s="184">
        <v>27232</v>
      </c>
      <c r="E46" s="184">
        <v>2396</v>
      </c>
      <c r="F46" s="184">
        <v>1448</v>
      </c>
      <c r="G46" s="184">
        <v>41786</v>
      </c>
    </row>
    <row r="47" spans="1:7" x14ac:dyDescent="0.25">
      <c r="A47" s="157"/>
      <c r="B47" s="189"/>
      <c r="C47" s="189"/>
      <c r="D47" s="189"/>
      <c r="E47" s="189"/>
      <c r="F47" s="189"/>
      <c r="G47" s="189"/>
    </row>
    <row r="48" spans="1:7" x14ac:dyDescent="0.25">
      <c r="A48" s="157"/>
      <c r="B48" s="157"/>
      <c r="C48" s="157"/>
      <c r="D48" s="157"/>
    </row>
    <row r="49" spans="1:7" x14ac:dyDescent="0.25">
      <c r="A49" s="186" t="s">
        <v>508</v>
      </c>
    </row>
    <row r="50" spans="1:7" x14ac:dyDescent="0.25">
      <c r="A50" s="157"/>
      <c r="B50" s="475" t="s">
        <v>487</v>
      </c>
      <c r="C50" s="475"/>
      <c r="D50" s="475"/>
      <c r="E50" s="475"/>
      <c r="F50" s="475"/>
      <c r="G50" s="91"/>
    </row>
    <row r="51" spans="1:7" x14ac:dyDescent="0.25">
      <c r="A51" s="159" t="s">
        <v>532</v>
      </c>
      <c r="B51" s="160" t="s">
        <v>127</v>
      </c>
      <c r="C51" s="160" t="s">
        <v>128</v>
      </c>
      <c r="D51" s="160" t="s">
        <v>129</v>
      </c>
      <c r="E51" s="160" t="s">
        <v>11</v>
      </c>
      <c r="F51" s="160" t="s">
        <v>130</v>
      </c>
      <c r="G51" s="160" t="s">
        <v>25</v>
      </c>
    </row>
    <row r="52" spans="1:7" x14ac:dyDescent="0.25">
      <c r="A52" s="156" t="s">
        <v>156</v>
      </c>
      <c r="B52" s="182">
        <v>408</v>
      </c>
      <c r="C52" s="182">
        <v>130</v>
      </c>
      <c r="D52" s="182">
        <v>1422</v>
      </c>
      <c r="E52" s="182">
        <v>104</v>
      </c>
      <c r="F52" s="182">
        <v>67</v>
      </c>
      <c r="G52" s="182">
        <v>2131</v>
      </c>
    </row>
    <row r="53" spans="1:7" x14ac:dyDescent="0.25">
      <c r="A53" s="136" t="s">
        <v>157</v>
      </c>
      <c r="B53" s="137">
        <v>542</v>
      </c>
      <c r="C53" s="137">
        <v>135</v>
      </c>
      <c r="D53" s="137">
        <v>1032</v>
      </c>
      <c r="E53" s="137">
        <v>44</v>
      </c>
      <c r="F53" s="137">
        <v>61</v>
      </c>
      <c r="G53" s="137">
        <v>1814</v>
      </c>
    </row>
    <row r="54" spans="1:7" x14ac:dyDescent="0.25">
      <c r="A54" s="136" t="s">
        <v>158</v>
      </c>
      <c r="B54" s="137">
        <v>671</v>
      </c>
      <c r="C54" s="137">
        <v>182</v>
      </c>
      <c r="D54" s="137">
        <v>2043</v>
      </c>
      <c r="E54" s="137">
        <v>146</v>
      </c>
      <c r="F54" s="137">
        <v>90</v>
      </c>
      <c r="G54" s="137">
        <v>3132</v>
      </c>
    </row>
    <row r="55" spans="1:7" x14ac:dyDescent="0.25">
      <c r="A55" s="136" t="s">
        <v>159</v>
      </c>
      <c r="B55" s="137">
        <v>6548</v>
      </c>
      <c r="C55" s="137">
        <v>2215</v>
      </c>
      <c r="D55" s="137">
        <v>23107</v>
      </c>
      <c r="E55" s="137">
        <v>2367</v>
      </c>
      <c r="F55" s="137">
        <v>1325</v>
      </c>
      <c r="G55" s="137">
        <v>35562</v>
      </c>
    </row>
    <row r="56" spans="1:7" x14ac:dyDescent="0.25">
      <c r="A56" s="136" t="s">
        <v>160</v>
      </c>
      <c r="B56" s="137">
        <v>1376</v>
      </c>
      <c r="C56" s="137">
        <v>368</v>
      </c>
      <c r="D56" s="137">
        <v>4048</v>
      </c>
      <c r="E56" s="137">
        <v>313</v>
      </c>
      <c r="F56" s="137">
        <v>219</v>
      </c>
      <c r="G56" s="137">
        <v>6324</v>
      </c>
    </row>
    <row r="57" spans="1:7" x14ac:dyDescent="0.25">
      <c r="A57" s="136" t="s">
        <v>161</v>
      </c>
      <c r="B57" s="137">
        <v>187</v>
      </c>
      <c r="C57" s="137">
        <v>53</v>
      </c>
      <c r="D57" s="137">
        <v>433</v>
      </c>
      <c r="E57" s="137">
        <v>26</v>
      </c>
      <c r="F57" s="137">
        <v>32</v>
      </c>
      <c r="G57" s="137">
        <v>731</v>
      </c>
    </row>
    <row r="58" spans="1:7" x14ac:dyDescent="0.25">
      <c r="A58" s="136" t="s">
        <v>162</v>
      </c>
      <c r="B58" s="137">
        <v>5671</v>
      </c>
      <c r="C58" s="137">
        <v>2073</v>
      </c>
      <c r="D58" s="137">
        <v>21508</v>
      </c>
      <c r="E58" s="137">
        <v>2219</v>
      </c>
      <c r="F58" s="137">
        <v>1263</v>
      </c>
      <c r="G58" s="137">
        <v>32734</v>
      </c>
    </row>
    <row r="59" spans="1:7" x14ac:dyDescent="0.25">
      <c r="A59" s="136" t="s">
        <v>163</v>
      </c>
      <c r="B59" s="137">
        <v>826</v>
      </c>
      <c r="C59" s="137">
        <v>229</v>
      </c>
      <c r="D59" s="137">
        <v>2497</v>
      </c>
      <c r="E59" s="137">
        <v>169</v>
      </c>
      <c r="F59" s="137">
        <v>128</v>
      </c>
      <c r="G59" s="137">
        <v>3849</v>
      </c>
    </row>
    <row r="60" spans="1:7" x14ac:dyDescent="0.25">
      <c r="A60" s="136" t="s">
        <v>164</v>
      </c>
      <c r="B60" s="137">
        <v>1123</v>
      </c>
      <c r="C60" s="137">
        <v>382</v>
      </c>
      <c r="D60" s="137">
        <v>3237</v>
      </c>
      <c r="E60" s="137">
        <v>145</v>
      </c>
      <c r="F60" s="137">
        <v>224</v>
      </c>
      <c r="G60" s="137">
        <v>5111</v>
      </c>
    </row>
    <row r="61" spans="1:7" x14ac:dyDescent="0.25">
      <c r="A61" s="136" t="s">
        <v>165</v>
      </c>
      <c r="B61" s="137">
        <v>4359</v>
      </c>
      <c r="C61" s="137">
        <v>1294</v>
      </c>
      <c r="D61" s="137">
        <v>12231</v>
      </c>
      <c r="E61" s="137">
        <v>921</v>
      </c>
      <c r="F61" s="137">
        <v>691</v>
      </c>
      <c r="G61" s="137">
        <v>19496</v>
      </c>
    </row>
    <row r="62" spans="1:7" x14ac:dyDescent="0.25">
      <c r="A62" s="136" t="s">
        <v>166</v>
      </c>
      <c r="B62" s="137">
        <v>146</v>
      </c>
      <c r="C62" s="137">
        <v>40</v>
      </c>
      <c r="D62" s="137">
        <v>577</v>
      </c>
      <c r="E62" s="137">
        <v>51</v>
      </c>
      <c r="F62" s="137">
        <v>23</v>
      </c>
      <c r="G62" s="137">
        <v>837</v>
      </c>
    </row>
    <row r="63" spans="1:7" x14ac:dyDescent="0.25">
      <c r="A63" s="136" t="s">
        <v>167</v>
      </c>
      <c r="B63" s="137">
        <v>451</v>
      </c>
      <c r="C63" s="137">
        <v>185</v>
      </c>
      <c r="D63" s="137">
        <v>1254</v>
      </c>
      <c r="E63" s="137">
        <v>54</v>
      </c>
      <c r="F63" s="137">
        <v>80</v>
      </c>
      <c r="G63" s="137">
        <v>2024</v>
      </c>
    </row>
    <row r="64" spans="1:7" x14ac:dyDescent="0.25">
      <c r="A64" s="136" t="s">
        <v>168</v>
      </c>
      <c r="B64" s="137">
        <v>279</v>
      </c>
      <c r="C64" s="137">
        <v>54</v>
      </c>
      <c r="D64" s="137">
        <v>547</v>
      </c>
      <c r="E64" s="137">
        <v>23</v>
      </c>
      <c r="F64" s="137">
        <v>24</v>
      </c>
      <c r="G64" s="137">
        <v>927</v>
      </c>
    </row>
    <row r="65" spans="1:7" x14ac:dyDescent="0.25">
      <c r="A65" s="155" t="s">
        <v>169</v>
      </c>
      <c r="B65" s="181">
        <v>1206</v>
      </c>
      <c r="C65" s="181">
        <v>332</v>
      </c>
      <c r="D65" s="181">
        <v>3347</v>
      </c>
      <c r="E65" s="181">
        <v>179</v>
      </c>
      <c r="F65" s="181">
        <v>148</v>
      </c>
      <c r="G65" s="181">
        <v>5212</v>
      </c>
    </row>
    <row r="66" spans="1:7" x14ac:dyDescent="0.25">
      <c r="A66" s="158" t="s">
        <v>491</v>
      </c>
      <c r="B66" s="173">
        <v>724</v>
      </c>
      <c r="C66" s="173">
        <v>272</v>
      </c>
      <c r="D66" s="173">
        <v>3293</v>
      </c>
      <c r="E66" s="173">
        <v>245</v>
      </c>
      <c r="F66" s="173">
        <v>201</v>
      </c>
      <c r="G66" s="173">
        <v>4735</v>
      </c>
    </row>
    <row r="67" spans="1:7" x14ac:dyDescent="0.25">
      <c r="A67" s="183" t="s">
        <v>25</v>
      </c>
      <c r="B67" s="184">
        <v>24517</v>
      </c>
      <c r="C67" s="184">
        <v>7944</v>
      </c>
      <c r="D67" s="184">
        <v>80576</v>
      </c>
      <c r="E67" s="184">
        <v>7006</v>
      </c>
      <c r="F67" s="184">
        <v>4576</v>
      </c>
      <c r="G67" s="184">
        <v>124619</v>
      </c>
    </row>
    <row r="68" spans="1:7" x14ac:dyDescent="0.25">
      <c r="A68" s="157"/>
      <c r="B68" s="189"/>
      <c r="C68" s="189"/>
      <c r="D68" s="189"/>
      <c r="E68" s="189"/>
      <c r="F68" s="189"/>
      <c r="G68" s="189"/>
    </row>
    <row r="69" spans="1:7" x14ac:dyDescent="0.25">
      <c r="A69" s="157"/>
      <c r="B69" s="189"/>
      <c r="C69" s="189"/>
      <c r="D69" s="189"/>
      <c r="E69" s="189"/>
      <c r="F69" s="189"/>
      <c r="G69" s="189"/>
    </row>
    <row r="70" spans="1:7" x14ac:dyDescent="0.25">
      <c r="A70" s="157"/>
      <c r="B70" s="157"/>
      <c r="C70" s="157"/>
      <c r="D70" s="157"/>
    </row>
    <row r="71" spans="1:7" x14ac:dyDescent="0.25">
      <c r="A71" s="187" t="s">
        <v>509</v>
      </c>
    </row>
    <row r="72" spans="1:7" x14ac:dyDescent="0.25">
      <c r="A72" s="157"/>
      <c r="B72" s="475" t="s">
        <v>487</v>
      </c>
      <c r="C72" s="475"/>
      <c r="D72" s="475"/>
      <c r="E72" s="475"/>
      <c r="F72" s="475"/>
      <c r="G72" s="91"/>
    </row>
    <row r="73" spans="1:7" x14ac:dyDescent="0.25">
      <c r="A73" s="159" t="s">
        <v>532</v>
      </c>
      <c r="B73" s="160" t="s">
        <v>127</v>
      </c>
      <c r="C73" s="160" t="s">
        <v>128</v>
      </c>
      <c r="D73" s="160" t="s">
        <v>129</v>
      </c>
      <c r="E73" s="160" t="s">
        <v>11</v>
      </c>
      <c r="F73" s="160" t="s">
        <v>130</v>
      </c>
      <c r="G73" s="160" t="s">
        <v>25</v>
      </c>
    </row>
    <row r="74" spans="1:7" x14ac:dyDescent="0.25">
      <c r="A74" s="136" t="s">
        <v>170</v>
      </c>
      <c r="B74" s="137">
        <v>660</v>
      </c>
      <c r="C74" s="137">
        <v>120</v>
      </c>
      <c r="D74" s="137">
        <v>1917</v>
      </c>
      <c r="E74" s="137">
        <v>161</v>
      </c>
      <c r="F74" s="137">
        <v>72</v>
      </c>
      <c r="G74" s="137">
        <v>2930</v>
      </c>
    </row>
    <row r="75" spans="1:7" x14ac:dyDescent="0.25">
      <c r="A75" s="136" t="s">
        <v>171</v>
      </c>
      <c r="B75" s="137">
        <v>796</v>
      </c>
      <c r="C75" s="137">
        <v>335</v>
      </c>
      <c r="D75" s="137">
        <v>2468</v>
      </c>
      <c r="E75" s="137">
        <v>162</v>
      </c>
      <c r="F75" s="137">
        <v>140</v>
      </c>
      <c r="G75" s="137">
        <v>3901</v>
      </c>
    </row>
    <row r="76" spans="1:7" x14ac:dyDescent="0.25">
      <c r="A76" s="136" t="s">
        <v>172</v>
      </c>
      <c r="B76" s="137">
        <v>293</v>
      </c>
      <c r="C76" s="137">
        <v>100</v>
      </c>
      <c r="D76" s="137">
        <v>1394</v>
      </c>
      <c r="E76" s="137">
        <v>128</v>
      </c>
      <c r="F76" s="137">
        <v>89</v>
      </c>
      <c r="G76" s="137">
        <v>2004</v>
      </c>
    </row>
    <row r="77" spans="1:7" x14ac:dyDescent="0.25">
      <c r="A77" s="136" t="s">
        <v>173</v>
      </c>
      <c r="B77" s="137">
        <v>1179</v>
      </c>
      <c r="C77" s="137">
        <v>323</v>
      </c>
      <c r="D77" s="137">
        <v>3039</v>
      </c>
      <c r="E77" s="137">
        <v>262</v>
      </c>
      <c r="F77" s="137">
        <v>231</v>
      </c>
      <c r="G77" s="137">
        <v>5034</v>
      </c>
    </row>
    <row r="78" spans="1:7" x14ac:dyDescent="0.25">
      <c r="A78" s="136" t="s">
        <v>174</v>
      </c>
      <c r="B78" s="137">
        <v>946</v>
      </c>
      <c r="C78" s="137">
        <v>244</v>
      </c>
      <c r="D78" s="137">
        <v>2931</v>
      </c>
      <c r="E78" s="137">
        <v>262</v>
      </c>
      <c r="F78" s="137">
        <v>138</v>
      </c>
      <c r="G78" s="137">
        <v>4521</v>
      </c>
    </row>
    <row r="79" spans="1:7" x14ac:dyDescent="0.25">
      <c r="A79" s="136" t="s">
        <v>175</v>
      </c>
      <c r="B79" s="137">
        <v>525</v>
      </c>
      <c r="C79" s="137">
        <v>163</v>
      </c>
      <c r="D79" s="137">
        <v>1783</v>
      </c>
      <c r="E79" s="137">
        <v>129</v>
      </c>
      <c r="F79" s="137">
        <v>76</v>
      </c>
      <c r="G79" s="137">
        <v>2676</v>
      </c>
    </row>
    <row r="80" spans="1:7" x14ac:dyDescent="0.25">
      <c r="A80" s="136" t="s">
        <v>176</v>
      </c>
      <c r="B80" s="137">
        <v>1130</v>
      </c>
      <c r="C80" s="137">
        <v>361</v>
      </c>
      <c r="D80" s="137">
        <v>3806</v>
      </c>
      <c r="E80" s="137">
        <v>399</v>
      </c>
      <c r="F80" s="137">
        <v>191</v>
      </c>
      <c r="G80" s="137">
        <v>5887</v>
      </c>
    </row>
    <row r="81" spans="1:7" x14ac:dyDescent="0.25">
      <c r="A81" s="136" t="s">
        <v>177</v>
      </c>
      <c r="B81" s="137">
        <v>792</v>
      </c>
      <c r="C81" s="137">
        <v>167</v>
      </c>
      <c r="D81" s="137">
        <v>2520</v>
      </c>
      <c r="E81" s="137">
        <v>293</v>
      </c>
      <c r="F81" s="137">
        <v>106</v>
      </c>
      <c r="G81" s="137">
        <v>3878</v>
      </c>
    </row>
    <row r="82" spans="1:7" x14ac:dyDescent="0.25">
      <c r="A82" s="136" t="s">
        <v>178</v>
      </c>
      <c r="B82" s="137">
        <v>679</v>
      </c>
      <c r="C82" s="137">
        <v>160</v>
      </c>
      <c r="D82" s="137">
        <v>2197</v>
      </c>
      <c r="E82" s="137">
        <v>238</v>
      </c>
      <c r="F82" s="137">
        <v>116</v>
      </c>
      <c r="G82" s="137">
        <v>3390</v>
      </c>
    </row>
    <row r="83" spans="1:7" x14ac:dyDescent="0.25">
      <c r="A83" s="136" t="s">
        <v>179</v>
      </c>
      <c r="B83" s="137">
        <v>784</v>
      </c>
      <c r="C83" s="137">
        <v>288</v>
      </c>
      <c r="D83" s="137">
        <v>1961</v>
      </c>
      <c r="E83" s="137">
        <v>122</v>
      </c>
      <c r="F83" s="137">
        <v>190</v>
      </c>
      <c r="G83" s="137">
        <v>3345</v>
      </c>
    </row>
    <row r="84" spans="1:7" x14ac:dyDescent="0.25">
      <c r="A84" s="136" t="s">
        <v>180</v>
      </c>
      <c r="B84" s="137">
        <v>139</v>
      </c>
      <c r="C84" s="137">
        <v>54</v>
      </c>
      <c r="D84" s="137">
        <v>412</v>
      </c>
      <c r="E84" s="137">
        <v>29</v>
      </c>
      <c r="F84" s="137">
        <v>34</v>
      </c>
      <c r="G84" s="137">
        <v>668</v>
      </c>
    </row>
    <row r="85" spans="1:7" x14ac:dyDescent="0.25">
      <c r="A85" s="136" t="s">
        <v>181</v>
      </c>
      <c r="B85" s="137">
        <v>45</v>
      </c>
      <c r="C85" s="137">
        <v>3</v>
      </c>
      <c r="D85" s="137">
        <v>87</v>
      </c>
      <c r="E85" s="137">
        <v>4</v>
      </c>
      <c r="F85" s="137">
        <v>2</v>
      </c>
      <c r="G85" s="137">
        <v>141</v>
      </c>
    </row>
    <row r="86" spans="1:7" x14ac:dyDescent="0.25">
      <c r="A86" s="136" t="s">
        <v>182</v>
      </c>
      <c r="B86" s="137">
        <v>2122</v>
      </c>
      <c r="C86" s="137">
        <v>739</v>
      </c>
      <c r="D86" s="137">
        <v>6698</v>
      </c>
      <c r="E86" s="137">
        <v>630</v>
      </c>
      <c r="F86" s="137">
        <v>465</v>
      </c>
      <c r="G86" s="137">
        <v>10654</v>
      </c>
    </row>
    <row r="87" spans="1:7" x14ac:dyDescent="0.25">
      <c r="A87" s="136" t="s">
        <v>183</v>
      </c>
      <c r="B87" s="137">
        <v>465</v>
      </c>
      <c r="C87" s="137">
        <v>144</v>
      </c>
      <c r="D87" s="137">
        <v>1776</v>
      </c>
      <c r="E87" s="137">
        <v>149</v>
      </c>
      <c r="F87" s="137">
        <v>125</v>
      </c>
      <c r="G87" s="137">
        <v>2659</v>
      </c>
    </row>
    <row r="88" spans="1:7" x14ac:dyDescent="0.25">
      <c r="A88" s="136" t="s">
        <v>184</v>
      </c>
      <c r="B88" s="137">
        <v>1716</v>
      </c>
      <c r="C88" s="137">
        <v>540</v>
      </c>
      <c r="D88" s="137">
        <v>4385</v>
      </c>
      <c r="E88" s="137">
        <v>300</v>
      </c>
      <c r="F88" s="137">
        <v>281</v>
      </c>
      <c r="G88" s="137">
        <v>7222</v>
      </c>
    </row>
    <row r="89" spans="1:7" x14ac:dyDescent="0.25">
      <c r="A89" s="136" t="s">
        <v>185</v>
      </c>
      <c r="B89" s="137">
        <v>1607</v>
      </c>
      <c r="C89" s="137">
        <v>569</v>
      </c>
      <c r="D89" s="137">
        <v>5841</v>
      </c>
      <c r="E89" s="137">
        <v>544</v>
      </c>
      <c r="F89" s="137">
        <v>355</v>
      </c>
      <c r="G89" s="137">
        <v>8916</v>
      </c>
    </row>
    <row r="90" spans="1:7" x14ac:dyDescent="0.25">
      <c r="A90" s="136" t="s">
        <v>186</v>
      </c>
      <c r="B90" s="137">
        <v>792</v>
      </c>
      <c r="C90" s="137">
        <v>255</v>
      </c>
      <c r="D90" s="137">
        <v>3218</v>
      </c>
      <c r="E90" s="137">
        <v>289</v>
      </c>
      <c r="F90" s="137">
        <v>190</v>
      </c>
      <c r="G90" s="137">
        <v>4744</v>
      </c>
    </row>
    <row r="91" spans="1:7" x14ac:dyDescent="0.25">
      <c r="A91" s="136" t="s">
        <v>187</v>
      </c>
      <c r="B91" s="137">
        <v>1798</v>
      </c>
      <c r="C91" s="137">
        <v>526</v>
      </c>
      <c r="D91" s="137">
        <v>7944</v>
      </c>
      <c r="E91" s="137">
        <v>818</v>
      </c>
      <c r="F91" s="137">
        <v>471</v>
      </c>
      <c r="G91" s="137">
        <v>11557</v>
      </c>
    </row>
    <row r="92" spans="1:7" x14ac:dyDescent="0.25">
      <c r="A92" s="136" t="s">
        <v>188</v>
      </c>
      <c r="B92" s="137">
        <v>838</v>
      </c>
      <c r="C92" s="137">
        <v>290</v>
      </c>
      <c r="D92" s="137">
        <v>2804</v>
      </c>
      <c r="E92" s="137">
        <v>193</v>
      </c>
      <c r="F92" s="137">
        <v>175</v>
      </c>
      <c r="G92" s="137">
        <v>4300</v>
      </c>
    </row>
    <row r="93" spans="1:7" x14ac:dyDescent="0.25">
      <c r="A93" s="136" t="s">
        <v>189</v>
      </c>
      <c r="B93" s="137">
        <v>701</v>
      </c>
      <c r="C93" s="137">
        <v>252</v>
      </c>
      <c r="D93" s="137">
        <v>2114</v>
      </c>
      <c r="E93" s="137">
        <v>185</v>
      </c>
      <c r="F93" s="137">
        <v>147</v>
      </c>
      <c r="G93" s="137">
        <v>3399</v>
      </c>
    </row>
    <row r="94" spans="1:7" x14ac:dyDescent="0.25">
      <c r="A94" s="136" t="s">
        <v>190</v>
      </c>
      <c r="B94" s="137">
        <v>182</v>
      </c>
      <c r="C94" s="137">
        <v>72</v>
      </c>
      <c r="D94" s="137">
        <v>858</v>
      </c>
      <c r="E94" s="137">
        <v>81</v>
      </c>
      <c r="F94" s="137">
        <v>60</v>
      </c>
      <c r="G94" s="137">
        <v>1253</v>
      </c>
    </row>
    <row r="95" spans="1:7" x14ac:dyDescent="0.25">
      <c r="A95" s="136" t="s">
        <v>191</v>
      </c>
      <c r="B95" s="137">
        <v>239</v>
      </c>
      <c r="C95" s="137">
        <v>75</v>
      </c>
      <c r="D95" s="137">
        <v>650</v>
      </c>
      <c r="E95" s="137">
        <v>61</v>
      </c>
      <c r="F95" s="137">
        <v>43</v>
      </c>
      <c r="G95" s="137">
        <v>1068</v>
      </c>
    </row>
    <row r="96" spans="1:7" x14ac:dyDescent="0.25">
      <c r="A96" s="136" t="s">
        <v>192</v>
      </c>
      <c r="B96" s="137">
        <v>358</v>
      </c>
      <c r="C96" s="137">
        <v>139</v>
      </c>
      <c r="D96" s="137">
        <v>1244</v>
      </c>
      <c r="E96" s="137">
        <v>83</v>
      </c>
      <c r="F96" s="137">
        <v>66</v>
      </c>
      <c r="G96" s="137">
        <v>1890</v>
      </c>
    </row>
    <row r="97" spans="1:7" x14ac:dyDescent="0.25">
      <c r="A97" s="136" t="s">
        <v>193</v>
      </c>
      <c r="B97" s="137">
        <v>793</v>
      </c>
      <c r="C97" s="137">
        <v>172</v>
      </c>
      <c r="D97" s="137">
        <v>2314</v>
      </c>
      <c r="E97" s="137">
        <v>187</v>
      </c>
      <c r="F97" s="137">
        <v>102</v>
      </c>
      <c r="G97" s="137">
        <v>3568</v>
      </c>
    </row>
    <row r="98" spans="1:7" x14ac:dyDescent="0.25">
      <c r="A98" s="136" t="s">
        <v>194</v>
      </c>
      <c r="B98" s="137">
        <v>557</v>
      </c>
      <c r="C98" s="137">
        <v>280</v>
      </c>
      <c r="D98" s="137">
        <v>2196</v>
      </c>
      <c r="E98" s="137">
        <v>148</v>
      </c>
      <c r="F98" s="137">
        <v>147</v>
      </c>
      <c r="G98" s="137">
        <v>3328</v>
      </c>
    </row>
    <row r="99" spans="1:7" x14ac:dyDescent="0.25">
      <c r="A99" s="136" t="s">
        <v>195</v>
      </c>
      <c r="B99" s="137">
        <v>3017</v>
      </c>
      <c r="C99" s="137">
        <v>986</v>
      </c>
      <c r="D99" s="137">
        <v>11383</v>
      </c>
      <c r="E99" s="137">
        <v>1074</v>
      </c>
      <c r="F99" s="137">
        <v>671</v>
      </c>
      <c r="G99" s="137">
        <v>17131</v>
      </c>
    </row>
    <row r="100" spans="1:7" x14ac:dyDescent="0.25">
      <c r="A100" s="136" t="s">
        <v>196</v>
      </c>
      <c r="B100" s="137">
        <v>5180</v>
      </c>
      <c r="C100" s="137">
        <v>1571</v>
      </c>
      <c r="D100" s="137">
        <v>18076</v>
      </c>
      <c r="E100" s="137">
        <v>1991</v>
      </c>
      <c r="F100" s="137">
        <v>971</v>
      </c>
      <c r="G100" s="137">
        <v>27789</v>
      </c>
    </row>
    <row r="101" spans="1:7" x14ac:dyDescent="0.25">
      <c r="A101" s="136" t="s">
        <v>197</v>
      </c>
      <c r="B101" s="137">
        <v>1128</v>
      </c>
      <c r="C101" s="137">
        <v>390</v>
      </c>
      <c r="D101" s="137">
        <v>3537</v>
      </c>
      <c r="E101" s="137">
        <v>394</v>
      </c>
      <c r="F101" s="137">
        <v>216</v>
      </c>
      <c r="G101" s="137">
        <v>5665</v>
      </c>
    </row>
    <row r="102" spans="1:7" x14ac:dyDescent="0.25">
      <c r="A102" s="136" t="s">
        <v>198</v>
      </c>
      <c r="B102" s="137">
        <v>214</v>
      </c>
      <c r="C102" s="137">
        <v>74</v>
      </c>
      <c r="D102" s="137">
        <v>1028</v>
      </c>
      <c r="E102" s="137">
        <v>73</v>
      </c>
      <c r="F102" s="137">
        <v>74</v>
      </c>
      <c r="G102" s="137">
        <v>1463</v>
      </c>
    </row>
    <row r="103" spans="1:7" x14ac:dyDescent="0.25">
      <c r="A103" s="136" t="s">
        <v>199</v>
      </c>
      <c r="B103" s="137">
        <v>3383</v>
      </c>
      <c r="C103" s="137">
        <v>1314</v>
      </c>
      <c r="D103" s="137">
        <v>11545</v>
      </c>
      <c r="E103" s="137">
        <v>965</v>
      </c>
      <c r="F103" s="137">
        <v>877</v>
      </c>
      <c r="G103" s="137">
        <v>18084</v>
      </c>
    </row>
    <row r="104" spans="1:7" x14ac:dyDescent="0.25">
      <c r="A104" s="136" t="s">
        <v>200</v>
      </c>
      <c r="B104" s="137">
        <v>460</v>
      </c>
      <c r="C104" s="137">
        <v>148</v>
      </c>
      <c r="D104" s="137">
        <v>2016</v>
      </c>
      <c r="E104" s="137">
        <v>156</v>
      </c>
      <c r="F104" s="137">
        <v>117</v>
      </c>
      <c r="G104" s="137">
        <v>2897</v>
      </c>
    </row>
    <row r="105" spans="1:7" x14ac:dyDescent="0.25">
      <c r="A105" s="136" t="s">
        <v>201</v>
      </c>
      <c r="B105" s="137">
        <v>1829</v>
      </c>
      <c r="C105" s="137">
        <v>681</v>
      </c>
      <c r="D105" s="137">
        <v>9279</v>
      </c>
      <c r="E105" s="137">
        <v>985</v>
      </c>
      <c r="F105" s="137">
        <v>644</v>
      </c>
      <c r="G105" s="137">
        <v>13418</v>
      </c>
    </row>
    <row r="106" spans="1:7" x14ac:dyDescent="0.25">
      <c r="A106" s="136" t="s">
        <v>202</v>
      </c>
      <c r="B106" s="137">
        <v>352</v>
      </c>
      <c r="C106" s="137">
        <v>133</v>
      </c>
      <c r="D106" s="137">
        <v>1870</v>
      </c>
      <c r="E106" s="137">
        <v>156</v>
      </c>
      <c r="F106" s="137">
        <v>92</v>
      </c>
      <c r="G106" s="137">
        <v>2603</v>
      </c>
    </row>
    <row r="107" spans="1:7" x14ac:dyDescent="0.25">
      <c r="A107" s="136" t="s">
        <v>203</v>
      </c>
      <c r="B107" s="137">
        <v>376</v>
      </c>
      <c r="C107" s="137">
        <v>62</v>
      </c>
      <c r="D107" s="137">
        <v>1124</v>
      </c>
      <c r="E107" s="137">
        <v>82</v>
      </c>
      <c r="F107" s="137">
        <v>51</v>
      </c>
      <c r="G107" s="137">
        <v>1695</v>
      </c>
    </row>
    <row r="108" spans="1:7" x14ac:dyDescent="0.25">
      <c r="A108" s="136" t="s">
        <v>204</v>
      </c>
      <c r="B108" s="137">
        <v>10584</v>
      </c>
      <c r="C108" s="137">
        <v>4302</v>
      </c>
      <c r="D108" s="137">
        <v>36006</v>
      </c>
      <c r="E108" s="137">
        <v>3753</v>
      </c>
      <c r="F108" s="137">
        <v>2550</v>
      </c>
      <c r="G108" s="137">
        <v>57195</v>
      </c>
    </row>
    <row r="109" spans="1:7" x14ac:dyDescent="0.25">
      <c r="A109" s="136" t="s">
        <v>205</v>
      </c>
      <c r="B109" s="137">
        <v>3449</v>
      </c>
      <c r="C109" s="137">
        <v>1297</v>
      </c>
      <c r="D109" s="137">
        <v>12627</v>
      </c>
      <c r="E109" s="137">
        <v>1314</v>
      </c>
      <c r="F109" s="137">
        <v>771</v>
      </c>
      <c r="G109" s="137">
        <v>19458</v>
      </c>
    </row>
    <row r="110" spans="1:7" x14ac:dyDescent="0.25">
      <c r="A110" s="155" t="s">
        <v>492</v>
      </c>
      <c r="B110" s="181">
        <v>9670</v>
      </c>
      <c r="C110" s="181">
        <v>3034</v>
      </c>
      <c r="D110" s="181">
        <v>37684</v>
      </c>
      <c r="E110" s="181">
        <v>4154</v>
      </c>
      <c r="F110" s="181">
        <v>1968</v>
      </c>
      <c r="G110" s="181">
        <v>56510</v>
      </c>
    </row>
    <row r="111" spans="1:7" x14ac:dyDescent="0.25">
      <c r="A111" s="158" t="s">
        <v>206</v>
      </c>
      <c r="B111" s="173">
        <v>278</v>
      </c>
      <c r="C111" s="173">
        <v>80</v>
      </c>
      <c r="D111" s="173">
        <v>841</v>
      </c>
      <c r="E111" s="173">
        <v>48</v>
      </c>
      <c r="F111" s="173">
        <v>37</v>
      </c>
      <c r="G111" s="173">
        <v>1284</v>
      </c>
    </row>
    <row r="112" spans="1:7" x14ac:dyDescent="0.25">
      <c r="A112" s="183" t="s">
        <v>25</v>
      </c>
      <c r="B112" s="184">
        <v>60056</v>
      </c>
      <c r="C112" s="184">
        <v>20443</v>
      </c>
      <c r="D112" s="184">
        <v>213573</v>
      </c>
      <c r="E112" s="184">
        <v>21002</v>
      </c>
      <c r="F112" s="184">
        <v>13051</v>
      </c>
      <c r="G112" s="184">
        <v>328125</v>
      </c>
    </row>
    <row r="113" spans="1:7" x14ac:dyDescent="0.25">
      <c r="A113" s="157"/>
      <c r="B113" s="157"/>
      <c r="C113" s="157"/>
      <c r="D113" s="157"/>
      <c r="E113" s="157"/>
      <c r="F113" s="157"/>
      <c r="G113" s="157"/>
    </row>
    <row r="114" spans="1:7" x14ac:dyDescent="0.25">
      <c r="A114" s="157"/>
      <c r="B114" s="157"/>
      <c r="C114" s="157"/>
      <c r="D114" s="157"/>
      <c r="E114" s="157"/>
      <c r="F114" s="157"/>
      <c r="G114" s="157"/>
    </row>
    <row r="115" spans="1:7" x14ac:dyDescent="0.25">
      <c r="A115" s="157"/>
      <c r="B115" s="157"/>
      <c r="C115" s="157"/>
      <c r="D115" s="157"/>
    </row>
    <row r="116" spans="1:7" x14ac:dyDescent="0.25">
      <c r="A116" s="186" t="s">
        <v>510</v>
      </c>
    </row>
    <row r="117" spans="1:7" x14ac:dyDescent="0.25">
      <c r="A117" s="157"/>
      <c r="B117" s="475" t="s">
        <v>487</v>
      </c>
      <c r="C117" s="475"/>
      <c r="D117" s="475"/>
      <c r="E117" s="475"/>
      <c r="F117" s="475"/>
      <c r="G117" s="91"/>
    </row>
    <row r="118" spans="1:7" x14ac:dyDescent="0.25">
      <c r="A118" s="159" t="s">
        <v>532</v>
      </c>
      <c r="B118" s="160" t="s">
        <v>127</v>
      </c>
      <c r="C118" s="160" t="s">
        <v>128</v>
      </c>
      <c r="D118" s="160" t="s">
        <v>129</v>
      </c>
      <c r="E118" s="160" t="s">
        <v>11</v>
      </c>
      <c r="F118" s="160" t="s">
        <v>130</v>
      </c>
      <c r="G118" s="160" t="s">
        <v>25</v>
      </c>
    </row>
    <row r="119" spans="1:7" x14ac:dyDescent="0.25">
      <c r="A119" s="156" t="s">
        <v>207</v>
      </c>
      <c r="B119" s="182">
        <v>681</v>
      </c>
      <c r="C119" s="182">
        <v>219</v>
      </c>
      <c r="D119" s="182">
        <v>2046</v>
      </c>
      <c r="E119" s="182">
        <v>143</v>
      </c>
      <c r="F119" s="182">
        <v>147</v>
      </c>
      <c r="G119" s="182">
        <v>3236</v>
      </c>
    </row>
    <row r="120" spans="1:7" x14ac:dyDescent="0.25">
      <c r="A120" s="136" t="s">
        <v>208</v>
      </c>
      <c r="B120" s="137">
        <v>1234</v>
      </c>
      <c r="C120" s="137">
        <v>471</v>
      </c>
      <c r="D120" s="137">
        <v>4126</v>
      </c>
      <c r="E120" s="137">
        <v>257</v>
      </c>
      <c r="F120" s="137">
        <v>281</v>
      </c>
      <c r="G120" s="137">
        <v>6369</v>
      </c>
    </row>
    <row r="121" spans="1:7" x14ac:dyDescent="0.25">
      <c r="A121" s="136" t="s">
        <v>209</v>
      </c>
      <c r="B121" s="137">
        <v>321</v>
      </c>
      <c r="C121" s="137">
        <v>141</v>
      </c>
      <c r="D121" s="137">
        <v>1407</v>
      </c>
      <c r="E121" s="137">
        <v>122</v>
      </c>
      <c r="F121" s="137">
        <v>120</v>
      </c>
      <c r="G121" s="137">
        <v>2111</v>
      </c>
    </row>
    <row r="122" spans="1:7" x14ac:dyDescent="0.25">
      <c r="A122" s="136" t="s">
        <v>210</v>
      </c>
      <c r="B122" s="137">
        <v>329</v>
      </c>
      <c r="C122" s="137">
        <v>126</v>
      </c>
      <c r="D122" s="137">
        <v>865</v>
      </c>
      <c r="E122" s="137">
        <v>77</v>
      </c>
      <c r="F122" s="137">
        <v>68</v>
      </c>
      <c r="G122" s="137">
        <v>1465</v>
      </c>
    </row>
    <row r="123" spans="1:7" x14ac:dyDescent="0.25">
      <c r="A123" s="136" t="s">
        <v>211</v>
      </c>
      <c r="B123" s="137">
        <v>636</v>
      </c>
      <c r="C123" s="137">
        <v>223</v>
      </c>
      <c r="D123" s="137">
        <v>2365</v>
      </c>
      <c r="E123" s="137">
        <v>188</v>
      </c>
      <c r="F123" s="137">
        <v>164</v>
      </c>
      <c r="G123" s="137">
        <v>3576</v>
      </c>
    </row>
    <row r="124" spans="1:7" x14ac:dyDescent="0.25">
      <c r="A124" s="136" t="s">
        <v>493</v>
      </c>
      <c r="B124" s="137">
        <v>603</v>
      </c>
      <c r="C124" s="137">
        <v>203</v>
      </c>
      <c r="D124" s="137">
        <v>2250</v>
      </c>
      <c r="E124" s="137">
        <v>224</v>
      </c>
      <c r="F124" s="137">
        <v>148</v>
      </c>
      <c r="G124" s="137">
        <v>3428</v>
      </c>
    </row>
    <row r="125" spans="1:7" x14ac:dyDescent="0.25">
      <c r="A125" s="136" t="s">
        <v>212</v>
      </c>
      <c r="B125" s="137">
        <v>791</v>
      </c>
      <c r="C125" s="137">
        <v>292</v>
      </c>
      <c r="D125" s="137">
        <v>3196</v>
      </c>
      <c r="E125" s="137">
        <v>317</v>
      </c>
      <c r="F125" s="137">
        <v>239</v>
      </c>
      <c r="G125" s="137">
        <v>4835</v>
      </c>
    </row>
    <row r="126" spans="1:7" x14ac:dyDescent="0.25">
      <c r="A126" s="136" t="s">
        <v>213</v>
      </c>
      <c r="B126" s="137">
        <v>170</v>
      </c>
      <c r="C126" s="137">
        <v>46</v>
      </c>
      <c r="D126" s="137">
        <v>503</v>
      </c>
      <c r="E126" s="137">
        <v>34</v>
      </c>
      <c r="F126" s="137">
        <v>18</v>
      </c>
      <c r="G126" s="137">
        <v>771</v>
      </c>
    </row>
    <row r="127" spans="1:7" x14ac:dyDescent="0.25">
      <c r="A127" s="136" t="s">
        <v>214</v>
      </c>
      <c r="B127" s="137">
        <v>985</v>
      </c>
      <c r="C127" s="137">
        <v>289</v>
      </c>
      <c r="D127" s="137">
        <v>2933</v>
      </c>
      <c r="E127" s="137">
        <v>246</v>
      </c>
      <c r="F127" s="137">
        <v>160</v>
      </c>
      <c r="G127" s="137">
        <v>4613</v>
      </c>
    </row>
    <row r="128" spans="1:7" x14ac:dyDescent="0.25">
      <c r="A128" s="136" t="s">
        <v>215</v>
      </c>
      <c r="B128" s="137">
        <v>289</v>
      </c>
      <c r="C128" s="137">
        <v>77</v>
      </c>
      <c r="D128" s="137">
        <v>783</v>
      </c>
      <c r="E128" s="137">
        <v>59</v>
      </c>
      <c r="F128" s="137">
        <v>35</v>
      </c>
      <c r="G128" s="137">
        <v>1243</v>
      </c>
    </row>
    <row r="129" spans="1:7" x14ac:dyDescent="0.25">
      <c r="A129" s="136" t="s">
        <v>216</v>
      </c>
      <c r="B129" s="137">
        <v>354</v>
      </c>
      <c r="C129" s="137">
        <v>115</v>
      </c>
      <c r="D129" s="137">
        <v>1017</v>
      </c>
      <c r="E129" s="137">
        <v>64</v>
      </c>
      <c r="F129" s="137">
        <v>54</v>
      </c>
      <c r="G129" s="137">
        <v>1604</v>
      </c>
    </row>
    <row r="130" spans="1:7" x14ac:dyDescent="0.25">
      <c r="A130" s="136" t="s">
        <v>217</v>
      </c>
      <c r="B130" s="137">
        <v>942</v>
      </c>
      <c r="C130" s="137">
        <v>305</v>
      </c>
      <c r="D130" s="137">
        <v>3406</v>
      </c>
      <c r="E130" s="137">
        <v>324</v>
      </c>
      <c r="F130" s="137">
        <v>242</v>
      </c>
      <c r="G130" s="137">
        <v>5219</v>
      </c>
    </row>
    <row r="131" spans="1:7" x14ac:dyDescent="0.25">
      <c r="A131" s="136" t="s">
        <v>218</v>
      </c>
      <c r="B131" s="137">
        <v>562</v>
      </c>
      <c r="C131" s="137">
        <v>204</v>
      </c>
      <c r="D131" s="137">
        <v>1640</v>
      </c>
      <c r="E131" s="137">
        <v>108</v>
      </c>
      <c r="F131" s="137">
        <v>123</v>
      </c>
      <c r="G131" s="137">
        <v>2637</v>
      </c>
    </row>
    <row r="132" spans="1:7" x14ac:dyDescent="0.25">
      <c r="A132" s="136" t="s">
        <v>219</v>
      </c>
      <c r="B132" s="137">
        <v>317</v>
      </c>
      <c r="C132" s="137">
        <v>89</v>
      </c>
      <c r="D132" s="137">
        <v>1104</v>
      </c>
      <c r="E132" s="137">
        <v>77</v>
      </c>
      <c r="F132" s="137">
        <v>37</v>
      </c>
      <c r="G132" s="137">
        <v>1624</v>
      </c>
    </row>
    <row r="133" spans="1:7" x14ac:dyDescent="0.25">
      <c r="A133" s="136" t="s">
        <v>220</v>
      </c>
      <c r="B133" s="137">
        <v>688</v>
      </c>
      <c r="C133" s="137">
        <v>307</v>
      </c>
      <c r="D133" s="137">
        <v>2814</v>
      </c>
      <c r="E133" s="137">
        <v>235</v>
      </c>
      <c r="F133" s="137">
        <v>209</v>
      </c>
      <c r="G133" s="137">
        <v>4253</v>
      </c>
    </row>
    <row r="134" spans="1:7" x14ac:dyDescent="0.25">
      <c r="A134" s="136" t="s">
        <v>221</v>
      </c>
      <c r="B134" s="137">
        <v>466</v>
      </c>
      <c r="C134" s="137">
        <v>199</v>
      </c>
      <c r="D134" s="137">
        <v>2136</v>
      </c>
      <c r="E134" s="137">
        <v>180</v>
      </c>
      <c r="F134" s="137">
        <v>173</v>
      </c>
      <c r="G134" s="137">
        <v>3154</v>
      </c>
    </row>
    <row r="135" spans="1:7" x14ac:dyDescent="0.25">
      <c r="A135" s="136" t="s">
        <v>222</v>
      </c>
      <c r="B135" s="137">
        <v>445</v>
      </c>
      <c r="C135" s="137">
        <v>104</v>
      </c>
      <c r="D135" s="137">
        <v>811</v>
      </c>
      <c r="E135" s="137">
        <v>42</v>
      </c>
      <c r="F135" s="137">
        <v>42</v>
      </c>
      <c r="G135" s="137">
        <v>1444</v>
      </c>
    </row>
    <row r="136" spans="1:7" x14ac:dyDescent="0.25">
      <c r="A136" s="136" t="s">
        <v>223</v>
      </c>
      <c r="B136" s="137">
        <v>332</v>
      </c>
      <c r="C136" s="137">
        <v>113</v>
      </c>
      <c r="D136" s="137">
        <v>1409</v>
      </c>
      <c r="E136" s="137">
        <v>101</v>
      </c>
      <c r="F136" s="137">
        <v>87</v>
      </c>
      <c r="G136" s="137">
        <v>2042</v>
      </c>
    </row>
    <row r="137" spans="1:7" x14ac:dyDescent="0.25">
      <c r="A137" s="136" t="s">
        <v>224</v>
      </c>
      <c r="B137" s="137">
        <v>468</v>
      </c>
      <c r="C137" s="137">
        <v>137</v>
      </c>
      <c r="D137" s="137">
        <v>1542</v>
      </c>
      <c r="E137" s="137">
        <v>89</v>
      </c>
      <c r="F137" s="137">
        <v>128</v>
      </c>
      <c r="G137" s="137">
        <v>2364</v>
      </c>
    </row>
    <row r="138" spans="1:7" x14ac:dyDescent="0.25">
      <c r="A138" s="136" t="s">
        <v>225</v>
      </c>
      <c r="B138" s="137">
        <v>335</v>
      </c>
      <c r="C138" s="137">
        <v>111</v>
      </c>
      <c r="D138" s="137">
        <v>903</v>
      </c>
      <c r="E138" s="137">
        <v>55</v>
      </c>
      <c r="F138" s="137">
        <v>59</v>
      </c>
      <c r="G138" s="137">
        <v>1463</v>
      </c>
    </row>
    <row r="139" spans="1:7" x14ac:dyDescent="0.25">
      <c r="A139" s="136" t="s">
        <v>226</v>
      </c>
      <c r="B139" s="137">
        <v>412</v>
      </c>
      <c r="C139" s="137">
        <v>140</v>
      </c>
      <c r="D139" s="137">
        <v>1500</v>
      </c>
      <c r="E139" s="137">
        <v>105</v>
      </c>
      <c r="F139" s="137">
        <v>66</v>
      </c>
      <c r="G139" s="137">
        <v>2223</v>
      </c>
    </row>
    <row r="140" spans="1:7" x14ac:dyDescent="0.25">
      <c r="A140" s="136" t="s">
        <v>227</v>
      </c>
      <c r="B140" s="137">
        <v>539</v>
      </c>
      <c r="C140" s="137">
        <v>165</v>
      </c>
      <c r="D140" s="137">
        <v>1910</v>
      </c>
      <c r="E140" s="137">
        <v>181</v>
      </c>
      <c r="F140" s="137">
        <v>99</v>
      </c>
      <c r="G140" s="137">
        <v>2894</v>
      </c>
    </row>
    <row r="141" spans="1:7" x14ac:dyDescent="0.25">
      <c r="A141" s="136" t="s">
        <v>228</v>
      </c>
      <c r="B141" s="137">
        <v>856</v>
      </c>
      <c r="C141" s="137">
        <v>262</v>
      </c>
      <c r="D141" s="137">
        <v>2493</v>
      </c>
      <c r="E141" s="137">
        <v>196</v>
      </c>
      <c r="F141" s="137">
        <v>162</v>
      </c>
      <c r="G141" s="137">
        <v>3969</v>
      </c>
    </row>
    <row r="142" spans="1:7" x14ac:dyDescent="0.25">
      <c r="A142" s="136" t="s">
        <v>229</v>
      </c>
      <c r="B142" s="137">
        <v>615</v>
      </c>
      <c r="C142" s="137">
        <v>192</v>
      </c>
      <c r="D142" s="137">
        <v>2071</v>
      </c>
      <c r="E142" s="137">
        <v>211</v>
      </c>
      <c r="F142" s="137">
        <v>144</v>
      </c>
      <c r="G142" s="137">
        <v>3233</v>
      </c>
    </row>
    <row r="143" spans="1:7" x14ac:dyDescent="0.25">
      <c r="A143" s="136" t="s">
        <v>230</v>
      </c>
      <c r="B143" s="137">
        <v>262</v>
      </c>
      <c r="C143" s="137">
        <v>105</v>
      </c>
      <c r="D143" s="137">
        <v>1105</v>
      </c>
      <c r="E143" s="137">
        <v>65</v>
      </c>
      <c r="F143" s="137">
        <v>82</v>
      </c>
      <c r="G143" s="137">
        <v>1619</v>
      </c>
    </row>
    <row r="144" spans="1:7" x14ac:dyDescent="0.25">
      <c r="A144" s="136" t="s">
        <v>231</v>
      </c>
      <c r="B144" s="137">
        <v>207</v>
      </c>
      <c r="C144" s="137">
        <v>47</v>
      </c>
      <c r="D144" s="137">
        <v>587</v>
      </c>
      <c r="E144" s="137">
        <v>37</v>
      </c>
      <c r="F144" s="137">
        <v>31</v>
      </c>
      <c r="G144" s="137">
        <v>909</v>
      </c>
    </row>
    <row r="145" spans="1:7" x14ac:dyDescent="0.25">
      <c r="A145" s="136" t="s">
        <v>232</v>
      </c>
      <c r="B145" s="137">
        <v>522</v>
      </c>
      <c r="C145" s="137">
        <v>193</v>
      </c>
      <c r="D145" s="137">
        <v>1548</v>
      </c>
      <c r="E145" s="137">
        <v>115</v>
      </c>
      <c r="F145" s="137">
        <v>113</v>
      </c>
      <c r="G145" s="137">
        <v>2491</v>
      </c>
    </row>
    <row r="146" spans="1:7" x14ac:dyDescent="0.25">
      <c r="A146" s="136" t="s">
        <v>233</v>
      </c>
      <c r="B146" s="137">
        <v>6341</v>
      </c>
      <c r="C146" s="137">
        <v>2492</v>
      </c>
      <c r="D146" s="137">
        <v>24754</v>
      </c>
      <c r="E146" s="137">
        <v>2313</v>
      </c>
      <c r="F146" s="137">
        <v>2192</v>
      </c>
      <c r="G146" s="137">
        <v>38092</v>
      </c>
    </row>
    <row r="147" spans="1:7" x14ac:dyDescent="0.25">
      <c r="A147" s="136" t="s">
        <v>234</v>
      </c>
      <c r="B147" s="137">
        <v>1703</v>
      </c>
      <c r="C147" s="137">
        <v>695</v>
      </c>
      <c r="D147" s="137">
        <v>6855</v>
      </c>
      <c r="E147" s="137">
        <v>605</v>
      </c>
      <c r="F147" s="137">
        <v>522</v>
      </c>
      <c r="G147" s="137">
        <v>10380</v>
      </c>
    </row>
    <row r="148" spans="1:7" x14ac:dyDescent="0.25">
      <c r="A148" s="136" t="s">
        <v>235</v>
      </c>
      <c r="B148" s="137">
        <v>548</v>
      </c>
      <c r="C148" s="137">
        <v>241</v>
      </c>
      <c r="D148" s="137">
        <v>2627</v>
      </c>
      <c r="E148" s="137">
        <v>244</v>
      </c>
      <c r="F148" s="137">
        <v>185</v>
      </c>
      <c r="G148" s="137">
        <v>3845</v>
      </c>
    </row>
    <row r="149" spans="1:7" x14ac:dyDescent="0.25">
      <c r="A149" s="136" t="s">
        <v>236</v>
      </c>
      <c r="B149" s="137">
        <v>2090</v>
      </c>
      <c r="C149" s="137">
        <v>721</v>
      </c>
      <c r="D149" s="137">
        <v>8711</v>
      </c>
      <c r="E149" s="137">
        <v>779</v>
      </c>
      <c r="F149" s="137">
        <v>643</v>
      </c>
      <c r="G149" s="137">
        <v>12944</v>
      </c>
    </row>
    <row r="150" spans="1:7" x14ac:dyDescent="0.25">
      <c r="A150" s="136" t="s">
        <v>237</v>
      </c>
      <c r="B150" s="137">
        <v>1932</v>
      </c>
      <c r="C150" s="137">
        <v>582</v>
      </c>
      <c r="D150" s="137">
        <v>6409</v>
      </c>
      <c r="E150" s="137">
        <v>470</v>
      </c>
      <c r="F150" s="137">
        <v>385</v>
      </c>
      <c r="G150" s="137">
        <v>9778</v>
      </c>
    </row>
    <row r="151" spans="1:7" x14ac:dyDescent="0.25">
      <c r="A151" s="155" t="s">
        <v>238</v>
      </c>
      <c r="B151" s="181">
        <v>1335</v>
      </c>
      <c r="C151" s="181">
        <v>457</v>
      </c>
      <c r="D151" s="181">
        <v>4992</v>
      </c>
      <c r="E151" s="181">
        <v>388</v>
      </c>
      <c r="F151" s="181">
        <v>393</v>
      </c>
      <c r="G151" s="181">
        <v>7565</v>
      </c>
    </row>
    <row r="152" spans="1:7" x14ac:dyDescent="0.25">
      <c r="A152" s="183" t="s">
        <v>25</v>
      </c>
      <c r="B152" s="184">
        <v>28310</v>
      </c>
      <c r="C152" s="184">
        <v>10063</v>
      </c>
      <c r="D152" s="184">
        <v>102818</v>
      </c>
      <c r="E152" s="184">
        <v>8651</v>
      </c>
      <c r="F152" s="184">
        <v>7551</v>
      </c>
      <c r="G152" s="184">
        <v>157393</v>
      </c>
    </row>
    <row r="153" spans="1:7" x14ac:dyDescent="0.25">
      <c r="A153" s="157"/>
      <c r="B153" s="162"/>
      <c r="C153" s="162"/>
      <c r="D153" s="162"/>
      <c r="E153" s="162"/>
      <c r="F153" s="162"/>
      <c r="G153" s="162"/>
    </row>
    <row r="154" spans="1:7" x14ac:dyDescent="0.25">
      <c r="A154" s="157"/>
      <c r="B154" s="162"/>
      <c r="C154" s="162"/>
      <c r="D154" s="162"/>
      <c r="E154" s="162"/>
      <c r="F154" s="162"/>
      <c r="G154" s="162"/>
    </row>
    <row r="155" spans="1:7" x14ac:dyDescent="0.25">
      <c r="A155" s="157"/>
      <c r="B155" s="157"/>
      <c r="C155" s="157"/>
      <c r="D155" s="157"/>
    </row>
    <row r="156" spans="1:7" x14ac:dyDescent="0.25">
      <c r="A156" s="190" t="s">
        <v>511</v>
      </c>
    </row>
    <row r="157" spans="1:7" x14ac:dyDescent="0.25">
      <c r="A157" s="157"/>
      <c r="B157" s="475" t="s">
        <v>487</v>
      </c>
      <c r="C157" s="475"/>
      <c r="D157" s="475"/>
      <c r="E157" s="475"/>
      <c r="F157" s="475"/>
      <c r="G157" s="91"/>
    </row>
    <row r="158" spans="1:7" x14ac:dyDescent="0.25">
      <c r="A158" s="159" t="s">
        <v>532</v>
      </c>
      <c r="B158" s="188" t="s">
        <v>127</v>
      </c>
      <c r="C158" s="188" t="s">
        <v>128</v>
      </c>
      <c r="D158" s="188" t="s">
        <v>129</v>
      </c>
      <c r="E158" s="188" t="s">
        <v>11</v>
      </c>
      <c r="F158" s="188" t="s">
        <v>130</v>
      </c>
      <c r="G158" s="160" t="s">
        <v>25</v>
      </c>
    </row>
    <row r="159" spans="1:7" x14ac:dyDescent="0.25">
      <c r="A159" s="156" t="s">
        <v>239</v>
      </c>
      <c r="B159" s="137">
        <v>2259</v>
      </c>
      <c r="C159" s="137">
        <v>694</v>
      </c>
      <c r="D159" s="137">
        <v>6207</v>
      </c>
      <c r="E159" s="137">
        <v>443</v>
      </c>
      <c r="F159" s="137">
        <v>379</v>
      </c>
      <c r="G159" s="137">
        <v>9982</v>
      </c>
    </row>
    <row r="160" spans="1:7" x14ac:dyDescent="0.25">
      <c r="A160" s="136" t="s">
        <v>240</v>
      </c>
      <c r="B160" s="137">
        <v>516</v>
      </c>
      <c r="C160" s="137">
        <v>194</v>
      </c>
      <c r="D160" s="137">
        <v>1037</v>
      </c>
      <c r="E160" s="137">
        <v>57</v>
      </c>
      <c r="F160" s="137">
        <v>88</v>
      </c>
      <c r="G160" s="137">
        <v>1892</v>
      </c>
    </row>
    <row r="161" spans="1:7" x14ac:dyDescent="0.25">
      <c r="A161" s="136" t="s">
        <v>241</v>
      </c>
      <c r="B161" s="137">
        <v>791</v>
      </c>
      <c r="C161" s="137">
        <v>314</v>
      </c>
      <c r="D161" s="137">
        <v>2396</v>
      </c>
      <c r="E161" s="137">
        <v>120</v>
      </c>
      <c r="F161" s="137">
        <v>152</v>
      </c>
      <c r="G161" s="137">
        <v>3773</v>
      </c>
    </row>
    <row r="162" spans="1:7" x14ac:dyDescent="0.25">
      <c r="A162" s="136" t="s">
        <v>242</v>
      </c>
      <c r="B162" s="137">
        <v>1690</v>
      </c>
      <c r="C162" s="137">
        <v>775</v>
      </c>
      <c r="D162" s="137">
        <v>4827</v>
      </c>
      <c r="E162" s="137">
        <v>366</v>
      </c>
      <c r="F162" s="137">
        <v>349</v>
      </c>
      <c r="G162" s="137">
        <v>8007</v>
      </c>
    </row>
    <row r="163" spans="1:7" x14ac:dyDescent="0.25">
      <c r="A163" s="136" t="s">
        <v>243</v>
      </c>
      <c r="B163" s="137">
        <v>735</v>
      </c>
      <c r="C163" s="137">
        <v>240</v>
      </c>
      <c r="D163" s="137">
        <v>1392</v>
      </c>
      <c r="E163" s="137">
        <v>84</v>
      </c>
      <c r="F163" s="137">
        <v>100</v>
      </c>
      <c r="G163" s="137">
        <v>2551</v>
      </c>
    </row>
    <row r="164" spans="1:7" x14ac:dyDescent="0.25">
      <c r="A164" s="136" t="s">
        <v>244</v>
      </c>
      <c r="B164" s="137">
        <v>4134</v>
      </c>
      <c r="C164" s="137">
        <v>1331</v>
      </c>
      <c r="D164" s="137">
        <v>16771</v>
      </c>
      <c r="E164" s="137">
        <v>1615</v>
      </c>
      <c r="F164" s="137">
        <v>1180</v>
      </c>
      <c r="G164" s="137">
        <v>25031</v>
      </c>
    </row>
    <row r="165" spans="1:7" x14ac:dyDescent="0.25">
      <c r="A165" s="136" t="s">
        <v>245</v>
      </c>
      <c r="B165" s="137">
        <v>215</v>
      </c>
      <c r="C165" s="137">
        <v>92</v>
      </c>
      <c r="D165" s="137">
        <v>351</v>
      </c>
      <c r="E165" s="137">
        <v>15</v>
      </c>
      <c r="F165" s="137">
        <v>33</v>
      </c>
      <c r="G165" s="137">
        <v>706</v>
      </c>
    </row>
    <row r="166" spans="1:7" x14ac:dyDescent="0.25">
      <c r="A166" s="136" t="s">
        <v>494</v>
      </c>
      <c r="B166" s="137">
        <v>586</v>
      </c>
      <c r="C166" s="137">
        <v>161</v>
      </c>
      <c r="D166" s="137">
        <v>1423</v>
      </c>
      <c r="E166" s="137">
        <v>94</v>
      </c>
      <c r="F166" s="137">
        <v>89</v>
      </c>
      <c r="G166" s="137">
        <v>2353</v>
      </c>
    </row>
    <row r="167" spans="1:7" x14ac:dyDescent="0.25">
      <c r="A167" s="136" t="s">
        <v>246</v>
      </c>
      <c r="B167" s="137">
        <v>332</v>
      </c>
      <c r="C167" s="137">
        <v>113</v>
      </c>
      <c r="D167" s="137">
        <v>831</v>
      </c>
      <c r="E167" s="137">
        <v>40</v>
      </c>
      <c r="F167" s="137">
        <v>62</v>
      </c>
      <c r="G167" s="137">
        <v>1378</v>
      </c>
    </row>
    <row r="168" spans="1:7" x14ac:dyDescent="0.25">
      <c r="A168" s="136" t="s">
        <v>247</v>
      </c>
      <c r="B168" s="137">
        <v>3626</v>
      </c>
      <c r="C168" s="137">
        <v>1053</v>
      </c>
      <c r="D168" s="137">
        <v>10943</v>
      </c>
      <c r="E168" s="137">
        <v>954</v>
      </c>
      <c r="F168" s="137">
        <v>684</v>
      </c>
      <c r="G168" s="137">
        <v>17260</v>
      </c>
    </row>
    <row r="169" spans="1:7" x14ac:dyDescent="0.25">
      <c r="A169" s="136" t="s">
        <v>248</v>
      </c>
      <c r="B169" s="137">
        <v>1507</v>
      </c>
      <c r="C169" s="137">
        <v>507</v>
      </c>
      <c r="D169" s="137">
        <v>3425</v>
      </c>
      <c r="E169" s="137">
        <v>134</v>
      </c>
      <c r="F169" s="137">
        <v>245</v>
      </c>
      <c r="G169" s="137">
        <v>5818</v>
      </c>
    </row>
    <row r="170" spans="1:7" x14ac:dyDescent="0.25">
      <c r="A170" s="136" t="s">
        <v>249</v>
      </c>
      <c r="B170" s="137">
        <v>1082</v>
      </c>
      <c r="C170" s="137">
        <v>559</v>
      </c>
      <c r="D170" s="137">
        <v>2903</v>
      </c>
      <c r="E170" s="137">
        <v>264</v>
      </c>
      <c r="F170" s="137">
        <v>307</v>
      </c>
      <c r="G170" s="137">
        <v>5115</v>
      </c>
    </row>
    <row r="171" spans="1:7" x14ac:dyDescent="0.25">
      <c r="A171" s="136" t="s">
        <v>250</v>
      </c>
      <c r="B171" s="137">
        <v>1311</v>
      </c>
      <c r="C171" s="137">
        <v>449</v>
      </c>
      <c r="D171" s="137">
        <v>5427</v>
      </c>
      <c r="E171" s="137">
        <v>465</v>
      </c>
      <c r="F171" s="137">
        <v>310</v>
      </c>
      <c r="G171" s="137">
        <v>7962</v>
      </c>
    </row>
    <row r="172" spans="1:7" x14ac:dyDescent="0.25">
      <c r="A172" s="136" t="s">
        <v>251</v>
      </c>
      <c r="B172" s="137">
        <v>1947</v>
      </c>
      <c r="C172" s="137">
        <v>631</v>
      </c>
      <c r="D172" s="137">
        <v>5322</v>
      </c>
      <c r="E172" s="137">
        <v>390</v>
      </c>
      <c r="F172" s="137">
        <v>404</v>
      </c>
      <c r="G172" s="137">
        <v>8694</v>
      </c>
    </row>
    <row r="173" spans="1:7" x14ac:dyDescent="0.25">
      <c r="A173" s="136" t="s">
        <v>252</v>
      </c>
      <c r="B173" s="137">
        <v>422</v>
      </c>
      <c r="C173" s="137">
        <v>109</v>
      </c>
      <c r="D173" s="137">
        <v>1020</v>
      </c>
      <c r="E173" s="137">
        <v>66</v>
      </c>
      <c r="F173" s="137">
        <v>61</v>
      </c>
      <c r="G173" s="137">
        <v>1678</v>
      </c>
    </row>
    <row r="174" spans="1:7" x14ac:dyDescent="0.25">
      <c r="A174" s="136" t="s">
        <v>253</v>
      </c>
      <c r="B174" s="137">
        <v>458</v>
      </c>
      <c r="C174" s="137">
        <v>139</v>
      </c>
      <c r="D174" s="137">
        <v>744</v>
      </c>
      <c r="E174" s="137">
        <v>51</v>
      </c>
      <c r="F174" s="137">
        <v>41</v>
      </c>
      <c r="G174" s="137">
        <v>1433</v>
      </c>
    </row>
    <row r="175" spans="1:7" x14ac:dyDescent="0.25">
      <c r="A175" s="136" t="s">
        <v>254</v>
      </c>
      <c r="B175" s="137">
        <v>360</v>
      </c>
      <c r="C175" s="137">
        <v>145</v>
      </c>
      <c r="D175" s="137">
        <v>1016</v>
      </c>
      <c r="E175" s="137">
        <v>43</v>
      </c>
      <c r="F175" s="137">
        <v>67</v>
      </c>
      <c r="G175" s="137">
        <v>1631</v>
      </c>
    </row>
    <row r="176" spans="1:7" x14ac:dyDescent="0.25">
      <c r="A176" s="136" t="s">
        <v>255</v>
      </c>
      <c r="B176" s="137">
        <v>387</v>
      </c>
      <c r="C176" s="137">
        <v>112</v>
      </c>
      <c r="D176" s="137">
        <v>1249</v>
      </c>
      <c r="E176" s="137">
        <v>58</v>
      </c>
      <c r="F176" s="137">
        <v>74</v>
      </c>
      <c r="G176" s="137">
        <v>1880</v>
      </c>
    </row>
    <row r="177" spans="1:7" x14ac:dyDescent="0.25">
      <c r="A177" s="136" t="s">
        <v>256</v>
      </c>
      <c r="B177" s="137">
        <v>984</v>
      </c>
      <c r="C177" s="137">
        <v>344</v>
      </c>
      <c r="D177" s="137">
        <v>2384</v>
      </c>
      <c r="E177" s="137">
        <v>138</v>
      </c>
      <c r="F177" s="137">
        <v>152</v>
      </c>
      <c r="G177" s="137">
        <v>4002</v>
      </c>
    </row>
    <row r="178" spans="1:7" x14ac:dyDescent="0.25">
      <c r="A178" s="136" t="s">
        <v>257</v>
      </c>
      <c r="B178" s="137">
        <v>573</v>
      </c>
      <c r="C178" s="137">
        <v>200</v>
      </c>
      <c r="D178" s="137">
        <v>1604</v>
      </c>
      <c r="E178" s="137">
        <v>98</v>
      </c>
      <c r="F178" s="137">
        <v>95</v>
      </c>
      <c r="G178" s="137">
        <v>2570</v>
      </c>
    </row>
    <row r="179" spans="1:7" x14ac:dyDescent="0.25">
      <c r="A179" s="136" t="s">
        <v>258</v>
      </c>
      <c r="B179" s="137">
        <v>436</v>
      </c>
      <c r="C179" s="137">
        <v>147</v>
      </c>
      <c r="D179" s="137">
        <v>1676</v>
      </c>
      <c r="E179" s="137">
        <v>86</v>
      </c>
      <c r="F179" s="137">
        <v>94</v>
      </c>
      <c r="G179" s="137">
        <v>2439</v>
      </c>
    </row>
    <row r="180" spans="1:7" x14ac:dyDescent="0.25">
      <c r="A180" s="136" t="s">
        <v>259</v>
      </c>
      <c r="B180" s="137">
        <v>685</v>
      </c>
      <c r="C180" s="137">
        <v>228</v>
      </c>
      <c r="D180" s="137">
        <v>2182</v>
      </c>
      <c r="E180" s="137">
        <v>139</v>
      </c>
      <c r="F180" s="137">
        <v>133</v>
      </c>
      <c r="G180" s="137">
        <v>3367</v>
      </c>
    </row>
    <row r="181" spans="1:7" x14ac:dyDescent="0.25">
      <c r="A181" s="136" t="s">
        <v>260</v>
      </c>
      <c r="B181" s="137">
        <v>1828</v>
      </c>
      <c r="C181" s="137">
        <v>584</v>
      </c>
      <c r="D181" s="137">
        <v>4476</v>
      </c>
      <c r="E181" s="137">
        <v>291</v>
      </c>
      <c r="F181" s="137">
        <v>328</v>
      </c>
      <c r="G181" s="137">
        <v>7507</v>
      </c>
    </row>
    <row r="182" spans="1:7" x14ac:dyDescent="0.25">
      <c r="A182" s="136" t="s">
        <v>261</v>
      </c>
      <c r="B182" s="137">
        <v>1787</v>
      </c>
      <c r="C182" s="137">
        <v>521</v>
      </c>
      <c r="D182" s="137">
        <v>5593</v>
      </c>
      <c r="E182" s="137">
        <v>423</v>
      </c>
      <c r="F182" s="137">
        <v>289</v>
      </c>
      <c r="G182" s="137">
        <v>8613</v>
      </c>
    </row>
    <row r="183" spans="1:7" x14ac:dyDescent="0.25">
      <c r="A183" s="136" t="s">
        <v>262</v>
      </c>
      <c r="B183" s="137">
        <v>380</v>
      </c>
      <c r="C183" s="137">
        <v>125</v>
      </c>
      <c r="D183" s="137">
        <v>984</v>
      </c>
      <c r="E183" s="137">
        <v>59</v>
      </c>
      <c r="F183" s="137">
        <v>60</v>
      </c>
      <c r="G183" s="137">
        <v>1608</v>
      </c>
    </row>
    <row r="184" spans="1:7" x14ac:dyDescent="0.25">
      <c r="A184" s="136" t="s">
        <v>263</v>
      </c>
      <c r="B184" s="137">
        <v>7680</v>
      </c>
      <c r="C184" s="137">
        <v>2753</v>
      </c>
      <c r="D184" s="137">
        <v>24449</v>
      </c>
      <c r="E184" s="137">
        <v>2642</v>
      </c>
      <c r="F184" s="137">
        <v>1782</v>
      </c>
      <c r="G184" s="137">
        <v>39306</v>
      </c>
    </row>
    <row r="185" spans="1:7" x14ac:dyDescent="0.25">
      <c r="A185" s="136" t="s">
        <v>264</v>
      </c>
      <c r="B185" s="137">
        <v>1092</v>
      </c>
      <c r="C185" s="137">
        <v>393</v>
      </c>
      <c r="D185" s="137">
        <v>3495</v>
      </c>
      <c r="E185" s="137">
        <v>180</v>
      </c>
      <c r="F185" s="137">
        <v>202</v>
      </c>
      <c r="G185" s="137">
        <v>5362</v>
      </c>
    </row>
    <row r="186" spans="1:7" x14ac:dyDescent="0.25">
      <c r="A186" s="136" t="s">
        <v>265</v>
      </c>
      <c r="B186" s="137">
        <v>261</v>
      </c>
      <c r="C186" s="137">
        <v>70</v>
      </c>
      <c r="D186" s="137">
        <v>475</v>
      </c>
      <c r="E186" s="137">
        <v>28</v>
      </c>
      <c r="F186" s="137">
        <v>30</v>
      </c>
      <c r="G186" s="137">
        <v>864</v>
      </c>
    </row>
    <row r="187" spans="1:7" x14ac:dyDescent="0.25">
      <c r="A187" s="136" t="s">
        <v>266</v>
      </c>
      <c r="B187" s="137">
        <v>678</v>
      </c>
      <c r="C187" s="137">
        <v>224</v>
      </c>
      <c r="D187" s="137">
        <v>2050</v>
      </c>
      <c r="E187" s="137">
        <v>164</v>
      </c>
      <c r="F187" s="137">
        <v>114</v>
      </c>
      <c r="G187" s="137">
        <v>3230</v>
      </c>
    </row>
    <row r="188" spans="1:7" x14ac:dyDescent="0.25">
      <c r="A188" s="155" t="s">
        <v>267</v>
      </c>
      <c r="B188" s="181">
        <v>791</v>
      </c>
      <c r="C188" s="181">
        <v>264</v>
      </c>
      <c r="D188" s="181">
        <v>1958</v>
      </c>
      <c r="E188" s="137">
        <v>89</v>
      </c>
      <c r="F188" s="137">
        <v>138</v>
      </c>
      <c r="G188" s="137">
        <v>3240</v>
      </c>
    </row>
    <row r="189" spans="1:7" x14ac:dyDescent="0.25">
      <c r="A189" s="183" t="s">
        <v>25</v>
      </c>
      <c r="B189" s="184">
        <v>39533</v>
      </c>
      <c r="C189" s="184">
        <v>13471</v>
      </c>
      <c r="D189" s="184">
        <v>118610</v>
      </c>
      <c r="E189" s="184">
        <v>9596</v>
      </c>
      <c r="F189" s="184">
        <v>8042</v>
      </c>
      <c r="G189" s="184">
        <v>189252</v>
      </c>
    </row>
    <row r="190" spans="1:7" x14ac:dyDescent="0.25">
      <c r="A190" s="157"/>
      <c r="B190" s="157"/>
      <c r="C190" s="157"/>
      <c r="D190" s="157"/>
      <c r="E190" s="157"/>
      <c r="F190" s="157"/>
      <c r="G190" s="157"/>
    </row>
    <row r="191" spans="1:7" x14ac:dyDescent="0.25">
      <c r="A191" s="157"/>
      <c r="B191" s="157"/>
      <c r="C191" s="157"/>
      <c r="D191" s="157"/>
      <c r="E191" s="157"/>
      <c r="F191" s="157"/>
      <c r="G191" s="157"/>
    </row>
    <row r="192" spans="1:7" x14ac:dyDescent="0.25">
      <c r="A192" s="157"/>
      <c r="B192" s="157"/>
      <c r="C192" s="157"/>
      <c r="D192" s="157"/>
    </row>
    <row r="193" spans="1:7" x14ac:dyDescent="0.25">
      <c r="A193" s="186" t="s">
        <v>512</v>
      </c>
    </row>
    <row r="194" spans="1:7" x14ac:dyDescent="0.25">
      <c r="A194" s="157"/>
      <c r="B194" s="475" t="s">
        <v>487</v>
      </c>
      <c r="C194" s="475"/>
      <c r="D194" s="475"/>
      <c r="E194" s="475"/>
      <c r="F194" s="475"/>
      <c r="G194" s="91"/>
    </row>
    <row r="195" spans="1:7" x14ac:dyDescent="0.25">
      <c r="A195" s="159" t="s">
        <v>532</v>
      </c>
      <c r="B195" s="188" t="s">
        <v>127</v>
      </c>
      <c r="C195" s="188" t="s">
        <v>128</v>
      </c>
      <c r="D195" s="188" t="s">
        <v>129</v>
      </c>
      <c r="E195" s="188" t="s">
        <v>11</v>
      </c>
      <c r="F195" s="188" t="s">
        <v>130</v>
      </c>
      <c r="G195" s="160" t="s">
        <v>25</v>
      </c>
    </row>
    <row r="196" spans="1:7" x14ac:dyDescent="0.25">
      <c r="A196" s="156" t="s">
        <v>269</v>
      </c>
      <c r="B196" s="137">
        <v>184</v>
      </c>
      <c r="C196" s="137">
        <v>211</v>
      </c>
      <c r="D196" s="137">
        <v>328</v>
      </c>
      <c r="E196" s="137">
        <v>6</v>
      </c>
      <c r="F196" s="137">
        <v>86</v>
      </c>
      <c r="G196" s="137">
        <v>815</v>
      </c>
    </row>
    <row r="197" spans="1:7" x14ac:dyDescent="0.25">
      <c r="A197" s="136" t="s">
        <v>270</v>
      </c>
      <c r="B197" s="137">
        <v>213</v>
      </c>
      <c r="C197" s="137">
        <v>86</v>
      </c>
      <c r="D197" s="137">
        <v>477</v>
      </c>
      <c r="E197" s="137">
        <v>50</v>
      </c>
      <c r="F197" s="137">
        <v>37</v>
      </c>
      <c r="G197" s="137">
        <v>863</v>
      </c>
    </row>
    <row r="198" spans="1:7" x14ac:dyDescent="0.25">
      <c r="A198" s="136" t="s">
        <v>271</v>
      </c>
      <c r="B198" s="137">
        <v>1459</v>
      </c>
      <c r="C198" s="137">
        <v>556</v>
      </c>
      <c r="D198" s="137">
        <v>3454</v>
      </c>
      <c r="E198" s="137">
        <v>276</v>
      </c>
      <c r="F198" s="137">
        <v>214</v>
      </c>
      <c r="G198" s="137">
        <v>5959</v>
      </c>
    </row>
    <row r="199" spans="1:7" x14ac:dyDescent="0.25">
      <c r="A199" s="136" t="s">
        <v>272</v>
      </c>
      <c r="B199" s="137">
        <v>1185</v>
      </c>
      <c r="C199" s="137">
        <v>660</v>
      </c>
      <c r="D199" s="137">
        <v>3203</v>
      </c>
      <c r="E199" s="137">
        <v>249</v>
      </c>
      <c r="F199" s="137">
        <v>258</v>
      </c>
      <c r="G199" s="137">
        <v>5555</v>
      </c>
    </row>
    <row r="200" spans="1:7" x14ac:dyDescent="0.25">
      <c r="A200" s="136" t="s">
        <v>495</v>
      </c>
      <c r="B200" s="137">
        <v>1646</v>
      </c>
      <c r="C200" s="137">
        <v>525</v>
      </c>
      <c r="D200" s="137">
        <v>3412</v>
      </c>
      <c r="E200" s="137">
        <v>231</v>
      </c>
      <c r="F200" s="137">
        <v>217</v>
      </c>
      <c r="G200" s="137">
        <v>6031</v>
      </c>
    </row>
    <row r="201" spans="1:7" x14ac:dyDescent="0.25">
      <c r="A201" s="136" t="s">
        <v>273</v>
      </c>
      <c r="B201" s="137">
        <v>2333</v>
      </c>
      <c r="C201" s="137">
        <v>819</v>
      </c>
      <c r="D201" s="137">
        <v>8726</v>
      </c>
      <c r="E201" s="137">
        <v>980</v>
      </c>
      <c r="F201" s="137">
        <v>486</v>
      </c>
      <c r="G201" s="137">
        <v>13344</v>
      </c>
    </row>
    <row r="202" spans="1:7" x14ac:dyDescent="0.25">
      <c r="A202" s="136" t="s">
        <v>274</v>
      </c>
      <c r="B202" s="137">
        <v>6243</v>
      </c>
      <c r="C202" s="137">
        <v>1954</v>
      </c>
      <c r="D202" s="137">
        <v>23553</v>
      </c>
      <c r="E202" s="137">
        <v>2793</v>
      </c>
      <c r="F202" s="137">
        <v>1235</v>
      </c>
      <c r="G202" s="137">
        <v>35778</v>
      </c>
    </row>
    <row r="203" spans="1:7" x14ac:dyDescent="0.25">
      <c r="A203" s="136" t="s">
        <v>275</v>
      </c>
      <c r="B203" s="137">
        <v>312</v>
      </c>
      <c r="C203" s="137">
        <v>122</v>
      </c>
      <c r="D203" s="137">
        <v>643</v>
      </c>
      <c r="E203" s="137">
        <v>41</v>
      </c>
      <c r="F203" s="137">
        <v>53</v>
      </c>
      <c r="G203" s="137">
        <v>1171</v>
      </c>
    </row>
    <row r="204" spans="1:7" x14ac:dyDescent="0.25">
      <c r="A204" s="136" t="s">
        <v>276</v>
      </c>
      <c r="B204" s="137">
        <v>3671</v>
      </c>
      <c r="C204" s="137">
        <v>1344</v>
      </c>
      <c r="D204" s="137">
        <v>11349</v>
      </c>
      <c r="E204" s="137">
        <v>1120</v>
      </c>
      <c r="F204" s="137">
        <v>705</v>
      </c>
      <c r="G204" s="137">
        <v>18189</v>
      </c>
    </row>
    <row r="205" spans="1:7" x14ac:dyDescent="0.25">
      <c r="A205" s="136" t="s">
        <v>277</v>
      </c>
      <c r="B205" s="137">
        <v>1293</v>
      </c>
      <c r="C205" s="137">
        <v>506</v>
      </c>
      <c r="D205" s="137">
        <v>3578</v>
      </c>
      <c r="E205" s="137">
        <v>343</v>
      </c>
      <c r="F205" s="137">
        <v>183</v>
      </c>
      <c r="G205" s="137">
        <v>5903</v>
      </c>
    </row>
    <row r="206" spans="1:7" x14ac:dyDescent="0.25">
      <c r="A206" s="136" t="s">
        <v>278</v>
      </c>
      <c r="B206" s="137">
        <v>585</v>
      </c>
      <c r="C206" s="137">
        <v>187</v>
      </c>
      <c r="D206" s="137">
        <v>1343</v>
      </c>
      <c r="E206" s="137">
        <v>103</v>
      </c>
      <c r="F206" s="137">
        <v>81</v>
      </c>
      <c r="G206" s="137">
        <v>2299</v>
      </c>
    </row>
    <row r="207" spans="1:7" x14ac:dyDescent="0.25">
      <c r="A207" s="136" t="s">
        <v>279</v>
      </c>
      <c r="B207" s="137">
        <v>2673</v>
      </c>
      <c r="C207" s="137">
        <v>936</v>
      </c>
      <c r="D207" s="137">
        <v>9970</v>
      </c>
      <c r="E207" s="137">
        <v>1166</v>
      </c>
      <c r="F207" s="137">
        <v>471</v>
      </c>
      <c r="G207" s="137">
        <v>15216</v>
      </c>
    </row>
    <row r="208" spans="1:7" x14ac:dyDescent="0.25">
      <c r="A208" s="136" t="s">
        <v>280</v>
      </c>
      <c r="B208" s="137">
        <v>902</v>
      </c>
      <c r="C208" s="137">
        <v>375</v>
      </c>
      <c r="D208" s="137">
        <v>2217</v>
      </c>
      <c r="E208" s="137">
        <v>189</v>
      </c>
      <c r="F208" s="137">
        <v>180</v>
      </c>
      <c r="G208" s="137">
        <v>3863</v>
      </c>
    </row>
    <row r="209" spans="1:7" x14ac:dyDescent="0.25">
      <c r="A209" s="136" t="s">
        <v>281</v>
      </c>
      <c r="B209" s="137">
        <v>1242</v>
      </c>
      <c r="C209" s="137">
        <v>616</v>
      </c>
      <c r="D209" s="137">
        <v>2666</v>
      </c>
      <c r="E209" s="137">
        <v>274</v>
      </c>
      <c r="F209" s="137">
        <v>251</v>
      </c>
      <c r="G209" s="137">
        <v>5049</v>
      </c>
    </row>
    <row r="210" spans="1:7" x14ac:dyDescent="0.25">
      <c r="A210" s="136" t="s">
        <v>282</v>
      </c>
      <c r="B210" s="137">
        <v>1051</v>
      </c>
      <c r="C210" s="137">
        <v>437</v>
      </c>
      <c r="D210" s="137">
        <v>2480</v>
      </c>
      <c r="E210" s="137">
        <v>205</v>
      </c>
      <c r="F210" s="137">
        <v>140</v>
      </c>
      <c r="G210" s="137">
        <v>4313</v>
      </c>
    </row>
    <row r="211" spans="1:7" x14ac:dyDescent="0.25">
      <c r="A211" s="136" t="s">
        <v>283</v>
      </c>
      <c r="B211" s="137">
        <v>740</v>
      </c>
      <c r="C211" s="137">
        <v>301</v>
      </c>
      <c r="D211" s="137">
        <v>1937</v>
      </c>
      <c r="E211" s="137">
        <v>164</v>
      </c>
      <c r="F211" s="137">
        <v>145</v>
      </c>
      <c r="G211" s="137">
        <v>3287</v>
      </c>
    </row>
    <row r="212" spans="1:7" x14ac:dyDescent="0.25">
      <c r="A212" s="136" t="s">
        <v>284</v>
      </c>
      <c r="B212" s="137">
        <v>6971</v>
      </c>
      <c r="C212" s="137">
        <v>3282</v>
      </c>
      <c r="D212" s="137">
        <v>19795</v>
      </c>
      <c r="E212" s="137">
        <v>1962</v>
      </c>
      <c r="F212" s="137">
        <v>1873</v>
      </c>
      <c r="G212" s="137">
        <v>33883</v>
      </c>
    </row>
    <row r="213" spans="1:7" x14ac:dyDescent="0.25">
      <c r="A213" s="136" t="s">
        <v>285</v>
      </c>
      <c r="B213" s="137">
        <v>1827</v>
      </c>
      <c r="C213" s="137">
        <v>571</v>
      </c>
      <c r="D213" s="137">
        <v>6178</v>
      </c>
      <c r="E213" s="137">
        <v>516</v>
      </c>
      <c r="F213" s="137">
        <v>306</v>
      </c>
      <c r="G213" s="137">
        <v>9398</v>
      </c>
    </row>
    <row r="214" spans="1:7" x14ac:dyDescent="0.25">
      <c r="A214" s="136" t="s">
        <v>286</v>
      </c>
      <c r="B214" s="137">
        <v>1279</v>
      </c>
      <c r="C214" s="137">
        <v>692</v>
      </c>
      <c r="D214" s="137">
        <v>3433</v>
      </c>
      <c r="E214" s="137">
        <v>323</v>
      </c>
      <c r="F214" s="137">
        <v>363</v>
      </c>
      <c r="G214" s="137">
        <v>6090</v>
      </c>
    </row>
    <row r="215" spans="1:7" x14ac:dyDescent="0.25">
      <c r="A215" s="136" t="s">
        <v>287</v>
      </c>
      <c r="B215" s="137">
        <v>1129</v>
      </c>
      <c r="C215" s="137">
        <v>546</v>
      </c>
      <c r="D215" s="137">
        <v>2880</v>
      </c>
      <c r="E215" s="137">
        <v>190</v>
      </c>
      <c r="F215" s="137">
        <v>311</v>
      </c>
      <c r="G215" s="137">
        <v>5056</v>
      </c>
    </row>
    <row r="216" spans="1:7" x14ac:dyDescent="0.25">
      <c r="A216" s="136" t="s">
        <v>288</v>
      </c>
      <c r="B216" s="137">
        <v>389</v>
      </c>
      <c r="C216" s="137">
        <v>240</v>
      </c>
      <c r="D216" s="137">
        <v>1055</v>
      </c>
      <c r="E216" s="137">
        <v>84</v>
      </c>
      <c r="F216" s="137">
        <v>153</v>
      </c>
      <c r="G216" s="137">
        <v>1921</v>
      </c>
    </row>
    <row r="217" spans="1:7" x14ac:dyDescent="0.25">
      <c r="A217" s="136" t="s">
        <v>289</v>
      </c>
      <c r="B217" s="137">
        <v>1542</v>
      </c>
      <c r="C217" s="137">
        <v>562</v>
      </c>
      <c r="D217" s="137">
        <v>5383</v>
      </c>
      <c r="E217" s="137">
        <v>593</v>
      </c>
      <c r="F217" s="137">
        <v>310</v>
      </c>
      <c r="G217" s="137">
        <v>8390</v>
      </c>
    </row>
    <row r="218" spans="1:7" x14ac:dyDescent="0.25">
      <c r="A218" s="136" t="s">
        <v>290</v>
      </c>
      <c r="B218" s="137">
        <v>271</v>
      </c>
      <c r="C218" s="137">
        <v>101</v>
      </c>
      <c r="D218" s="137">
        <v>537</v>
      </c>
      <c r="E218" s="137">
        <v>27</v>
      </c>
      <c r="F218" s="137">
        <v>39</v>
      </c>
      <c r="G218" s="137">
        <v>975</v>
      </c>
    </row>
    <row r="219" spans="1:7" x14ac:dyDescent="0.25">
      <c r="A219" s="136" t="s">
        <v>291</v>
      </c>
      <c r="B219" s="137">
        <v>554</v>
      </c>
      <c r="C219" s="137">
        <v>251</v>
      </c>
      <c r="D219" s="137">
        <v>1019</v>
      </c>
      <c r="E219" s="137">
        <v>114</v>
      </c>
      <c r="F219" s="137">
        <v>86</v>
      </c>
      <c r="G219" s="137">
        <v>2024</v>
      </c>
    </row>
    <row r="220" spans="1:7" ht="30" x14ac:dyDescent="0.25">
      <c r="A220" s="136" t="s">
        <v>292</v>
      </c>
      <c r="B220" s="137">
        <v>2540</v>
      </c>
      <c r="C220" s="137">
        <v>1016</v>
      </c>
      <c r="D220" s="137">
        <v>9012</v>
      </c>
      <c r="E220" s="137">
        <v>1048</v>
      </c>
      <c r="F220" s="137">
        <v>560</v>
      </c>
      <c r="G220" s="137">
        <v>14176</v>
      </c>
    </row>
    <row r="221" spans="1:7" x14ac:dyDescent="0.25">
      <c r="A221" s="136" t="s">
        <v>293</v>
      </c>
      <c r="B221" s="137">
        <v>178</v>
      </c>
      <c r="C221" s="137">
        <v>94</v>
      </c>
      <c r="D221" s="137">
        <v>441</v>
      </c>
      <c r="E221" s="137">
        <v>40</v>
      </c>
      <c r="F221" s="137">
        <v>38</v>
      </c>
      <c r="G221" s="137">
        <v>791</v>
      </c>
    </row>
    <row r="222" spans="1:7" x14ac:dyDescent="0.25">
      <c r="A222" s="136" t="s">
        <v>294</v>
      </c>
      <c r="B222" s="137">
        <v>677</v>
      </c>
      <c r="C222" s="137">
        <v>295</v>
      </c>
      <c r="D222" s="137">
        <v>1501</v>
      </c>
      <c r="E222" s="137">
        <v>83</v>
      </c>
      <c r="F222" s="137">
        <v>128</v>
      </c>
      <c r="G222" s="137">
        <v>2684</v>
      </c>
    </row>
    <row r="223" spans="1:7" x14ac:dyDescent="0.25">
      <c r="A223" s="136" t="s">
        <v>295</v>
      </c>
      <c r="B223" s="137">
        <v>756</v>
      </c>
      <c r="C223" s="137">
        <v>228</v>
      </c>
      <c r="D223" s="137">
        <v>1424</v>
      </c>
      <c r="E223" s="137">
        <v>107</v>
      </c>
      <c r="F223" s="137">
        <v>101</v>
      </c>
      <c r="G223" s="137">
        <v>2616</v>
      </c>
    </row>
    <row r="224" spans="1:7" x14ac:dyDescent="0.25">
      <c r="A224" s="136" t="s">
        <v>296</v>
      </c>
      <c r="B224" s="137">
        <v>4752</v>
      </c>
      <c r="C224" s="137">
        <v>1750</v>
      </c>
      <c r="D224" s="137">
        <v>16230</v>
      </c>
      <c r="E224" s="137">
        <v>1569</v>
      </c>
      <c r="F224" s="137">
        <v>1015</v>
      </c>
      <c r="G224" s="137">
        <v>25316</v>
      </c>
    </row>
    <row r="225" spans="1:7" x14ac:dyDescent="0.25">
      <c r="A225" s="136" t="s">
        <v>297</v>
      </c>
      <c r="B225" s="137">
        <v>542</v>
      </c>
      <c r="C225" s="137">
        <v>208</v>
      </c>
      <c r="D225" s="137">
        <v>569</v>
      </c>
      <c r="E225" s="137">
        <v>14</v>
      </c>
      <c r="F225" s="137">
        <v>57</v>
      </c>
      <c r="G225" s="137">
        <v>1390</v>
      </c>
    </row>
    <row r="226" spans="1:7" x14ac:dyDescent="0.25">
      <c r="A226" s="136" t="s">
        <v>298</v>
      </c>
      <c r="B226" s="137">
        <v>2051</v>
      </c>
      <c r="C226" s="137">
        <v>657</v>
      </c>
      <c r="D226" s="137">
        <v>7328</v>
      </c>
      <c r="E226" s="137">
        <v>764</v>
      </c>
      <c r="F226" s="137">
        <v>381</v>
      </c>
      <c r="G226" s="137">
        <v>11181</v>
      </c>
    </row>
    <row r="227" spans="1:7" x14ac:dyDescent="0.25">
      <c r="A227" s="155" t="s">
        <v>299</v>
      </c>
      <c r="B227" s="181">
        <v>616</v>
      </c>
      <c r="C227" s="181">
        <v>300</v>
      </c>
      <c r="D227" s="181">
        <v>1819</v>
      </c>
      <c r="E227" s="181">
        <v>157</v>
      </c>
      <c r="F227" s="181">
        <v>158</v>
      </c>
      <c r="G227" s="181">
        <v>3050</v>
      </c>
    </row>
    <row r="228" spans="1:7" x14ac:dyDescent="0.25">
      <c r="A228" s="158" t="s">
        <v>300</v>
      </c>
      <c r="B228" s="173">
        <v>1249</v>
      </c>
      <c r="C228" s="173">
        <v>676</v>
      </c>
      <c r="D228" s="173">
        <v>2884</v>
      </c>
      <c r="E228" s="173">
        <v>229</v>
      </c>
      <c r="F228" s="173">
        <v>258</v>
      </c>
      <c r="G228" s="173">
        <v>5296</v>
      </c>
    </row>
    <row r="229" spans="1:7" x14ac:dyDescent="0.25">
      <c r="A229" s="183" t="s">
        <v>25</v>
      </c>
      <c r="B229" s="184">
        <v>53055</v>
      </c>
      <c r="C229" s="184">
        <v>21104</v>
      </c>
      <c r="D229" s="184">
        <v>160824</v>
      </c>
      <c r="E229" s="184">
        <v>16010</v>
      </c>
      <c r="F229" s="184">
        <v>10879</v>
      </c>
      <c r="G229" s="184">
        <v>261872</v>
      </c>
    </row>
    <row r="230" spans="1:7" x14ac:dyDescent="0.25">
      <c r="A230" s="157"/>
      <c r="B230" s="157"/>
      <c r="C230" s="157"/>
      <c r="D230" s="157"/>
    </row>
    <row r="231" spans="1:7" x14ac:dyDescent="0.25">
      <c r="A231" s="157"/>
      <c r="B231" s="157"/>
      <c r="C231" s="157"/>
      <c r="D231" s="157"/>
    </row>
    <row r="232" spans="1:7" x14ac:dyDescent="0.25">
      <c r="A232" s="157"/>
      <c r="B232" s="157"/>
      <c r="C232" s="157"/>
      <c r="D232" s="157"/>
    </row>
    <row r="233" spans="1:7" x14ac:dyDescent="0.25">
      <c r="A233" s="186" t="s">
        <v>513</v>
      </c>
    </row>
    <row r="234" spans="1:7" x14ac:dyDescent="0.25">
      <c r="A234" s="157"/>
      <c r="B234" s="475" t="s">
        <v>487</v>
      </c>
      <c r="C234" s="475"/>
      <c r="D234" s="475"/>
      <c r="E234" s="475"/>
      <c r="F234" s="475"/>
      <c r="G234" s="91"/>
    </row>
    <row r="235" spans="1:7" x14ac:dyDescent="0.25">
      <c r="A235" s="159" t="s">
        <v>532</v>
      </c>
      <c r="B235" s="188" t="s">
        <v>127</v>
      </c>
      <c r="C235" s="188" t="s">
        <v>128</v>
      </c>
      <c r="D235" s="188" t="s">
        <v>129</v>
      </c>
      <c r="E235" s="188" t="s">
        <v>11</v>
      </c>
      <c r="F235" s="188" t="s">
        <v>130</v>
      </c>
      <c r="G235" s="160" t="s">
        <v>25</v>
      </c>
    </row>
    <row r="236" spans="1:7" x14ac:dyDescent="0.25">
      <c r="A236" s="156" t="s">
        <v>301</v>
      </c>
      <c r="B236" s="182">
        <v>1894</v>
      </c>
      <c r="C236" s="182">
        <v>679</v>
      </c>
      <c r="D236" s="182">
        <v>6178</v>
      </c>
      <c r="E236" s="182">
        <v>475</v>
      </c>
      <c r="F236" s="182">
        <v>440</v>
      </c>
      <c r="G236" s="182">
        <v>9666</v>
      </c>
    </row>
    <row r="237" spans="1:7" x14ac:dyDescent="0.25">
      <c r="A237" s="136" t="s">
        <v>302</v>
      </c>
      <c r="B237" s="137">
        <v>1924</v>
      </c>
      <c r="C237" s="137">
        <v>591</v>
      </c>
      <c r="D237" s="137">
        <v>2142</v>
      </c>
      <c r="E237" s="137">
        <v>96</v>
      </c>
      <c r="F237" s="137">
        <v>186</v>
      </c>
      <c r="G237" s="137">
        <v>4939</v>
      </c>
    </row>
    <row r="238" spans="1:7" x14ac:dyDescent="0.25">
      <c r="A238" s="136" t="s">
        <v>303</v>
      </c>
      <c r="B238" s="137">
        <v>729</v>
      </c>
      <c r="C238" s="137">
        <v>212</v>
      </c>
      <c r="D238" s="137">
        <v>839</v>
      </c>
      <c r="E238" s="137">
        <v>30</v>
      </c>
      <c r="F238" s="137">
        <v>90</v>
      </c>
      <c r="G238" s="137">
        <v>1900</v>
      </c>
    </row>
    <row r="239" spans="1:7" x14ac:dyDescent="0.25">
      <c r="A239" s="136" t="s">
        <v>304</v>
      </c>
      <c r="B239" s="137">
        <v>959</v>
      </c>
      <c r="C239" s="137">
        <v>338</v>
      </c>
      <c r="D239" s="137">
        <v>2436</v>
      </c>
      <c r="E239" s="137">
        <v>186</v>
      </c>
      <c r="F239" s="137">
        <v>175</v>
      </c>
      <c r="G239" s="137">
        <v>4094</v>
      </c>
    </row>
    <row r="240" spans="1:7" x14ac:dyDescent="0.25">
      <c r="A240" s="136" t="s">
        <v>305</v>
      </c>
      <c r="B240" s="137">
        <v>1408</v>
      </c>
      <c r="C240" s="137">
        <v>326</v>
      </c>
      <c r="D240" s="137">
        <v>2068</v>
      </c>
      <c r="E240" s="137">
        <v>132</v>
      </c>
      <c r="F240" s="137">
        <v>124</v>
      </c>
      <c r="G240" s="137">
        <v>4058</v>
      </c>
    </row>
    <row r="241" spans="1:7" x14ac:dyDescent="0.25">
      <c r="A241" s="136" t="s">
        <v>306</v>
      </c>
      <c r="B241" s="137">
        <v>1068</v>
      </c>
      <c r="C241" s="137">
        <v>252</v>
      </c>
      <c r="D241" s="137">
        <v>2264</v>
      </c>
      <c r="E241" s="137">
        <v>271</v>
      </c>
      <c r="F241" s="137">
        <v>98</v>
      </c>
      <c r="G241" s="137">
        <v>3953</v>
      </c>
    </row>
    <row r="242" spans="1:7" x14ac:dyDescent="0.25">
      <c r="A242" s="136" t="s">
        <v>307</v>
      </c>
      <c r="B242" s="137">
        <v>671</v>
      </c>
      <c r="C242" s="137">
        <v>124</v>
      </c>
      <c r="D242" s="137">
        <v>504</v>
      </c>
      <c r="E242" s="137">
        <v>20</v>
      </c>
      <c r="F242" s="137">
        <v>29</v>
      </c>
      <c r="G242" s="137">
        <v>1348</v>
      </c>
    </row>
    <row r="243" spans="1:7" x14ac:dyDescent="0.25">
      <c r="A243" s="136" t="s">
        <v>308</v>
      </c>
      <c r="B243" s="137">
        <v>328</v>
      </c>
      <c r="C243" s="137">
        <v>131</v>
      </c>
      <c r="D243" s="137">
        <v>770</v>
      </c>
      <c r="E243" s="137">
        <v>37</v>
      </c>
      <c r="F243" s="137">
        <v>43</v>
      </c>
      <c r="G243" s="137">
        <v>1309</v>
      </c>
    </row>
    <row r="244" spans="1:7" x14ac:dyDescent="0.25">
      <c r="A244" s="136" t="s">
        <v>309</v>
      </c>
      <c r="B244" s="137">
        <v>1329</v>
      </c>
      <c r="C244" s="137">
        <v>363</v>
      </c>
      <c r="D244" s="137">
        <v>2444</v>
      </c>
      <c r="E244" s="137">
        <v>145</v>
      </c>
      <c r="F244" s="137">
        <v>182</v>
      </c>
      <c r="G244" s="137">
        <v>4463</v>
      </c>
    </row>
    <row r="245" spans="1:7" x14ac:dyDescent="0.25">
      <c r="A245" s="136" t="s">
        <v>310</v>
      </c>
      <c r="B245" s="137">
        <v>754</v>
      </c>
      <c r="C245" s="137">
        <v>301</v>
      </c>
      <c r="D245" s="137">
        <v>984</v>
      </c>
      <c r="E245" s="137">
        <v>46</v>
      </c>
      <c r="F245" s="137">
        <v>106</v>
      </c>
      <c r="G245" s="137">
        <v>2191</v>
      </c>
    </row>
    <row r="246" spans="1:7" x14ac:dyDescent="0.25">
      <c r="A246" s="136" t="s">
        <v>311</v>
      </c>
      <c r="B246" s="137">
        <v>854</v>
      </c>
      <c r="C246" s="137">
        <v>268</v>
      </c>
      <c r="D246" s="137">
        <v>2025</v>
      </c>
      <c r="E246" s="137">
        <v>156</v>
      </c>
      <c r="F246" s="137">
        <v>146</v>
      </c>
      <c r="G246" s="137">
        <v>3449</v>
      </c>
    </row>
    <row r="247" spans="1:7" x14ac:dyDescent="0.25">
      <c r="A247" s="136" t="s">
        <v>312</v>
      </c>
      <c r="B247" s="137">
        <v>1575</v>
      </c>
      <c r="C247" s="137">
        <v>494</v>
      </c>
      <c r="D247" s="137">
        <v>3362</v>
      </c>
      <c r="E247" s="137">
        <v>282</v>
      </c>
      <c r="F247" s="137">
        <v>250</v>
      </c>
      <c r="G247" s="137">
        <v>5963</v>
      </c>
    </row>
    <row r="248" spans="1:7" x14ac:dyDescent="0.25">
      <c r="A248" s="136" t="s">
        <v>313</v>
      </c>
      <c r="B248" s="137">
        <v>1107</v>
      </c>
      <c r="C248" s="137">
        <v>338</v>
      </c>
      <c r="D248" s="137">
        <v>2680</v>
      </c>
      <c r="E248" s="137">
        <v>241</v>
      </c>
      <c r="F248" s="137">
        <v>202</v>
      </c>
      <c r="G248" s="137">
        <v>4568</v>
      </c>
    </row>
    <row r="249" spans="1:7" x14ac:dyDescent="0.25">
      <c r="A249" s="136" t="s">
        <v>314</v>
      </c>
      <c r="B249" s="137">
        <v>617</v>
      </c>
      <c r="C249" s="137">
        <v>210</v>
      </c>
      <c r="D249" s="137">
        <v>737</v>
      </c>
      <c r="E249" s="137">
        <v>29</v>
      </c>
      <c r="F249" s="137">
        <v>54</v>
      </c>
      <c r="G249" s="137">
        <v>1647</v>
      </c>
    </row>
    <row r="250" spans="1:7" x14ac:dyDescent="0.25">
      <c r="A250" s="136" t="s">
        <v>315</v>
      </c>
      <c r="B250" s="137">
        <v>415</v>
      </c>
      <c r="C250" s="137">
        <v>115</v>
      </c>
      <c r="D250" s="137">
        <v>801</v>
      </c>
      <c r="E250" s="137">
        <v>37</v>
      </c>
      <c r="F250" s="137">
        <v>52</v>
      </c>
      <c r="G250" s="137">
        <v>1420</v>
      </c>
    </row>
    <row r="251" spans="1:7" x14ac:dyDescent="0.25">
      <c r="A251" s="136" t="s">
        <v>316</v>
      </c>
      <c r="B251" s="137">
        <v>530</v>
      </c>
      <c r="C251" s="137">
        <v>215</v>
      </c>
      <c r="D251" s="137">
        <v>699</v>
      </c>
      <c r="E251" s="137">
        <v>30</v>
      </c>
      <c r="F251" s="137">
        <v>73</v>
      </c>
      <c r="G251" s="137">
        <v>1547</v>
      </c>
    </row>
    <row r="252" spans="1:7" x14ac:dyDescent="0.25">
      <c r="A252" s="136" t="s">
        <v>317</v>
      </c>
      <c r="B252" s="137">
        <v>658</v>
      </c>
      <c r="C252" s="137">
        <v>134</v>
      </c>
      <c r="D252" s="137">
        <v>546</v>
      </c>
      <c r="E252" s="137">
        <v>34</v>
      </c>
      <c r="F252" s="137">
        <v>47</v>
      </c>
      <c r="G252" s="137">
        <v>1419</v>
      </c>
    </row>
    <row r="253" spans="1:7" x14ac:dyDescent="0.25">
      <c r="A253" s="136" t="s">
        <v>318</v>
      </c>
      <c r="B253" s="137">
        <v>1917</v>
      </c>
      <c r="C253" s="137">
        <v>599</v>
      </c>
      <c r="D253" s="137">
        <v>3069</v>
      </c>
      <c r="E253" s="137">
        <v>215</v>
      </c>
      <c r="F253" s="137">
        <v>225</v>
      </c>
      <c r="G253" s="137">
        <v>6025</v>
      </c>
    </row>
    <row r="254" spans="1:7" x14ac:dyDescent="0.25">
      <c r="A254" s="136" t="s">
        <v>319</v>
      </c>
      <c r="B254" s="137">
        <v>2797</v>
      </c>
      <c r="C254" s="137">
        <v>1052</v>
      </c>
      <c r="D254" s="137">
        <v>5126</v>
      </c>
      <c r="E254" s="137">
        <v>460</v>
      </c>
      <c r="F254" s="137">
        <v>526</v>
      </c>
      <c r="G254" s="137">
        <v>9961</v>
      </c>
    </row>
    <row r="255" spans="1:7" x14ac:dyDescent="0.25">
      <c r="A255" s="136" t="s">
        <v>320</v>
      </c>
      <c r="B255" s="137">
        <v>287</v>
      </c>
      <c r="C255" s="137">
        <v>103</v>
      </c>
      <c r="D255" s="137">
        <v>617</v>
      </c>
      <c r="E255" s="137">
        <v>36</v>
      </c>
      <c r="F255" s="137">
        <v>42</v>
      </c>
      <c r="G255" s="137">
        <v>1085</v>
      </c>
    </row>
    <row r="256" spans="1:7" x14ac:dyDescent="0.25">
      <c r="A256" s="136" t="s">
        <v>321</v>
      </c>
      <c r="B256" s="137">
        <v>1354</v>
      </c>
      <c r="C256" s="137">
        <v>392</v>
      </c>
      <c r="D256" s="137">
        <v>2684</v>
      </c>
      <c r="E256" s="137">
        <v>245</v>
      </c>
      <c r="F256" s="137">
        <v>199</v>
      </c>
      <c r="G256" s="137">
        <v>4874</v>
      </c>
    </row>
    <row r="257" spans="1:7" x14ac:dyDescent="0.25">
      <c r="A257" s="136" t="s">
        <v>322</v>
      </c>
      <c r="B257" s="137">
        <v>1013</v>
      </c>
      <c r="C257" s="137">
        <v>211</v>
      </c>
      <c r="D257" s="137">
        <v>2154</v>
      </c>
      <c r="E257" s="137">
        <v>160</v>
      </c>
      <c r="F257" s="137">
        <v>125</v>
      </c>
      <c r="G257" s="137">
        <v>3663</v>
      </c>
    </row>
    <row r="258" spans="1:7" x14ac:dyDescent="0.25">
      <c r="A258" s="136" t="s">
        <v>323</v>
      </c>
      <c r="B258" s="137">
        <v>741</v>
      </c>
      <c r="C258" s="137">
        <v>304</v>
      </c>
      <c r="D258" s="137">
        <v>1200</v>
      </c>
      <c r="E258" s="137">
        <v>66</v>
      </c>
      <c r="F258" s="137">
        <v>92</v>
      </c>
      <c r="G258" s="137">
        <v>2403</v>
      </c>
    </row>
    <row r="259" spans="1:7" x14ac:dyDescent="0.25">
      <c r="A259" s="136" t="s">
        <v>324</v>
      </c>
      <c r="B259" s="137">
        <v>407</v>
      </c>
      <c r="C259" s="137">
        <v>167</v>
      </c>
      <c r="D259" s="137">
        <v>1132</v>
      </c>
      <c r="E259" s="137">
        <v>60</v>
      </c>
      <c r="F259" s="137">
        <v>91</v>
      </c>
      <c r="G259" s="137">
        <v>1857</v>
      </c>
    </row>
    <row r="260" spans="1:7" x14ac:dyDescent="0.25">
      <c r="A260" s="136" t="s">
        <v>325</v>
      </c>
      <c r="B260" s="137">
        <v>895</v>
      </c>
      <c r="C260" s="137">
        <v>317</v>
      </c>
      <c r="D260" s="137">
        <v>939</v>
      </c>
      <c r="E260" s="137">
        <v>56</v>
      </c>
      <c r="F260" s="137">
        <v>118</v>
      </c>
      <c r="G260" s="137">
        <v>2325</v>
      </c>
    </row>
    <row r="261" spans="1:7" x14ac:dyDescent="0.25">
      <c r="A261" s="136" t="s">
        <v>326</v>
      </c>
      <c r="B261" s="137">
        <v>9094</v>
      </c>
      <c r="C261" s="137">
        <v>2949</v>
      </c>
      <c r="D261" s="137">
        <v>25921</v>
      </c>
      <c r="E261" s="137">
        <v>2940</v>
      </c>
      <c r="F261" s="137">
        <v>1770</v>
      </c>
      <c r="G261" s="137">
        <v>42674</v>
      </c>
    </row>
    <row r="262" spans="1:7" x14ac:dyDescent="0.25">
      <c r="A262" s="136" t="s">
        <v>327</v>
      </c>
      <c r="B262" s="137">
        <v>1212</v>
      </c>
      <c r="C262" s="137">
        <v>326</v>
      </c>
      <c r="D262" s="137">
        <v>1166</v>
      </c>
      <c r="E262" s="137">
        <v>63</v>
      </c>
      <c r="F262" s="137">
        <v>98</v>
      </c>
      <c r="G262" s="137">
        <v>2865</v>
      </c>
    </row>
    <row r="263" spans="1:7" x14ac:dyDescent="0.25">
      <c r="A263" s="136" t="s">
        <v>328</v>
      </c>
      <c r="B263" s="137">
        <v>716</v>
      </c>
      <c r="C263" s="137">
        <v>221</v>
      </c>
      <c r="D263" s="137">
        <v>847</v>
      </c>
      <c r="E263" s="137">
        <v>45</v>
      </c>
      <c r="F263" s="137">
        <v>82</v>
      </c>
      <c r="G263" s="137">
        <v>1911</v>
      </c>
    </row>
    <row r="264" spans="1:7" x14ac:dyDescent="0.25">
      <c r="A264" s="136" t="s">
        <v>329</v>
      </c>
      <c r="B264" s="137">
        <v>994</v>
      </c>
      <c r="C264" s="137">
        <v>380</v>
      </c>
      <c r="D264" s="137">
        <v>2543</v>
      </c>
      <c r="E264" s="137">
        <v>169</v>
      </c>
      <c r="F264" s="137">
        <v>141</v>
      </c>
      <c r="G264" s="137">
        <v>4227</v>
      </c>
    </row>
    <row r="265" spans="1:7" x14ac:dyDescent="0.25">
      <c r="A265" s="136" t="s">
        <v>330</v>
      </c>
      <c r="B265" s="137">
        <v>1629</v>
      </c>
      <c r="C265" s="137">
        <v>547</v>
      </c>
      <c r="D265" s="137">
        <v>4478</v>
      </c>
      <c r="E265" s="137">
        <v>334</v>
      </c>
      <c r="F265" s="137">
        <v>258</v>
      </c>
      <c r="G265" s="137">
        <v>7246</v>
      </c>
    </row>
    <row r="266" spans="1:7" x14ac:dyDescent="0.25">
      <c r="A266" s="136" t="s">
        <v>331</v>
      </c>
      <c r="B266" s="137">
        <v>1181</v>
      </c>
      <c r="C266" s="137">
        <v>405</v>
      </c>
      <c r="D266" s="137">
        <v>2381</v>
      </c>
      <c r="E266" s="137">
        <v>182</v>
      </c>
      <c r="F266" s="137">
        <v>169</v>
      </c>
      <c r="G266" s="137">
        <v>4318</v>
      </c>
    </row>
    <row r="267" spans="1:7" x14ac:dyDescent="0.25">
      <c r="A267" s="136" t="s">
        <v>332</v>
      </c>
      <c r="B267" s="137">
        <v>2534</v>
      </c>
      <c r="C267" s="137">
        <v>680</v>
      </c>
      <c r="D267" s="137">
        <v>6166</v>
      </c>
      <c r="E267" s="137">
        <v>480</v>
      </c>
      <c r="F267" s="137">
        <v>404</v>
      </c>
      <c r="G267" s="137">
        <v>10264</v>
      </c>
    </row>
    <row r="268" spans="1:7" x14ac:dyDescent="0.25">
      <c r="A268" s="183" t="s">
        <v>25</v>
      </c>
      <c r="B268" s="184">
        <v>43591</v>
      </c>
      <c r="C268" s="184">
        <v>13744</v>
      </c>
      <c r="D268" s="184">
        <v>91902</v>
      </c>
      <c r="E268" s="184">
        <v>7758</v>
      </c>
      <c r="F268" s="184">
        <v>6637</v>
      </c>
      <c r="G268" s="184">
        <v>163632</v>
      </c>
    </row>
    <row r="269" spans="1:7" x14ac:dyDescent="0.25">
      <c r="A269" s="157"/>
      <c r="B269" s="157"/>
      <c r="C269" s="157"/>
      <c r="D269" s="157"/>
    </row>
    <row r="270" spans="1:7" x14ac:dyDescent="0.25">
      <c r="A270" s="157"/>
      <c r="B270" s="157"/>
      <c r="C270" s="157"/>
      <c r="D270" s="157"/>
    </row>
    <row r="271" spans="1:7" x14ac:dyDescent="0.25">
      <c r="A271" s="157"/>
      <c r="B271" s="157"/>
      <c r="C271" s="157"/>
      <c r="D271" s="157"/>
    </row>
    <row r="272" spans="1:7" x14ac:dyDescent="0.25">
      <c r="A272" s="157"/>
      <c r="B272" s="157"/>
      <c r="C272" s="157"/>
      <c r="D272" s="157"/>
    </row>
    <row r="273" spans="1:7" x14ac:dyDescent="0.25">
      <c r="A273" s="186" t="s">
        <v>514</v>
      </c>
    </row>
    <row r="274" spans="1:7" x14ac:dyDescent="0.25">
      <c r="A274" s="157"/>
      <c r="B274" s="475" t="s">
        <v>487</v>
      </c>
      <c r="C274" s="475"/>
      <c r="D274" s="475"/>
      <c r="E274" s="475"/>
      <c r="F274" s="475"/>
      <c r="G274" s="91"/>
    </row>
    <row r="275" spans="1:7" x14ac:dyDescent="0.25">
      <c r="A275" s="159" t="s">
        <v>532</v>
      </c>
      <c r="B275" s="188" t="s">
        <v>127</v>
      </c>
      <c r="C275" s="188" t="s">
        <v>128</v>
      </c>
      <c r="D275" s="188" t="s">
        <v>129</v>
      </c>
      <c r="E275" s="188" t="s">
        <v>11</v>
      </c>
      <c r="F275" s="188" t="s">
        <v>130</v>
      </c>
      <c r="G275" s="160" t="s">
        <v>25</v>
      </c>
    </row>
    <row r="276" spans="1:7" x14ac:dyDescent="0.25">
      <c r="A276" s="156" t="s">
        <v>334</v>
      </c>
      <c r="B276" s="182">
        <v>1507</v>
      </c>
      <c r="C276" s="182">
        <v>547</v>
      </c>
      <c r="D276" s="182">
        <v>4869</v>
      </c>
      <c r="E276" s="182">
        <v>370</v>
      </c>
      <c r="F276" s="182">
        <v>324</v>
      </c>
      <c r="G276" s="182">
        <v>7617</v>
      </c>
    </row>
    <row r="277" spans="1:7" x14ac:dyDescent="0.25">
      <c r="A277" s="136" t="s">
        <v>335</v>
      </c>
      <c r="B277" s="137">
        <v>1888</v>
      </c>
      <c r="C277" s="137">
        <v>462</v>
      </c>
      <c r="D277" s="137">
        <v>2480</v>
      </c>
      <c r="E277" s="137">
        <v>130</v>
      </c>
      <c r="F277" s="137">
        <v>214</v>
      </c>
      <c r="G277" s="137">
        <v>5174</v>
      </c>
    </row>
    <row r="278" spans="1:7" x14ac:dyDescent="0.25">
      <c r="A278" s="136" t="s">
        <v>336</v>
      </c>
      <c r="B278" s="137">
        <v>1431</v>
      </c>
      <c r="C278" s="137">
        <v>604</v>
      </c>
      <c r="D278" s="137">
        <v>4340</v>
      </c>
      <c r="E278" s="137">
        <v>391</v>
      </c>
      <c r="F278" s="137">
        <v>422</v>
      </c>
      <c r="G278" s="137">
        <v>7188</v>
      </c>
    </row>
    <row r="279" spans="1:7" x14ac:dyDescent="0.25">
      <c r="A279" s="136" t="s">
        <v>337</v>
      </c>
      <c r="B279" s="137">
        <v>193</v>
      </c>
      <c r="C279" s="137">
        <v>41</v>
      </c>
      <c r="D279" s="137">
        <v>287</v>
      </c>
      <c r="E279" s="137">
        <v>9</v>
      </c>
      <c r="F279" s="137">
        <v>10</v>
      </c>
      <c r="G279" s="137">
        <v>540</v>
      </c>
    </row>
    <row r="280" spans="1:7" x14ac:dyDescent="0.25">
      <c r="A280" s="136" t="s">
        <v>338</v>
      </c>
      <c r="B280" s="137">
        <v>541</v>
      </c>
      <c r="C280" s="137">
        <v>200</v>
      </c>
      <c r="D280" s="137">
        <v>1388</v>
      </c>
      <c r="E280" s="137">
        <v>79</v>
      </c>
      <c r="F280" s="137">
        <v>123</v>
      </c>
      <c r="G280" s="137">
        <v>2331</v>
      </c>
    </row>
    <row r="281" spans="1:7" x14ac:dyDescent="0.25">
      <c r="A281" s="136" t="s">
        <v>339</v>
      </c>
      <c r="B281" s="137">
        <v>302</v>
      </c>
      <c r="C281" s="137">
        <v>59</v>
      </c>
      <c r="D281" s="137">
        <v>316</v>
      </c>
      <c r="E281" s="137">
        <v>11</v>
      </c>
      <c r="F281" s="137">
        <v>23</v>
      </c>
      <c r="G281" s="137">
        <v>711</v>
      </c>
    </row>
    <row r="282" spans="1:7" x14ac:dyDescent="0.25">
      <c r="A282" s="136" t="s">
        <v>340</v>
      </c>
      <c r="B282" s="137">
        <v>178</v>
      </c>
      <c r="C282" s="137">
        <v>55</v>
      </c>
      <c r="D282" s="137">
        <v>392</v>
      </c>
      <c r="E282" s="137">
        <v>16</v>
      </c>
      <c r="F282" s="137">
        <v>34</v>
      </c>
      <c r="G282" s="137">
        <v>675</v>
      </c>
    </row>
    <row r="283" spans="1:7" x14ac:dyDescent="0.25">
      <c r="A283" s="136" t="s">
        <v>341</v>
      </c>
      <c r="B283" s="137">
        <v>579</v>
      </c>
      <c r="C283" s="137">
        <v>162</v>
      </c>
      <c r="D283" s="137">
        <v>1010</v>
      </c>
      <c r="E283" s="137">
        <v>55</v>
      </c>
      <c r="F283" s="137">
        <v>117</v>
      </c>
      <c r="G283" s="137">
        <v>1923</v>
      </c>
    </row>
    <row r="284" spans="1:7" x14ac:dyDescent="0.25">
      <c r="A284" s="136" t="s">
        <v>342</v>
      </c>
      <c r="B284" s="137">
        <v>749</v>
      </c>
      <c r="C284" s="137">
        <v>209</v>
      </c>
      <c r="D284" s="137">
        <v>1214</v>
      </c>
      <c r="E284" s="137">
        <v>93</v>
      </c>
      <c r="F284" s="137">
        <v>82</v>
      </c>
      <c r="G284" s="137">
        <v>2347</v>
      </c>
    </row>
    <row r="285" spans="1:7" x14ac:dyDescent="0.25">
      <c r="A285" s="136" t="s">
        <v>343</v>
      </c>
      <c r="B285" s="137">
        <v>695</v>
      </c>
      <c r="C285" s="137">
        <v>218</v>
      </c>
      <c r="D285" s="137">
        <v>1934</v>
      </c>
      <c r="E285" s="137">
        <v>168</v>
      </c>
      <c r="F285" s="137">
        <v>110</v>
      </c>
      <c r="G285" s="137">
        <v>3125</v>
      </c>
    </row>
    <row r="286" spans="1:7" x14ac:dyDescent="0.25">
      <c r="A286" s="136" t="s">
        <v>344</v>
      </c>
      <c r="B286" s="137">
        <v>144</v>
      </c>
      <c r="C286" s="137">
        <v>21</v>
      </c>
      <c r="D286" s="137">
        <v>232</v>
      </c>
      <c r="E286" s="137">
        <v>6</v>
      </c>
      <c r="F286" s="137">
        <v>7</v>
      </c>
      <c r="G286" s="137">
        <v>410</v>
      </c>
    </row>
    <row r="287" spans="1:7" x14ac:dyDescent="0.25">
      <c r="A287" s="136" t="s">
        <v>345</v>
      </c>
      <c r="B287" s="137">
        <v>417</v>
      </c>
      <c r="C287" s="137">
        <v>138</v>
      </c>
      <c r="D287" s="137">
        <v>588</v>
      </c>
      <c r="E287" s="137">
        <v>38</v>
      </c>
      <c r="F287" s="137">
        <v>53</v>
      </c>
      <c r="G287" s="137">
        <v>1234</v>
      </c>
    </row>
    <row r="288" spans="1:7" x14ac:dyDescent="0.25">
      <c r="A288" s="136" t="s">
        <v>346</v>
      </c>
      <c r="B288" s="137">
        <v>628</v>
      </c>
      <c r="C288" s="137">
        <v>214</v>
      </c>
      <c r="D288" s="137">
        <v>1878</v>
      </c>
      <c r="E288" s="137">
        <v>201</v>
      </c>
      <c r="F288" s="137">
        <v>123</v>
      </c>
      <c r="G288" s="137">
        <v>3044</v>
      </c>
    </row>
    <row r="289" spans="1:7" x14ac:dyDescent="0.25">
      <c r="A289" s="136" t="s">
        <v>347</v>
      </c>
      <c r="B289" s="137">
        <v>1270</v>
      </c>
      <c r="C289" s="137">
        <v>361</v>
      </c>
      <c r="D289" s="137">
        <v>1467</v>
      </c>
      <c r="E289" s="137">
        <v>74</v>
      </c>
      <c r="F289" s="137">
        <v>113</v>
      </c>
      <c r="G289" s="137">
        <v>3285</v>
      </c>
    </row>
    <row r="290" spans="1:7" x14ac:dyDescent="0.25">
      <c r="A290" s="136" t="s">
        <v>348</v>
      </c>
      <c r="B290" s="137">
        <v>1228</v>
      </c>
      <c r="C290" s="137">
        <v>333</v>
      </c>
      <c r="D290" s="137">
        <v>1189</v>
      </c>
      <c r="E290" s="137">
        <v>63</v>
      </c>
      <c r="F290" s="137">
        <v>96</v>
      </c>
      <c r="G290" s="137">
        <v>2909</v>
      </c>
    </row>
    <row r="291" spans="1:7" x14ac:dyDescent="0.25">
      <c r="A291" s="136" t="s">
        <v>349</v>
      </c>
      <c r="B291" s="137">
        <v>5455</v>
      </c>
      <c r="C291" s="137">
        <v>2892</v>
      </c>
      <c r="D291" s="137">
        <v>17096</v>
      </c>
      <c r="E291" s="137">
        <v>2220</v>
      </c>
      <c r="F291" s="137">
        <v>1838</v>
      </c>
      <c r="G291" s="137">
        <v>29501</v>
      </c>
    </row>
    <row r="292" spans="1:7" x14ac:dyDescent="0.25">
      <c r="A292" s="136" t="s">
        <v>350</v>
      </c>
      <c r="B292" s="137">
        <v>118</v>
      </c>
      <c r="C292" s="137">
        <v>15</v>
      </c>
      <c r="D292" s="137">
        <v>244</v>
      </c>
      <c r="E292" s="137">
        <v>19</v>
      </c>
      <c r="F292" s="137">
        <v>9</v>
      </c>
      <c r="G292" s="137">
        <v>405</v>
      </c>
    </row>
    <row r="293" spans="1:7" x14ac:dyDescent="0.25">
      <c r="A293" s="136" t="s">
        <v>351</v>
      </c>
      <c r="B293" s="137">
        <v>6448</v>
      </c>
      <c r="C293" s="137">
        <v>2241</v>
      </c>
      <c r="D293" s="137">
        <v>17969</v>
      </c>
      <c r="E293" s="137">
        <v>1841</v>
      </c>
      <c r="F293" s="137">
        <v>1545</v>
      </c>
      <c r="G293" s="137">
        <v>30044</v>
      </c>
    </row>
    <row r="294" spans="1:7" x14ac:dyDescent="0.25">
      <c r="A294" s="136" t="s">
        <v>352</v>
      </c>
      <c r="B294" s="137">
        <v>348</v>
      </c>
      <c r="C294" s="137">
        <v>187</v>
      </c>
      <c r="D294" s="137">
        <v>791</v>
      </c>
      <c r="E294" s="137">
        <v>60</v>
      </c>
      <c r="F294" s="137">
        <v>91</v>
      </c>
      <c r="G294" s="137">
        <v>1477</v>
      </c>
    </row>
    <row r="295" spans="1:7" x14ac:dyDescent="0.25">
      <c r="A295" s="136" t="s">
        <v>353</v>
      </c>
      <c r="B295" s="137">
        <v>1076</v>
      </c>
      <c r="C295" s="137">
        <v>319</v>
      </c>
      <c r="D295" s="137">
        <v>3548</v>
      </c>
      <c r="E295" s="137">
        <v>370</v>
      </c>
      <c r="F295" s="137">
        <v>180</v>
      </c>
      <c r="G295" s="137">
        <v>5493</v>
      </c>
    </row>
    <row r="296" spans="1:7" x14ac:dyDescent="0.25">
      <c r="A296" s="136" t="s">
        <v>354</v>
      </c>
      <c r="B296" s="137">
        <v>250</v>
      </c>
      <c r="C296" s="137">
        <v>69</v>
      </c>
      <c r="D296" s="137">
        <v>348</v>
      </c>
      <c r="E296" s="137">
        <v>13</v>
      </c>
      <c r="F296" s="137">
        <v>37</v>
      </c>
      <c r="G296" s="137">
        <v>717</v>
      </c>
    </row>
    <row r="297" spans="1:7" x14ac:dyDescent="0.25">
      <c r="A297" s="136" t="s">
        <v>355</v>
      </c>
      <c r="B297" s="137">
        <v>980</v>
      </c>
      <c r="C297" s="137">
        <v>448</v>
      </c>
      <c r="D297" s="137">
        <v>2660</v>
      </c>
      <c r="E297" s="137">
        <v>256</v>
      </c>
      <c r="F297" s="137">
        <v>244</v>
      </c>
      <c r="G297" s="137">
        <v>4588</v>
      </c>
    </row>
    <row r="298" spans="1:7" x14ac:dyDescent="0.25">
      <c r="A298" s="136" t="s">
        <v>356</v>
      </c>
      <c r="B298" s="137">
        <v>485</v>
      </c>
      <c r="C298" s="137">
        <v>283</v>
      </c>
      <c r="D298" s="137">
        <v>1180</v>
      </c>
      <c r="E298" s="137">
        <v>87</v>
      </c>
      <c r="F298" s="137">
        <v>131</v>
      </c>
      <c r="G298" s="137">
        <v>2166</v>
      </c>
    </row>
    <row r="299" spans="1:7" x14ac:dyDescent="0.25">
      <c r="A299" s="136" t="s">
        <v>357</v>
      </c>
      <c r="B299" s="137">
        <v>252</v>
      </c>
      <c r="C299" s="137">
        <v>100</v>
      </c>
      <c r="D299" s="137">
        <v>462</v>
      </c>
      <c r="E299" s="137">
        <v>27</v>
      </c>
      <c r="F299" s="137">
        <v>43</v>
      </c>
      <c r="G299" s="137">
        <v>884</v>
      </c>
    </row>
    <row r="300" spans="1:7" x14ac:dyDescent="0.25">
      <c r="A300" s="136" t="s">
        <v>358</v>
      </c>
      <c r="B300" s="137">
        <v>795</v>
      </c>
      <c r="C300" s="137">
        <v>300</v>
      </c>
      <c r="D300" s="137">
        <v>1691</v>
      </c>
      <c r="E300" s="137">
        <v>77</v>
      </c>
      <c r="F300" s="137">
        <v>207</v>
      </c>
      <c r="G300" s="137">
        <v>3070</v>
      </c>
    </row>
    <row r="301" spans="1:7" x14ac:dyDescent="0.25">
      <c r="A301" s="136" t="s">
        <v>359</v>
      </c>
      <c r="B301" s="137">
        <v>522</v>
      </c>
      <c r="C301" s="137">
        <v>121</v>
      </c>
      <c r="D301" s="137">
        <v>656</v>
      </c>
      <c r="E301" s="137">
        <v>36</v>
      </c>
      <c r="F301" s="137">
        <v>53</v>
      </c>
      <c r="G301" s="137">
        <v>1388</v>
      </c>
    </row>
    <row r="302" spans="1:7" x14ac:dyDescent="0.25">
      <c r="A302" s="136" t="s">
        <v>360</v>
      </c>
      <c r="B302" s="137">
        <v>553</v>
      </c>
      <c r="C302" s="137">
        <v>156</v>
      </c>
      <c r="D302" s="137">
        <v>645</v>
      </c>
      <c r="E302" s="137">
        <v>38</v>
      </c>
      <c r="F302" s="137">
        <v>66</v>
      </c>
      <c r="G302" s="137">
        <v>1458</v>
      </c>
    </row>
    <row r="303" spans="1:7" x14ac:dyDescent="0.25">
      <c r="A303" s="136" t="s">
        <v>361</v>
      </c>
      <c r="B303" s="137">
        <v>679</v>
      </c>
      <c r="C303" s="137">
        <v>385</v>
      </c>
      <c r="D303" s="137">
        <v>1555</v>
      </c>
      <c r="E303" s="137">
        <v>136</v>
      </c>
      <c r="F303" s="137">
        <v>204</v>
      </c>
      <c r="G303" s="137">
        <v>2959</v>
      </c>
    </row>
    <row r="304" spans="1:7" ht="30" x14ac:dyDescent="0.25">
      <c r="A304" s="136" t="s">
        <v>362</v>
      </c>
      <c r="B304" s="137">
        <v>679</v>
      </c>
      <c r="C304" s="137">
        <v>329</v>
      </c>
      <c r="D304" s="137">
        <v>575</v>
      </c>
      <c r="E304" s="137">
        <v>28</v>
      </c>
      <c r="F304" s="137">
        <v>86</v>
      </c>
      <c r="G304" s="137">
        <v>1697</v>
      </c>
    </row>
    <row r="305" spans="1:7" x14ac:dyDescent="0.25">
      <c r="A305" s="136" t="s">
        <v>363</v>
      </c>
      <c r="B305" s="137">
        <v>572</v>
      </c>
      <c r="C305" s="137">
        <v>310</v>
      </c>
      <c r="D305" s="137">
        <v>1138</v>
      </c>
      <c r="E305" s="137">
        <v>82</v>
      </c>
      <c r="F305" s="137">
        <v>145</v>
      </c>
      <c r="G305" s="137">
        <v>2247</v>
      </c>
    </row>
    <row r="306" spans="1:7" x14ac:dyDescent="0.25">
      <c r="A306" s="183" t="s">
        <v>25</v>
      </c>
      <c r="B306" s="184">
        <v>30962</v>
      </c>
      <c r="C306" s="184">
        <v>11779</v>
      </c>
      <c r="D306" s="184">
        <v>74142</v>
      </c>
      <c r="E306" s="184">
        <v>6994</v>
      </c>
      <c r="F306" s="184">
        <v>6730</v>
      </c>
      <c r="G306" s="184">
        <v>130607</v>
      </c>
    </row>
    <row r="307" spans="1:7" x14ac:dyDescent="0.25">
      <c r="A307" s="157"/>
      <c r="B307" s="157"/>
      <c r="C307" s="157"/>
      <c r="D307" s="157"/>
      <c r="E307" s="157"/>
      <c r="F307" s="157"/>
      <c r="G307" s="157"/>
    </row>
    <row r="308" spans="1:7" x14ac:dyDescent="0.25">
      <c r="A308" s="157"/>
      <c r="B308" s="157"/>
      <c r="C308" s="157"/>
      <c r="D308" s="157"/>
      <c r="E308" s="157"/>
      <c r="F308" s="157"/>
      <c r="G308" s="157"/>
    </row>
    <row r="309" spans="1:7" x14ac:dyDescent="0.25">
      <c r="A309" s="157"/>
      <c r="B309" s="157"/>
      <c r="C309" s="157"/>
      <c r="D309" s="157"/>
      <c r="E309" s="157"/>
      <c r="F309" s="157"/>
      <c r="G309" s="157"/>
    </row>
    <row r="310" spans="1:7" x14ac:dyDescent="0.25">
      <c r="A310" s="157"/>
      <c r="B310" s="157"/>
      <c r="C310" s="157"/>
      <c r="D310" s="157"/>
    </row>
    <row r="311" spans="1:7" x14ac:dyDescent="0.25">
      <c r="A311" s="186" t="s">
        <v>515</v>
      </c>
    </row>
    <row r="312" spans="1:7" x14ac:dyDescent="0.25">
      <c r="A312" s="157"/>
      <c r="B312" s="475" t="s">
        <v>487</v>
      </c>
      <c r="C312" s="475"/>
      <c r="D312" s="475"/>
      <c r="E312" s="475"/>
      <c r="F312" s="475"/>
      <c r="G312" s="91"/>
    </row>
    <row r="313" spans="1:7" x14ac:dyDescent="0.25">
      <c r="A313" s="159" t="s">
        <v>532</v>
      </c>
      <c r="B313" s="188" t="s">
        <v>127</v>
      </c>
      <c r="C313" s="188" t="s">
        <v>128</v>
      </c>
      <c r="D313" s="188" t="s">
        <v>129</v>
      </c>
      <c r="E313" s="188" t="s">
        <v>11</v>
      </c>
      <c r="F313" s="188" t="s">
        <v>130</v>
      </c>
      <c r="G313" s="160" t="s">
        <v>25</v>
      </c>
    </row>
    <row r="314" spans="1:7" x14ac:dyDescent="0.25">
      <c r="A314" s="156" t="s">
        <v>364</v>
      </c>
      <c r="B314" s="182">
        <v>449</v>
      </c>
      <c r="C314" s="182">
        <v>69</v>
      </c>
      <c r="D314" s="182">
        <v>583</v>
      </c>
      <c r="E314" s="182">
        <v>21</v>
      </c>
      <c r="F314" s="182">
        <v>37</v>
      </c>
      <c r="G314" s="182">
        <v>1159</v>
      </c>
    </row>
    <row r="315" spans="1:7" x14ac:dyDescent="0.25">
      <c r="A315" s="136" t="s">
        <v>365</v>
      </c>
      <c r="B315" s="137">
        <v>139</v>
      </c>
      <c r="C315" s="137">
        <v>37</v>
      </c>
      <c r="D315" s="137">
        <v>434</v>
      </c>
      <c r="E315" s="137">
        <v>11</v>
      </c>
      <c r="F315" s="137">
        <v>23</v>
      </c>
      <c r="G315" s="137">
        <v>644</v>
      </c>
    </row>
    <row r="316" spans="1:7" x14ac:dyDescent="0.25">
      <c r="A316" s="136" t="s">
        <v>366</v>
      </c>
      <c r="B316" s="137">
        <v>163</v>
      </c>
      <c r="C316" s="137">
        <v>30</v>
      </c>
      <c r="D316" s="137">
        <v>257</v>
      </c>
      <c r="E316" s="137">
        <v>15</v>
      </c>
      <c r="F316" s="137">
        <v>8</v>
      </c>
      <c r="G316" s="137">
        <v>473</v>
      </c>
    </row>
    <row r="317" spans="1:7" x14ac:dyDescent="0.25">
      <c r="A317" s="136" t="s">
        <v>367</v>
      </c>
      <c r="B317" s="137">
        <v>1401</v>
      </c>
      <c r="C317" s="137">
        <v>479</v>
      </c>
      <c r="D317" s="137">
        <v>4698</v>
      </c>
      <c r="E317" s="137">
        <v>407</v>
      </c>
      <c r="F317" s="137">
        <v>418</v>
      </c>
      <c r="G317" s="137">
        <v>7403</v>
      </c>
    </row>
    <row r="318" spans="1:7" x14ac:dyDescent="0.25">
      <c r="A318" s="136" t="s">
        <v>368</v>
      </c>
      <c r="B318" s="137">
        <v>50</v>
      </c>
      <c r="C318" s="137">
        <v>11</v>
      </c>
      <c r="D318" s="137">
        <v>83</v>
      </c>
      <c r="E318" s="137">
        <v>2</v>
      </c>
      <c r="F318" s="137">
        <v>7</v>
      </c>
      <c r="G318" s="137">
        <v>153</v>
      </c>
    </row>
    <row r="319" spans="1:7" x14ac:dyDescent="0.25">
      <c r="A319" s="136" t="s">
        <v>369</v>
      </c>
      <c r="B319" s="137">
        <v>50</v>
      </c>
      <c r="C319" s="137">
        <v>4</v>
      </c>
      <c r="D319" s="137">
        <v>99</v>
      </c>
      <c r="E319" s="137">
        <v>2</v>
      </c>
      <c r="F319" s="137">
        <v>3</v>
      </c>
      <c r="G319" s="137">
        <v>158</v>
      </c>
    </row>
    <row r="320" spans="1:7" x14ac:dyDescent="0.25">
      <c r="A320" s="136" t="s">
        <v>370</v>
      </c>
      <c r="B320" s="137">
        <v>15</v>
      </c>
      <c r="C320" s="137">
        <v>1</v>
      </c>
      <c r="D320" s="137">
        <v>27</v>
      </c>
      <c r="E320" s="137">
        <v>0</v>
      </c>
      <c r="F320" s="137">
        <v>1</v>
      </c>
      <c r="G320" s="137">
        <v>44</v>
      </c>
    </row>
    <row r="321" spans="1:7" x14ac:dyDescent="0.25">
      <c r="A321" s="136" t="s">
        <v>371</v>
      </c>
      <c r="B321" s="137">
        <v>575</v>
      </c>
      <c r="C321" s="137">
        <v>190</v>
      </c>
      <c r="D321" s="137">
        <v>2000</v>
      </c>
      <c r="E321" s="137">
        <v>109</v>
      </c>
      <c r="F321" s="137">
        <v>139</v>
      </c>
      <c r="G321" s="137">
        <v>3013</v>
      </c>
    </row>
    <row r="322" spans="1:7" x14ac:dyDescent="0.25">
      <c r="A322" s="136" t="s">
        <v>496</v>
      </c>
      <c r="B322" s="137">
        <v>124</v>
      </c>
      <c r="C322" s="137">
        <v>23</v>
      </c>
      <c r="D322" s="137">
        <v>299</v>
      </c>
      <c r="E322" s="137">
        <v>7</v>
      </c>
      <c r="F322" s="137">
        <v>16</v>
      </c>
      <c r="G322" s="137">
        <v>469</v>
      </c>
    </row>
    <row r="323" spans="1:7" x14ac:dyDescent="0.25">
      <c r="A323" s="136" t="s">
        <v>372</v>
      </c>
      <c r="B323" s="137">
        <v>12</v>
      </c>
      <c r="C323" s="137">
        <v>1</v>
      </c>
      <c r="D323" s="137">
        <v>25</v>
      </c>
      <c r="E323" s="137">
        <v>0</v>
      </c>
      <c r="F323" s="137">
        <v>3</v>
      </c>
      <c r="G323" s="137">
        <v>41</v>
      </c>
    </row>
    <row r="324" spans="1:7" x14ac:dyDescent="0.25">
      <c r="A324" s="183" t="s">
        <v>25</v>
      </c>
      <c r="B324" s="184">
        <v>2978</v>
      </c>
      <c r="C324" s="184">
        <v>845</v>
      </c>
      <c r="D324" s="184">
        <v>8505</v>
      </c>
      <c r="E324" s="184">
        <v>574</v>
      </c>
      <c r="F324" s="184">
        <v>655</v>
      </c>
      <c r="G324" s="184">
        <v>13557</v>
      </c>
    </row>
    <row r="325" spans="1:7" x14ac:dyDescent="0.25">
      <c r="A325" s="157"/>
      <c r="B325" s="157"/>
      <c r="C325" s="157"/>
      <c r="D325" s="157"/>
    </row>
    <row r="326" spans="1:7" x14ac:dyDescent="0.25">
      <c r="A326" s="157"/>
      <c r="B326" s="157"/>
      <c r="C326" s="157"/>
      <c r="D326" s="157"/>
    </row>
    <row r="327" spans="1:7" x14ac:dyDescent="0.25">
      <c r="A327" s="157"/>
      <c r="B327" s="157"/>
      <c r="C327" s="157"/>
      <c r="D327" s="157"/>
    </row>
    <row r="328" spans="1:7" x14ac:dyDescent="0.25">
      <c r="A328" s="186" t="s">
        <v>516</v>
      </c>
    </row>
    <row r="329" spans="1:7" x14ac:dyDescent="0.25">
      <c r="A329" s="157"/>
      <c r="B329" s="475" t="s">
        <v>487</v>
      </c>
      <c r="C329" s="475"/>
      <c r="D329" s="475"/>
      <c r="E329" s="475"/>
      <c r="F329" s="475"/>
      <c r="G329" s="91"/>
    </row>
    <row r="330" spans="1:7" x14ac:dyDescent="0.25">
      <c r="A330" s="159" t="s">
        <v>532</v>
      </c>
      <c r="B330" s="188" t="s">
        <v>127</v>
      </c>
      <c r="C330" s="188" t="s">
        <v>128</v>
      </c>
      <c r="D330" s="188" t="s">
        <v>129</v>
      </c>
      <c r="E330" s="188" t="s">
        <v>11</v>
      </c>
      <c r="F330" s="188" t="s">
        <v>130</v>
      </c>
      <c r="G330" s="160" t="s">
        <v>25</v>
      </c>
    </row>
    <row r="331" spans="1:7" x14ac:dyDescent="0.25">
      <c r="A331" s="156" t="s">
        <v>373</v>
      </c>
      <c r="B331" s="182">
        <v>17</v>
      </c>
      <c r="C331" s="182">
        <v>7</v>
      </c>
      <c r="D331" s="182">
        <v>71</v>
      </c>
      <c r="E331" s="182">
        <v>2</v>
      </c>
      <c r="F331" s="182">
        <v>4</v>
      </c>
      <c r="G331" s="182">
        <v>101</v>
      </c>
    </row>
    <row r="332" spans="1:7" x14ac:dyDescent="0.25">
      <c r="A332" s="136" t="s">
        <v>374</v>
      </c>
      <c r="B332" s="137">
        <v>0</v>
      </c>
      <c r="C332" s="137">
        <v>0</v>
      </c>
      <c r="D332" s="137">
        <v>4</v>
      </c>
      <c r="E332" s="137">
        <v>0</v>
      </c>
      <c r="F332" s="137">
        <v>0</v>
      </c>
      <c r="G332" s="137">
        <v>4</v>
      </c>
    </row>
    <row r="333" spans="1:7" x14ac:dyDescent="0.25">
      <c r="A333" s="136" t="s">
        <v>375</v>
      </c>
      <c r="B333" s="137">
        <v>3</v>
      </c>
      <c r="C333" s="137">
        <v>0</v>
      </c>
      <c r="D333" s="137">
        <v>15</v>
      </c>
      <c r="E333" s="137">
        <v>0</v>
      </c>
      <c r="F333" s="137">
        <v>1</v>
      </c>
      <c r="G333" s="137">
        <v>19</v>
      </c>
    </row>
    <row r="334" spans="1:7" x14ac:dyDescent="0.25">
      <c r="A334" s="136" t="s">
        <v>376</v>
      </c>
      <c r="B334" s="137">
        <v>1221</v>
      </c>
      <c r="C334" s="137">
        <v>273</v>
      </c>
      <c r="D334" s="137">
        <v>2526</v>
      </c>
      <c r="E334" s="137">
        <v>191</v>
      </c>
      <c r="F334" s="137">
        <v>111</v>
      </c>
      <c r="G334" s="137">
        <v>4322</v>
      </c>
    </row>
    <row r="335" spans="1:7" x14ac:dyDescent="0.25">
      <c r="A335" s="136" t="s">
        <v>377</v>
      </c>
      <c r="B335" s="137">
        <v>173</v>
      </c>
      <c r="C335" s="137">
        <v>43</v>
      </c>
      <c r="D335" s="137">
        <v>628</v>
      </c>
      <c r="E335" s="137">
        <v>44</v>
      </c>
      <c r="F335" s="137">
        <v>30</v>
      </c>
      <c r="G335" s="137">
        <v>918</v>
      </c>
    </row>
    <row r="336" spans="1:7" x14ac:dyDescent="0.25">
      <c r="A336" s="136" t="s">
        <v>378</v>
      </c>
      <c r="B336" s="137">
        <v>7</v>
      </c>
      <c r="C336" s="137">
        <v>5</v>
      </c>
      <c r="D336" s="137">
        <v>49</v>
      </c>
      <c r="E336" s="137">
        <v>3</v>
      </c>
      <c r="F336" s="137">
        <v>1</v>
      </c>
      <c r="G336" s="137">
        <v>65</v>
      </c>
    </row>
    <row r="337" spans="1:7" x14ac:dyDescent="0.25">
      <c r="A337" s="136" t="s">
        <v>379</v>
      </c>
      <c r="B337" s="137">
        <v>3349</v>
      </c>
      <c r="C337" s="137">
        <v>1081</v>
      </c>
      <c r="D337" s="137">
        <v>13090</v>
      </c>
      <c r="E337" s="137">
        <v>1682</v>
      </c>
      <c r="F337" s="137">
        <v>777</v>
      </c>
      <c r="G337" s="137">
        <v>19979</v>
      </c>
    </row>
    <row r="338" spans="1:7" x14ac:dyDescent="0.25">
      <c r="A338" s="136" t="s">
        <v>380</v>
      </c>
      <c r="B338" s="137">
        <v>3</v>
      </c>
      <c r="C338" s="137">
        <v>0</v>
      </c>
      <c r="D338" s="137">
        <v>10</v>
      </c>
      <c r="E338" s="137">
        <v>0</v>
      </c>
      <c r="F338" s="137">
        <v>2</v>
      </c>
      <c r="G338" s="137">
        <v>15</v>
      </c>
    </row>
    <row r="339" spans="1:7" x14ac:dyDescent="0.25">
      <c r="A339" s="136" t="s">
        <v>381</v>
      </c>
      <c r="B339" s="137">
        <v>5</v>
      </c>
      <c r="C339" s="137">
        <v>0</v>
      </c>
      <c r="D339" s="137">
        <v>22</v>
      </c>
      <c r="E339" s="137">
        <v>1</v>
      </c>
      <c r="F339" s="137">
        <v>0</v>
      </c>
      <c r="G339" s="137">
        <v>28</v>
      </c>
    </row>
    <row r="340" spans="1:7" x14ac:dyDescent="0.25">
      <c r="A340" s="136" t="s">
        <v>382</v>
      </c>
      <c r="B340" s="137">
        <v>2</v>
      </c>
      <c r="C340" s="137">
        <v>0</v>
      </c>
      <c r="D340" s="137">
        <v>1</v>
      </c>
      <c r="E340" s="137">
        <v>0</v>
      </c>
      <c r="F340" s="137">
        <v>0</v>
      </c>
      <c r="G340" s="137">
        <v>3</v>
      </c>
    </row>
    <row r="341" spans="1:7" x14ac:dyDescent="0.25">
      <c r="A341" s="136" t="s">
        <v>383</v>
      </c>
      <c r="B341" s="137">
        <v>1</v>
      </c>
      <c r="C341" s="137">
        <v>0</v>
      </c>
      <c r="D341" s="137">
        <v>2</v>
      </c>
      <c r="E341" s="137">
        <v>1</v>
      </c>
      <c r="F341" s="137">
        <v>0</v>
      </c>
      <c r="G341" s="137">
        <v>4</v>
      </c>
    </row>
    <row r="342" spans="1:7" x14ac:dyDescent="0.25">
      <c r="A342" s="183" t="s">
        <v>25</v>
      </c>
      <c r="B342" s="184">
        <v>4781</v>
      </c>
      <c r="C342" s="184">
        <v>1409</v>
      </c>
      <c r="D342" s="184">
        <v>16418</v>
      </c>
      <c r="E342" s="184">
        <v>1924</v>
      </c>
      <c r="F342" s="184">
        <v>926</v>
      </c>
      <c r="G342" s="184">
        <v>25458</v>
      </c>
    </row>
    <row r="343" spans="1:7" x14ac:dyDescent="0.25">
      <c r="A343" s="157"/>
      <c r="B343" s="157"/>
      <c r="C343" s="157"/>
      <c r="D343" s="157"/>
      <c r="E343" s="157"/>
      <c r="F343" s="157"/>
      <c r="G343" s="157"/>
    </row>
    <row r="344" spans="1:7" x14ac:dyDescent="0.25">
      <c r="A344" s="157"/>
      <c r="B344" s="157"/>
      <c r="C344" s="157"/>
      <c r="D344" s="157"/>
      <c r="E344" s="157"/>
      <c r="F344" s="157"/>
      <c r="G344" s="157"/>
    </row>
    <row r="345" spans="1:7" x14ac:dyDescent="0.25">
      <c r="A345" s="157"/>
      <c r="B345" s="157"/>
      <c r="C345" s="157"/>
      <c r="D345" s="157"/>
    </row>
    <row r="346" spans="1:7" x14ac:dyDescent="0.25">
      <c r="A346" s="186" t="s">
        <v>517</v>
      </c>
    </row>
    <row r="347" spans="1:7" x14ac:dyDescent="0.25">
      <c r="A347" s="157"/>
      <c r="B347" s="475" t="s">
        <v>487</v>
      </c>
      <c r="C347" s="475"/>
      <c r="D347" s="475"/>
      <c r="E347" s="475"/>
      <c r="F347" s="475"/>
      <c r="G347" s="91"/>
    </row>
    <row r="348" spans="1:7" x14ac:dyDescent="0.25">
      <c r="A348" s="159" t="s">
        <v>532</v>
      </c>
      <c r="B348" s="188" t="s">
        <v>127</v>
      </c>
      <c r="C348" s="188" t="s">
        <v>128</v>
      </c>
      <c r="D348" s="188" t="s">
        <v>129</v>
      </c>
      <c r="E348" s="188" t="s">
        <v>11</v>
      </c>
      <c r="F348" s="188" t="s">
        <v>130</v>
      </c>
      <c r="G348" s="160" t="s">
        <v>25</v>
      </c>
    </row>
    <row r="349" spans="1:7" x14ac:dyDescent="0.25">
      <c r="A349" s="156" t="s">
        <v>385</v>
      </c>
      <c r="B349" s="182">
        <v>189</v>
      </c>
      <c r="C349" s="182">
        <v>58</v>
      </c>
      <c r="D349" s="182">
        <v>613</v>
      </c>
      <c r="E349" s="182">
        <v>48</v>
      </c>
      <c r="F349" s="182">
        <v>16</v>
      </c>
      <c r="G349" s="182">
        <v>924</v>
      </c>
    </row>
    <row r="350" spans="1:7" x14ac:dyDescent="0.25">
      <c r="A350" s="136" t="s">
        <v>386</v>
      </c>
      <c r="B350" s="137">
        <v>1936</v>
      </c>
      <c r="C350" s="137">
        <v>669</v>
      </c>
      <c r="D350" s="137">
        <v>8419</v>
      </c>
      <c r="E350" s="137">
        <v>752</v>
      </c>
      <c r="F350" s="137">
        <v>454</v>
      </c>
      <c r="G350" s="137">
        <v>12230</v>
      </c>
    </row>
    <row r="351" spans="1:7" x14ac:dyDescent="0.25">
      <c r="A351" s="136" t="s">
        <v>387</v>
      </c>
      <c r="B351" s="137">
        <v>514</v>
      </c>
      <c r="C351" s="137">
        <v>151</v>
      </c>
      <c r="D351" s="137">
        <v>1959</v>
      </c>
      <c r="E351" s="137">
        <v>179</v>
      </c>
      <c r="F351" s="137">
        <v>114</v>
      </c>
      <c r="G351" s="137">
        <v>2917</v>
      </c>
    </row>
    <row r="352" spans="1:7" x14ac:dyDescent="0.25">
      <c r="A352" s="136" t="s">
        <v>388</v>
      </c>
      <c r="B352" s="137">
        <v>2435</v>
      </c>
      <c r="C352" s="137">
        <v>962</v>
      </c>
      <c r="D352" s="137">
        <v>8397</v>
      </c>
      <c r="E352" s="137">
        <v>977</v>
      </c>
      <c r="F352" s="137">
        <v>408</v>
      </c>
      <c r="G352" s="137">
        <v>13179</v>
      </c>
    </row>
    <row r="353" spans="1:7" x14ac:dyDescent="0.25">
      <c r="A353" s="136" t="s">
        <v>389</v>
      </c>
      <c r="B353" s="137">
        <v>5204</v>
      </c>
      <c r="C353" s="137">
        <v>1816</v>
      </c>
      <c r="D353" s="137">
        <v>16160</v>
      </c>
      <c r="E353" s="137">
        <v>1691</v>
      </c>
      <c r="F353" s="137">
        <v>944</v>
      </c>
      <c r="G353" s="137">
        <v>25815</v>
      </c>
    </row>
    <row r="354" spans="1:7" x14ac:dyDescent="0.25">
      <c r="A354" s="136" t="s">
        <v>390</v>
      </c>
      <c r="B354" s="137">
        <v>2392</v>
      </c>
      <c r="C354" s="137">
        <v>1254</v>
      </c>
      <c r="D354" s="137">
        <v>7857</v>
      </c>
      <c r="E354" s="137">
        <v>618</v>
      </c>
      <c r="F354" s="137">
        <v>527</v>
      </c>
      <c r="G354" s="137">
        <v>12648</v>
      </c>
    </row>
    <row r="355" spans="1:7" x14ac:dyDescent="0.25">
      <c r="A355" s="136" t="s">
        <v>391</v>
      </c>
      <c r="B355" s="137">
        <v>5416</v>
      </c>
      <c r="C355" s="137">
        <v>1321</v>
      </c>
      <c r="D355" s="137">
        <v>16813</v>
      </c>
      <c r="E355" s="137">
        <v>1627</v>
      </c>
      <c r="F355" s="137">
        <v>807</v>
      </c>
      <c r="G355" s="137">
        <v>25984</v>
      </c>
    </row>
    <row r="356" spans="1:7" x14ac:dyDescent="0.25">
      <c r="A356" s="136" t="s">
        <v>392</v>
      </c>
      <c r="B356" s="137">
        <v>1137</v>
      </c>
      <c r="C356" s="137">
        <v>275</v>
      </c>
      <c r="D356" s="137">
        <v>3328</v>
      </c>
      <c r="E356" s="137">
        <v>265</v>
      </c>
      <c r="F356" s="137">
        <v>165</v>
      </c>
      <c r="G356" s="137">
        <v>5170</v>
      </c>
    </row>
    <row r="357" spans="1:7" x14ac:dyDescent="0.25">
      <c r="A357" s="136" t="s">
        <v>393</v>
      </c>
      <c r="B357" s="137">
        <v>6070</v>
      </c>
      <c r="C357" s="137">
        <v>2006</v>
      </c>
      <c r="D357" s="137">
        <v>17795</v>
      </c>
      <c r="E357" s="137">
        <v>1801</v>
      </c>
      <c r="F357" s="137">
        <v>1062</v>
      </c>
      <c r="G357" s="137">
        <v>28734</v>
      </c>
    </row>
    <row r="358" spans="1:7" x14ac:dyDescent="0.25">
      <c r="A358" s="136" t="s">
        <v>394</v>
      </c>
      <c r="B358" s="137">
        <v>1137</v>
      </c>
      <c r="C358" s="137">
        <v>350</v>
      </c>
      <c r="D358" s="137">
        <v>3235</v>
      </c>
      <c r="E358" s="137">
        <v>267</v>
      </c>
      <c r="F358" s="137">
        <v>185</v>
      </c>
      <c r="G358" s="137">
        <v>5174</v>
      </c>
    </row>
    <row r="359" spans="1:7" x14ac:dyDescent="0.25">
      <c r="A359" s="136" t="s">
        <v>395</v>
      </c>
      <c r="B359" s="137">
        <v>4813</v>
      </c>
      <c r="C359" s="137">
        <v>1330</v>
      </c>
      <c r="D359" s="137">
        <v>15709</v>
      </c>
      <c r="E359" s="137">
        <v>1499</v>
      </c>
      <c r="F359" s="137">
        <v>760</v>
      </c>
      <c r="G359" s="137">
        <v>24111</v>
      </c>
    </row>
    <row r="360" spans="1:7" x14ac:dyDescent="0.25">
      <c r="A360" s="136" t="s">
        <v>396</v>
      </c>
      <c r="B360" s="137">
        <v>2557</v>
      </c>
      <c r="C360" s="137">
        <v>911</v>
      </c>
      <c r="D360" s="137">
        <v>7608</v>
      </c>
      <c r="E360" s="137">
        <v>794</v>
      </c>
      <c r="F360" s="137">
        <v>463</v>
      </c>
      <c r="G360" s="137">
        <v>12333</v>
      </c>
    </row>
    <row r="361" spans="1:7" x14ac:dyDescent="0.25">
      <c r="A361" s="136" t="s">
        <v>397</v>
      </c>
      <c r="B361" s="137">
        <v>2707</v>
      </c>
      <c r="C361" s="137">
        <v>599</v>
      </c>
      <c r="D361" s="137">
        <v>9791</v>
      </c>
      <c r="E361" s="137">
        <v>961</v>
      </c>
      <c r="F361" s="137">
        <v>400</v>
      </c>
      <c r="G361" s="137">
        <v>14458</v>
      </c>
    </row>
    <row r="362" spans="1:7" x14ac:dyDescent="0.25">
      <c r="A362" s="136" t="s">
        <v>398</v>
      </c>
      <c r="B362" s="137">
        <v>832</v>
      </c>
      <c r="C362" s="137">
        <v>285</v>
      </c>
      <c r="D362" s="137">
        <v>3591</v>
      </c>
      <c r="E362" s="137">
        <v>335</v>
      </c>
      <c r="F362" s="137">
        <v>224</v>
      </c>
      <c r="G362" s="137">
        <v>5267</v>
      </c>
    </row>
    <row r="363" spans="1:7" x14ac:dyDescent="0.25">
      <c r="A363" s="136" t="s">
        <v>399</v>
      </c>
      <c r="B363" s="137">
        <v>3490</v>
      </c>
      <c r="C363" s="137">
        <v>736</v>
      </c>
      <c r="D363" s="137">
        <v>10404</v>
      </c>
      <c r="E363" s="137">
        <v>1158</v>
      </c>
      <c r="F363" s="137">
        <v>429</v>
      </c>
      <c r="G363" s="137">
        <v>16217</v>
      </c>
    </row>
    <row r="364" spans="1:7" x14ac:dyDescent="0.25">
      <c r="A364" s="136" t="s">
        <v>400</v>
      </c>
      <c r="B364" s="137">
        <v>11334</v>
      </c>
      <c r="C364" s="137">
        <v>2443</v>
      </c>
      <c r="D364" s="137">
        <v>40492</v>
      </c>
      <c r="E364" s="137">
        <v>4673</v>
      </c>
      <c r="F364" s="137">
        <v>1483</v>
      </c>
      <c r="G364" s="137">
        <v>60425</v>
      </c>
    </row>
    <row r="365" spans="1:7" x14ac:dyDescent="0.25">
      <c r="A365" s="136" t="s">
        <v>401</v>
      </c>
      <c r="B365" s="137">
        <v>4629</v>
      </c>
      <c r="C365" s="137">
        <v>1345</v>
      </c>
      <c r="D365" s="137">
        <v>14007</v>
      </c>
      <c r="E365" s="137">
        <v>1457</v>
      </c>
      <c r="F365" s="137">
        <v>716</v>
      </c>
      <c r="G365" s="137">
        <v>22154</v>
      </c>
    </row>
    <row r="366" spans="1:7" x14ac:dyDescent="0.25">
      <c r="A366" s="136" t="s">
        <v>402</v>
      </c>
      <c r="B366" s="137">
        <v>5967</v>
      </c>
      <c r="C366" s="137">
        <v>2477</v>
      </c>
      <c r="D366" s="137">
        <v>17114</v>
      </c>
      <c r="E366" s="137">
        <v>1677</v>
      </c>
      <c r="F366" s="137">
        <v>1235</v>
      </c>
      <c r="G366" s="137">
        <v>28470</v>
      </c>
    </row>
    <row r="367" spans="1:7" x14ac:dyDescent="0.25">
      <c r="A367" s="136" t="s">
        <v>403</v>
      </c>
      <c r="B367" s="137">
        <v>1784</v>
      </c>
      <c r="C367" s="137">
        <v>376</v>
      </c>
      <c r="D367" s="137">
        <v>7428</v>
      </c>
      <c r="E367" s="137">
        <v>769</v>
      </c>
      <c r="F367" s="137">
        <v>224</v>
      </c>
      <c r="G367" s="137">
        <v>10581</v>
      </c>
    </row>
    <row r="368" spans="1:7" x14ac:dyDescent="0.25">
      <c r="A368" s="136" t="s">
        <v>404</v>
      </c>
      <c r="B368" s="137">
        <v>1802</v>
      </c>
      <c r="C368" s="137">
        <v>853</v>
      </c>
      <c r="D368" s="137">
        <v>5223</v>
      </c>
      <c r="E368" s="137">
        <v>384</v>
      </c>
      <c r="F368" s="137">
        <v>339</v>
      </c>
      <c r="G368" s="137">
        <v>8601</v>
      </c>
    </row>
    <row r="369" spans="1:7" x14ac:dyDescent="0.25">
      <c r="A369" s="136" t="s">
        <v>405</v>
      </c>
      <c r="B369" s="137">
        <v>4188</v>
      </c>
      <c r="C369" s="137">
        <v>819</v>
      </c>
      <c r="D369" s="137">
        <v>18575</v>
      </c>
      <c r="E369" s="137">
        <v>1898</v>
      </c>
      <c r="F369" s="137">
        <v>454</v>
      </c>
      <c r="G369" s="137">
        <v>25934</v>
      </c>
    </row>
    <row r="370" spans="1:7" x14ac:dyDescent="0.25">
      <c r="A370" s="136" t="s">
        <v>406</v>
      </c>
      <c r="B370" s="137">
        <v>1073</v>
      </c>
      <c r="C370" s="137">
        <v>296</v>
      </c>
      <c r="D370" s="137">
        <v>4053</v>
      </c>
      <c r="E370" s="137">
        <v>308</v>
      </c>
      <c r="F370" s="137">
        <v>168</v>
      </c>
      <c r="G370" s="137">
        <v>5898</v>
      </c>
    </row>
    <row r="371" spans="1:7" x14ac:dyDescent="0.25">
      <c r="A371" s="136" t="s">
        <v>407</v>
      </c>
      <c r="B371" s="137">
        <v>4167</v>
      </c>
      <c r="C371" s="137">
        <v>1456</v>
      </c>
      <c r="D371" s="137">
        <v>11736</v>
      </c>
      <c r="E371" s="137">
        <v>1148</v>
      </c>
      <c r="F371" s="137">
        <v>725</v>
      </c>
      <c r="G371" s="137">
        <v>19232</v>
      </c>
    </row>
    <row r="372" spans="1:7" x14ac:dyDescent="0.25">
      <c r="A372" s="136" t="s">
        <v>408</v>
      </c>
      <c r="B372" s="137">
        <v>3916</v>
      </c>
      <c r="C372" s="137">
        <v>1050</v>
      </c>
      <c r="D372" s="137">
        <v>12862</v>
      </c>
      <c r="E372" s="137">
        <v>1216</v>
      </c>
      <c r="F372" s="137">
        <v>590</v>
      </c>
      <c r="G372" s="137">
        <v>19634</v>
      </c>
    </row>
    <row r="373" spans="1:7" x14ac:dyDescent="0.25">
      <c r="A373" s="136" t="s">
        <v>409</v>
      </c>
      <c r="B373" s="137">
        <v>3709</v>
      </c>
      <c r="C373" s="137">
        <v>768</v>
      </c>
      <c r="D373" s="137">
        <v>14322</v>
      </c>
      <c r="E373" s="137">
        <v>1582</v>
      </c>
      <c r="F373" s="137">
        <v>518</v>
      </c>
      <c r="G373" s="137">
        <v>20899</v>
      </c>
    </row>
    <row r="374" spans="1:7" x14ac:dyDescent="0.25">
      <c r="A374" s="136" t="s">
        <v>410</v>
      </c>
      <c r="B374" s="137">
        <v>12649</v>
      </c>
      <c r="C374" s="137">
        <v>3551</v>
      </c>
      <c r="D374" s="137">
        <v>48462</v>
      </c>
      <c r="E374" s="137">
        <v>5887</v>
      </c>
      <c r="F374" s="137">
        <v>2068</v>
      </c>
      <c r="G374" s="137">
        <v>72617</v>
      </c>
    </row>
    <row r="375" spans="1:7" x14ac:dyDescent="0.25">
      <c r="A375" s="136" t="s">
        <v>411</v>
      </c>
      <c r="B375" s="137">
        <v>435</v>
      </c>
      <c r="C375" s="137">
        <v>137</v>
      </c>
      <c r="D375" s="137">
        <v>1357</v>
      </c>
      <c r="E375" s="137">
        <v>84</v>
      </c>
      <c r="F375" s="137">
        <v>82</v>
      </c>
      <c r="G375" s="137">
        <v>2095</v>
      </c>
    </row>
    <row r="376" spans="1:7" x14ac:dyDescent="0.25">
      <c r="A376" s="136" t="s">
        <v>412</v>
      </c>
      <c r="B376" s="137">
        <v>4343</v>
      </c>
      <c r="C376" s="137">
        <v>1214</v>
      </c>
      <c r="D376" s="137">
        <v>13649</v>
      </c>
      <c r="E376" s="137">
        <v>1114</v>
      </c>
      <c r="F376" s="137">
        <v>773</v>
      </c>
      <c r="G376" s="137">
        <v>21093</v>
      </c>
    </row>
    <row r="377" spans="1:7" x14ac:dyDescent="0.25">
      <c r="A377" s="136" t="s">
        <v>413</v>
      </c>
      <c r="B377" s="137">
        <v>1456</v>
      </c>
      <c r="C377" s="137">
        <v>472</v>
      </c>
      <c r="D377" s="137">
        <v>5401</v>
      </c>
      <c r="E377" s="137">
        <v>554</v>
      </c>
      <c r="F377" s="137">
        <v>288</v>
      </c>
      <c r="G377" s="137">
        <v>8171</v>
      </c>
    </row>
    <row r="378" spans="1:7" x14ac:dyDescent="0.25">
      <c r="A378" s="136" t="s">
        <v>414</v>
      </c>
      <c r="B378" s="137">
        <v>1723</v>
      </c>
      <c r="C378" s="137">
        <v>601</v>
      </c>
      <c r="D378" s="137">
        <v>6434</v>
      </c>
      <c r="E378" s="137">
        <v>451</v>
      </c>
      <c r="F378" s="137">
        <v>302</v>
      </c>
      <c r="G378" s="137">
        <v>9511</v>
      </c>
    </row>
    <row r="379" spans="1:7" ht="30" x14ac:dyDescent="0.25">
      <c r="A379" s="136" t="s">
        <v>415</v>
      </c>
      <c r="B379" s="137">
        <v>4510</v>
      </c>
      <c r="C379" s="137">
        <v>1296</v>
      </c>
      <c r="D379" s="137">
        <v>14568</v>
      </c>
      <c r="E379" s="137">
        <v>1326</v>
      </c>
      <c r="F379" s="137">
        <v>681</v>
      </c>
      <c r="G379" s="137">
        <v>22381</v>
      </c>
    </row>
    <row r="380" spans="1:7" x14ac:dyDescent="0.25">
      <c r="A380" s="136" t="s">
        <v>497</v>
      </c>
      <c r="B380" s="137">
        <v>2242</v>
      </c>
      <c r="C380" s="137">
        <v>669</v>
      </c>
      <c r="D380" s="137">
        <v>8872</v>
      </c>
      <c r="E380" s="137">
        <v>928</v>
      </c>
      <c r="F380" s="137">
        <v>451</v>
      </c>
      <c r="G380" s="137">
        <v>13162</v>
      </c>
    </row>
    <row r="381" spans="1:7" x14ac:dyDescent="0.25">
      <c r="A381" s="136" t="s">
        <v>498</v>
      </c>
      <c r="B381" s="137">
        <v>6285</v>
      </c>
      <c r="C381" s="137">
        <v>2003</v>
      </c>
      <c r="D381" s="137">
        <v>22365</v>
      </c>
      <c r="E381" s="137">
        <v>2312</v>
      </c>
      <c r="F381" s="137">
        <v>1142</v>
      </c>
      <c r="G381" s="137">
        <v>34107</v>
      </c>
    </row>
    <row r="382" spans="1:7" x14ac:dyDescent="0.25">
      <c r="A382" s="136" t="s">
        <v>416</v>
      </c>
      <c r="B382" s="137">
        <v>647</v>
      </c>
      <c r="C382" s="137">
        <v>180</v>
      </c>
      <c r="D382" s="137">
        <v>2065</v>
      </c>
      <c r="E382" s="137">
        <v>198</v>
      </c>
      <c r="F382" s="137">
        <v>85</v>
      </c>
      <c r="G382" s="137">
        <v>3175</v>
      </c>
    </row>
    <row r="383" spans="1:7" x14ac:dyDescent="0.25">
      <c r="A383" s="136" t="s">
        <v>417</v>
      </c>
      <c r="B383" s="137">
        <v>1824</v>
      </c>
      <c r="C383" s="137">
        <v>289</v>
      </c>
      <c r="D383" s="137">
        <v>9289</v>
      </c>
      <c r="E383" s="137">
        <v>994</v>
      </c>
      <c r="F383" s="137">
        <v>206</v>
      </c>
      <c r="G383" s="137">
        <v>12602</v>
      </c>
    </row>
    <row r="384" spans="1:7" x14ac:dyDescent="0.25">
      <c r="A384" s="136" t="s">
        <v>418</v>
      </c>
      <c r="B384" s="137">
        <v>5775</v>
      </c>
      <c r="C384" s="137">
        <v>2253</v>
      </c>
      <c r="D384" s="137">
        <v>20130</v>
      </c>
      <c r="E384" s="137">
        <v>2091</v>
      </c>
      <c r="F384" s="137">
        <v>1203</v>
      </c>
      <c r="G384" s="137">
        <v>31452</v>
      </c>
    </row>
    <row r="385" spans="1:7" x14ac:dyDescent="0.25">
      <c r="A385" s="136" t="s">
        <v>419</v>
      </c>
      <c r="B385" s="137">
        <v>12897</v>
      </c>
      <c r="C385" s="137">
        <v>4353</v>
      </c>
      <c r="D385" s="137">
        <v>46205</v>
      </c>
      <c r="E385" s="137">
        <v>5224</v>
      </c>
      <c r="F385" s="137">
        <v>2389</v>
      </c>
      <c r="G385" s="137">
        <v>71068</v>
      </c>
    </row>
    <row r="386" spans="1:7" x14ac:dyDescent="0.25">
      <c r="A386" s="136" t="s">
        <v>420</v>
      </c>
      <c r="B386" s="137">
        <v>3179</v>
      </c>
      <c r="C386" s="137">
        <v>1255</v>
      </c>
      <c r="D386" s="137">
        <v>11641</v>
      </c>
      <c r="E386" s="137">
        <v>1315</v>
      </c>
      <c r="F386" s="137">
        <v>753</v>
      </c>
      <c r="G386" s="137">
        <v>18143</v>
      </c>
    </row>
    <row r="387" spans="1:7" x14ac:dyDescent="0.25">
      <c r="A387" s="136" t="s">
        <v>421</v>
      </c>
      <c r="B387" s="137">
        <v>4252</v>
      </c>
      <c r="C387" s="137">
        <v>1005</v>
      </c>
      <c r="D387" s="137">
        <v>13922</v>
      </c>
      <c r="E387" s="137">
        <v>1312</v>
      </c>
      <c r="F387" s="137">
        <v>539</v>
      </c>
      <c r="G387" s="137">
        <v>21030</v>
      </c>
    </row>
    <row r="388" spans="1:7" x14ac:dyDescent="0.25">
      <c r="A388" s="136" t="s">
        <v>422</v>
      </c>
      <c r="B388" s="137">
        <v>5696</v>
      </c>
      <c r="C388" s="137">
        <v>1530</v>
      </c>
      <c r="D388" s="137">
        <v>18116</v>
      </c>
      <c r="E388" s="137">
        <v>1848</v>
      </c>
      <c r="F388" s="137">
        <v>894</v>
      </c>
      <c r="G388" s="137">
        <v>28084</v>
      </c>
    </row>
    <row r="389" spans="1:7" x14ac:dyDescent="0.25">
      <c r="A389" s="136" t="s">
        <v>423</v>
      </c>
      <c r="B389" s="137">
        <v>4561</v>
      </c>
      <c r="C389" s="137">
        <v>1626</v>
      </c>
      <c r="D389" s="137">
        <v>14932</v>
      </c>
      <c r="E389" s="137">
        <v>1534</v>
      </c>
      <c r="F389" s="137">
        <v>864</v>
      </c>
      <c r="G389" s="137">
        <v>23517</v>
      </c>
    </row>
    <row r="390" spans="1:7" x14ac:dyDescent="0.25">
      <c r="A390" s="136" t="s">
        <v>424</v>
      </c>
      <c r="B390" s="137">
        <v>7975</v>
      </c>
      <c r="C390" s="137">
        <v>2903</v>
      </c>
      <c r="D390" s="137">
        <v>25796</v>
      </c>
      <c r="E390" s="137">
        <v>2458</v>
      </c>
      <c r="F390" s="137">
        <v>1749</v>
      </c>
      <c r="G390" s="137">
        <v>40881</v>
      </c>
    </row>
    <row r="391" spans="1:7" x14ac:dyDescent="0.25">
      <c r="A391" s="136" t="s">
        <v>425</v>
      </c>
      <c r="B391" s="137">
        <v>3850</v>
      </c>
      <c r="C391" s="137">
        <v>1002</v>
      </c>
      <c r="D391" s="137">
        <v>13065</v>
      </c>
      <c r="E391" s="137">
        <v>1313</v>
      </c>
      <c r="F391" s="137">
        <v>579</v>
      </c>
      <c r="G391" s="137">
        <v>19809</v>
      </c>
    </row>
    <row r="392" spans="1:7" ht="30" x14ac:dyDescent="0.25">
      <c r="A392" s="136" t="s">
        <v>426</v>
      </c>
      <c r="B392" s="137">
        <v>538</v>
      </c>
      <c r="C392" s="137">
        <v>153</v>
      </c>
      <c r="D392" s="137">
        <v>1484</v>
      </c>
      <c r="E392" s="137">
        <v>156</v>
      </c>
      <c r="F392" s="137">
        <v>52</v>
      </c>
      <c r="G392" s="137">
        <v>2383</v>
      </c>
    </row>
    <row r="393" spans="1:7" x14ac:dyDescent="0.25">
      <c r="A393" s="136" t="s">
        <v>427</v>
      </c>
      <c r="B393" s="137">
        <v>3394</v>
      </c>
      <c r="C393" s="137">
        <v>645</v>
      </c>
      <c r="D393" s="137">
        <v>11065</v>
      </c>
      <c r="E393" s="137">
        <v>1183</v>
      </c>
      <c r="F393" s="137">
        <v>396</v>
      </c>
      <c r="G393" s="137">
        <v>16683</v>
      </c>
    </row>
    <row r="394" spans="1:7" x14ac:dyDescent="0.25">
      <c r="A394" s="136" t="s">
        <v>428</v>
      </c>
      <c r="B394" s="137">
        <v>503</v>
      </c>
      <c r="C394" s="137">
        <v>121</v>
      </c>
      <c r="D394" s="137">
        <v>916</v>
      </c>
      <c r="E394" s="137">
        <v>56</v>
      </c>
      <c r="F394" s="137">
        <v>57</v>
      </c>
      <c r="G394" s="137">
        <v>1653</v>
      </c>
    </row>
    <row r="395" spans="1:7" x14ac:dyDescent="0.25">
      <c r="A395" s="136" t="s">
        <v>429</v>
      </c>
      <c r="B395" s="137">
        <v>3989</v>
      </c>
      <c r="C395" s="137">
        <v>1109</v>
      </c>
      <c r="D395" s="137">
        <v>10699</v>
      </c>
      <c r="E395" s="137">
        <v>1088</v>
      </c>
      <c r="F395" s="137">
        <v>547</v>
      </c>
      <c r="G395" s="137">
        <v>17432</v>
      </c>
    </row>
    <row r="396" spans="1:7" x14ac:dyDescent="0.25">
      <c r="A396" s="136" t="s">
        <v>430</v>
      </c>
      <c r="B396" s="137">
        <v>16960</v>
      </c>
      <c r="C396" s="137">
        <v>1376</v>
      </c>
      <c r="D396" s="137">
        <v>31494</v>
      </c>
      <c r="E396" s="137">
        <v>2907</v>
      </c>
      <c r="F396" s="137">
        <v>1191</v>
      </c>
      <c r="G396" s="137">
        <v>53928</v>
      </c>
    </row>
    <row r="397" spans="1:7" x14ac:dyDescent="0.25">
      <c r="A397" s="136" t="s">
        <v>431</v>
      </c>
      <c r="B397" s="137">
        <v>1807</v>
      </c>
      <c r="C397" s="137">
        <v>568</v>
      </c>
      <c r="D397" s="137">
        <v>6951</v>
      </c>
      <c r="E397" s="137">
        <v>708</v>
      </c>
      <c r="F397" s="137">
        <v>376</v>
      </c>
      <c r="G397" s="137">
        <v>10410</v>
      </c>
    </row>
    <row r="398" spans="1:7" x14ac:dyDescent="0.25">
      <c r="A398" s="136" t="s">
        <v>432</v>
      </c>
      <c r="B398" s="137">
        <v>534</v>
      </c>
      <c r="C398" s="137">
        <v>159</v>
      </c>
      <c r="D398" s="137">
        <v>1651</v>
      </c>
      <c r="E398" s="137">
        <v>144</v>
      </c>
      <c r="F398" s="137">
        <v>93</v>
      </c>
      <c r="G398" s="137">
        <v>2581</v>
      </c>
    </row>
    <row r="399" spans="1:7" x14ac:dyDescent="0.25">
      <c r="A399" s="136" t="s">
        <v>433</v>
      </c>
      <c r="B399" s="137">
        <v>908</v>
      </c>
      <c r="C399" s="137">
        <v>116</v>
      </c>
      <c r="D399" s="137">
        <v>3571</v>
      </c>
      <c r="E399" s="137">
        <v>301</v>
      </c>
      <c r="F399" s="137">
        <v>81</v>
      </c>
      <c r="G399" s="137">
        <v>4977</v>
      </c>
    </row>
    <row r="400" spans="1:7" x14ac:dyDescent="0.25">
      <c r="A400" s="136" t="s">
        <v>499</v>
      </c>
      <c r="B400" s="137">
        <v>4489</v>
      </c>
      <c r="C400" s="137">
        <v>754</v>
      </c>
      <c r="D400" s="137">
        <v>20266</v>
      </c>
      <c r="E400" s="137">
        <v>2300</v>
      </c>
      <c r="F400" s="137">
        <v>570</v>
      </c>
      <c r="G400" s="137">
        <v>28379</v>
      </c>
    </row>
    <row r="401" spans="1:7" x14ac:dyDescent="0.25">
      <c r="A401" s="183" t="s">
        <v>25</v>
      </c>
      <c r="B401" s="184">
        <v>200819</v>
      </c>
      <c r="C401" s="184">
        <v>55946</v>
      </c>
      <c r="D401" s="184">
        <v>661857</v>
      </c>
      <c r="E401" s="184">
        <v>67870</v>
      </c>
      <c r="F401" s="184">
        <v>31821</v>
      </c>
      <c r="G401" s="184">
        <v>1018313</v>
      </c>
    </row>
    <row r="402" spans="1:7" x14ac:dyDescent="0.25">
      <c r="A402" s="157"/>
      <c r="B402" s="157"/>
      <c r="C402" s="157"/>
      <c r="D402" s="157"/>
      <c r="E402" s="157"/>
      <c r="F402" s="157"/>
      <c r="G402" s="157"/>
    </row>
    <row r="403" spans="1:7" x14ac:dyDescent="0.25">
      <c r="A403" s="157"/>
      <c r="B403" s="157"/>
      <c r="C403" s="157"/>
      <c r="D403" s="157"/>
      <c r="E403" s="157"/>
      <c r="F403" s="157"/>
      <c r="G403" s="157"/>
    </row>
    <row r="404" spans="1:7" x14ac:dyDescent="0.25">
      <c r="A404" s="157"/>
      <c r="B404" s="157"/>
      <c r="C404" s="157"/>
      <c r="D404" s="157"/>
    </row>
    <row r="405" spans="1:7" x14ac:dyDescent="0.25">
      <c r="A405" s="186" t="s">
        <v>518</v>
      </c>
    </row>
    <row r="406" spans="1:7" x14ac:dyDescent="0.25">
      <c r="A406" s="157"/>
      <c r="B406" s="475" t="s">
        <v>487</v>
      </c>
      <c r="C406" s="475"/>
      <c r="D406" s="475"/>
      <c r="E406" s="475"/>
      <c r="F406" s="475"/>
      <c r="G406" s="91"/>
    </row>
    <row r="407" spans="1:7" x14ac:dyDescent="0.25">
      <c r="A407" s="159" t="s">
        <v>532</v>
      </c>
      <c r="B407" s="188" t="s">
        <v>127</v>
      </c>
      <c r="C407" s="188" t="s">
        <v>128</v>
      </c>
      <c r="D407" s="188" t="s">
        <v>129</v>
      </c>
      <c r="E407" s="188" t="s">
        <v>11</v>
      </c>
      <c r="F407" s="188" t="s">
        <v>130</v>
      </c>
      <c r="G407" s="160" t="s">
        <v>25</v>
      </c>
    </row>
    <row r="408" spans="1:7" x14ac:dyDescent="0.25">
      <c r="A408" s="156" t="s">
        <v>435</v>
      </c>
      <c r="B408" s="182">
        <v>226</v>
      </c>
      <c r="C408" s="182">
        <v>107</v>
      </c>
      <c r="D408" s="182">
        <v>602</v>
      </c>
      <c r="E408" s="182">
        <v>52</v>
      </c>
      <c r="F408" s="182">
        <v>53</v>
      </c>
      <c r="G408" s="182">
        <v>1040</v>
      </c>
    </row>
    <row r="409" spans="1:7" x14ac:dyDescent="0.25">
      <c r="A409" s="136" t="s">
        <v>436</v>
      </c>
      <c r="B409" s="137">
        <v>724</v>
      </c>
      <c r="C409" s="137">
        <v>326</v>
      </c>
      <c r="D409" s="137">
        <v>1324</v>
      </c>
      <c r="E409" s="137">
        <v>100</v>
      </c>
      <c r="F409" s="137">
        <v>126</v>
      </c>
      <c r="G409" s="137">
        <v>2600</v>
      </c>
    </row>
    <row r="410" spans="1:7" x14ac:dyDescent="0.25">
      <c r="A410" s="136" t="s">
        <v>437</v>
      </c>
      <c r="B410" s="137">
        <v>1687</v>
      </c>
      <c r="C410" s="137">
        <v>741</v>
      </c>
      <c r="D410" s="137">
        <v>4915</v>
      </c>
      <c r="E410" s="137">
        <v>486</v>
      </c>
      <c r="F410" s="137">
        <v>523</v>
      </c>
      <c r="G410" s="137">
        <v>8352</v>
      </c>
    </row>
    <row r="411" spans="1:7" x14ac:dyDescent="0.25">
      <c r="A411" s="136" t="s">
        <v>438</v>
      </c>
      <c r="B411" s="137">
        <v>579</v>
      </c>
      <c r="C411" s="137">
        <v>267</v>
      </c>
      <c r="D411" s="137">
        <v>973</v>
      </c>
      <c r="E411" s="137">
        <v>60</v>
      </c>
      <c r="F411" s="137">
        <v>114</v>
      </c>
      <c r="G411" s="137">
        <v>1993</v>
      </c>
    </row>
    <row r="412" spans="1:7" x14ac:dyDescent="0.25">
      <c r="A412" s="136" t="s">
        <v>439</v>
      </c>
      <c r="B412" s="137">
        <v>842</v>
      </c>
      <c r="C412" s="137">
        <v>362</v>
      </c>
      <c r="D412" s="137">
        <v>1910</v>
      </c>
      <c r="E412" s="137">
        <v>134</v>
      </c>
      <c r="F412" s="137">
        <v>206</v>
      </c>
      <c r="G412" s="137">
        <v>3454</v>
      </c>
    </row>
    <row r="413" spans="1:7" x14ac:dyDescent="0.25">
      <c r="A413" s="136" t="s">
        <v>440</v>
      </c>
      <c r="B413" s="137">
        <v>891</v>
      </c>
      <c r="C413" s="137">
        <v>422</v>
      </c>
      <c r="D413" s="137">
        <v>2228</v>
      </c>
      <c r="E413" s="137">
        <v>180</v>
      </c>
      <c r="F413" s="137">
        <v>191</v>
      </c>
      <c r="G413" s="137">
        <v>3912</v>
      </c>
    </row>
    <row r="414" spans="1:7" x14ac:dyDescent="0.25">
      <c r="A414" s="136" t="s">
        <v>441</v>
      </c>
      <c r="B414" s="137">
        <v>284</v>
      </c>
      <c r="C414" s="137">
        <v>151</v>
      </c>
      <c r="D414" s="137">
        <v>888</v>
      </c>
      <c r="E414" s="137">
        <v>75</v>
      </c>
      <c r="F414" s="137">
        <v>88</v>
      </c>
      <c r="G414" s="137">
        <v>1486</v>
      </c>
    </row>
    <row r="415" spans="1:7" x14ac:dyDescent="0.25">
      <c r="A415" s="136" t="s">
        <v>442</v>
      </c>
      <c r="B415" s="137">
        <v>1037</v>
      </c>
      <c r="C415" s="137">
        <v>554</v>
      </c>
      <c r="D415" s="137">
        <v>2425</v>
      </c>
      <c r="E415" s="137">
        <v>185</v>
      </c>
      <c r="F415" s="137">
        <v>267</v>
      </c>
      <c r="G415" s="137">
        <v>4468</v>
      </c>
    </row>
    <row r="416" spans="1:7" x14ac:dyDescent="0.25">
      <c r="A416" s="136" t="s">
        <v>443</v>
      </c>
      <c r="B416" s="137">
        <v>1809</v>
      </c>
      <c r="C416" s="137">
        <v>813</v>
      </c>
      <c r="D416" s="137">
        <v>3090</v>
      </c>
      <c r="E416" s="137">
        <v>231</v>
      </c>
      <c r="F416" s="137">
        <v>351</v>
      </c>
      <c r="G416" s="137">
        <v>6294</v>
      </c>
    </row>
    <row r="417" spans="1:7" x14ac:dyDescent="0.25">
      <c r="A417" s="136" t="s">
        <v>444</v>
      </c>
      <c r="B417" s="137">
        <v>1790</v>
      </c>
      <c r="C417" s="137">
        <v>739</v>
      </c>
      <c r="D417" s="137">
        <v>3776</v>
      </c>
      <c r="E417" s="137">
        <v>271</v>
      </c>
      <c r="F417" s="137">
        <v>422</v>
      </c>
      <c r="G417" s="137">
        <v>6998</v>
      </c>
    </row>
    <row r="418" spans="1:7" ht="30" x14ac:dyDescent="0.25">
      <c r="A418" s="136" t="s">
        <v>445</v>
      </c>
      <c r="B418" s="137">
        <v>896</v>
      </c>
      <c r="C418" s="137">
        <v>452</v>
      </c>
      <c r="D418" s="137">
        <v>2025</v>
      </c>
      <c r="E418" s="137">
        <v>166</v>
      </c>
      <c r="F418" s="137">
        <v>265</v>
      </c>
      <c r="G418" s="137">
        <v>3804</v>
      </c>
    </row>
    <row r="419" spans="1:7" x14ac:dyDescent="0.25">
      <c r="A419" s="136" t="s">
        <v>446</v>
      </c>
      <c r="B419" s="137">
        <v>4880</v>
      </c>
      <c r="C419" s="137">
        <v>2381</v>
      </c>
      <c r="D419" s="137">
        <v>16808</v>
      </c>
      <c r="E419" s="137">
        <v>2172</v>
      </c>
      <c r="F419" s="137">
        <v>1537</v>
      </c>
      <c r="G419" s="137">
        <v>27778</v>
      </c>
    </row>
    <row r="420" spans="1:7" x14ac:dyDescent="0.25">
      <c r="A420" s="183" t="s">
        <v>25</v>
      </c>
      <c r="B420" s="184">
        <v>15645</v>
      </c>
      <c r="C420" s="184">
        <v>7315</v>
      </c>
      <c r="D420" s="184">
        <v>40964</v>
      </c>
      <c r="E420" s="184">
        <v>4112</v>
      </c>
      <c r="F420" s="184">
        <v>4143</v>
      </c>
      <c r="G420" s="184">
        <v>72179</v>
      </c>
    </row>
    <row r="421" spans="1:7" x14ac:dyDescent="0.25">
      <c r="A421" s="157"/>
      <c r="B421" s="157"/>
      <c r="C421" s="157"/>
      <c r="D421" s="157"/>
      <c r="E421" s="157"/>
      <c r="F421" s="157"/>
      <c r="G421" s="157"/>
    </row>
    <row r="422" spans="1:7" x14ac:dyDescent="0.25">
      <c r="A422" s="157"/>
      <c r="B422" s="157"/>
      <c r="C422" s="157"/>
      <c r="D422" s="157"/>
      <c r="E422" s="157"/>
      <c r="F422" s="157"/>
      <c r="G422" s="157"/>
    </row>
    <row r="423" spans="1:7" x14ac:dyDescent="0.25">
      <c r="A423" s="157"/>
      <c r="B423" s="157"/>
      <c r="C423" s="157"/>
      <c r="D423" s="157"/>
    </row>
    <row r="424" spans="1:7" x14ac:dyDescent="0.25">
      <c r="A424" s="186" t="s">
        <v>519</v>
      </c>
    </row>
    <row r="425" spans="1:7" x14ac:dyDescent="0.25">
      <c r="A425" s="157"/>
      <c r="B425" s="475" t="s">
        <v>487</v>
      </c>
      <c r="C425" s="475"/>
      <c r="D425" s="475"/>
      <c r="E425" s="475"/>
      <c r="F425" s="475"/>
      <c r="G425" s="91"/>
    </row>
    <row r="426" spans="1:7" x14ac:dyDescent="0.25">
      <c r="A426" s="159" t="s">
        <v>532</v>
      </c>
      <c r="B426" s="188" t="s">
        <v>127</v>
      </c>
      <c r="C426" s="188" t="s">
        <v>128</v>
      </c>
      <c r="D426" s="188" t="s">
        <v>129</v>
      </c>
      <c r="E426" s="188" t="s">
        <v>11</v>
      </c>
      <c r="F426" s="188" t="s">
        <v>130</v>
      </c>
      <c r="G426" s="160" t="s">
        <v>25</v>
      </c>
    </row>
    <row r="427" spans="1:7" x14ac:dyDescent="0.25">
      <c r="A427" s="156" t="s">
        <v>447</v>
      </c>
      <c r="B427" s="182">
        <v>6450</v>
      </c>
      <c r="C427" s="182">
        <v>2252</v>
      </c>
      <c r="D427" s="182">
        <v>21942</v>
      </c>
      <c r="E427" s="182">
        <v>2414</v>
      </c>
      <c r="F427" s="182">
        <v>1227</v>
      </c>
      <c r="G427" s="182">
        <v>34285</v>
      </c>
    </row>
    <row r="428" spans="1:7" x14ac:dyDescent="0.25">
      <c r="A428" s="136" t="s">
        <v>448</v>
      </c>
      <c r="B428" s="137">
        <v>26</v>
      </c>
      <c r="C428" s="137">
        <v>4</v>
      </c>
      <c r="D428" s="137">
        <v>40</v>
      </c>
      <c r="E428" s="137">
        <v>4</v>
      </c>
      <c r="F428" s="137">
        <v>1</v>
      </c>
      <c r="G428" s="137">
        <v>75</v>
      </c>
    </row>
    <row r="429" spans="1:7" x14ac:dyDescent="0.25">
      <c r="A429" s="136" t="s">
        <v>449</v>
      </c>
      <c r="B429" s="137">
        <v>36</v>
      </c>
      <c r="C429" s="137">
        <v>8</v>
      </c>
      <c r="D429" s="137">
        <v>18</v>
      </c>
      <c r="E429" s="137">
        <v>0</v>
      </c>
      <c r="F429" s="137">
        <v>0</v>
      </c>
      <c r="G429" s="137">
        <v>62</v>
      </c>
    </row>
    <row r="430" spans="1:7" x14ac:dyDescent="0.25">
      <c r="A430" s="136" t="s">
        <v>450</v>
      </c>
      <c r="B430" s="137">
        <v>89</v>
      </c>
      <c r="C430" s="137">
        <v>19</v>
      </c>
      <c r="D430" s="137">
        <v>97</v>
      </c>
      <c r="E430" s="137">
        <v>11</v>
      </c>
      <c r="F430" s="137">
        <v>2</v>
      </c>
      <c r="G430" s="137">
        <v>218</v>
      </c>
    </row>
    <row r="431" spans="1:7" x14ac:dyDescent="0.25">
      <c r="A431" s="183" t="s">
        <v>25</v>
      </c>
      <c r="B431" s="184">
        <v>6601</v>
      </c>
      <c r="C431" s="184">
        <v>2283</v>
      </c>
      <c r="D431" s="184">
        <v>22097</v>
      </c>
      <c r="E431" s="184">
        <v>2429</v>
      </c>
      <c r="F431" s="184">
        <v>1230</v>
      </c>
      <c r="G431" s="184">
        <v>34640</v>
      </c>
    </row>
    <row r="432" spans="1:7" x14ac:dyDescent="0.25">
      <c r="A432" s="157"/>
      <c r="B432" s="157"/>
      <c r="C432" s="157"/>
      <c r="D432" s="157"/>
      <c r="E432" s="157"/>
      <c r="F432" s="157"/>
      <c r="G432" s="157"/>
    </row>
    <row r="433" spans="1:7" x14ac:dyDescent="0.25">
      <c r="A433" s="157"/>
      <c r="B433" s="157"/>
      <c r="C433" s="157"/>
      <c r="D433" s="157"/>
      <c r="E433" s="157"/>
      <c r="F433" s="157"/>
      <c r="G433" s="157"/>
    </row>
    <row r="434" spans="1:7" x14ac:dyDescent="0.25">
      <c r="A434" s="157"/>
      <c r="B434" s="157"/>
      <c r="C434" s="157"/>
      <c r="D434" s="157"/>
    </row>
    <row r="435" spans="1:7" x14ac:dyDescent="0.25">
      <c r="A435" s="186" t="s">
        <v>520</v>
      </c>
    </row>
    <row r="436" spans="1:7" x14ac:dyDescent="0.25">
      <c r="A436" s="157"/>
      <c r="B436" s="475" t="s">
        <v>487</v>
      </c>
      <c r="C436" s="475"/>
      <c r="D436" s="475"/>
      <c r="E436" s="475"/>
      <c r="F436" s="475"/>
      <c r="G436" s="91"/>
    </row>
    <row r="437" spans="1:7" x14ac:dyDescent="0.25">
      <c r="A437" s="159" t="s">
        <v>532</v>
      </c>
      <c r="B437" s="188" t="s">
        <v>127</v>
      </c>
      <c r="C437" s="188" t="s">
        <v>128</v>
      </c>
      <c r="D437" s="188" t="s">
        <v>129</v>
      </c>
      <c r="E437" s="188" t="s">
        <v>11</v>
      </c>
      <c r="F437" s="188" t="s">
        <v>130</v>
      </c>
      <c r="G437" s="160" t="s">
        <v>25</v>
      </c>
    </row>
    <row r="438" spans="1:7" x14ac:dyDescent="0.25">
      <c r="A438" s="156" t="s">
        <v>451</v>
      </c>
      <c r="B438" s="182">
        <v>985</v>
      </c>
      <c r="C438" s="182">
        <v>502</v>
      </c>
      <c r="D438" s="182">
        <v>2673</v>
      </c>
      <c r="E438" s="182">
        <v>212</v>
      </c>
      <c r="F438" s="182">
        <v>238</v>
      </c>
      <c r="G438" s="182">
        <v>4610</v>
      </c>
    </row>
    <row r="439" spans="1:7" x14ac:dyDescent="0.25">
      <c r="A439" s="136" t="s">
        <v>452</v>
      </c>
      <c r="B439" s="137">
        <v>6694</v>
      </c>
      <c r="C439" s="137">
        <v>3574</v>
      </c>
      <c r="D439" s="137">
        <v>20869</v>
      </c>
      <c r="E439" s="137">
        <v>2268</v>
      </c>
      <c r="F439" s="137">
        <v>2418</v>
      </c>
      <c r="G439" s="137">
        <v>35823</v>
      </c>
    </row>
    <row r="440" spans="1:7" x14ac:dyDescent="0.25">
      <c r="A440" s="136" t="s">
        <v>453</v>
      </c>
      <c r="B440" s="137">
        <v>807</v>
      </c>
      <c r="C440" s="137">
        <v>440</v>
      </c>
      <c r="D440" s="137">
        <v>2210</v>
      </c>
      <c r="E440" s="137">
        <v>240</v>
      </c>
      <c r="F440" s="137">
        <v>311</v>
      </c>
      <c r="G440" s="137">
        <v>4008</v>
      </c>
    </row>
    <row r="441" spans="1:7" x14ac:dyDescent="0.25">
      <c r="A441" s="136" t="s">
        <v>454</v>
      </c>
      <c r="B441" s="137">
        <v>401</v>
      </c>
      <c r="C441" s="137">
        <v>146</v>
      </c>
      <c r="D441" s="137">
        <v>540</v>
      </c>
      <c r="E441" s="137">
        <v>31</v>
      </c>
      <c r="F441" s="137">
        <v>54</v>
      </c>
      <c r="G441" s="137">
        <v>1172</v>
      </c>
    </row>
    <row r="442" spans="1:7" x14ac:dyDescent="0.25">
      <c r="A442" s="136" t="s">
        <v>455</v>
      </c>
      <c r="B442" s="137">
        <v>876</v>
      </c>
      <c r="C442" s="137">
        <v>426</v>
      </c>
      <c r="D442" s="137">
        <v>2241</v>
      </c>
      <c r="E442" s="137">
        <v>176</v>
      </c>
      <c r="F442" s="137">
        <v>178</v>
      </c>
      <c r="G442" s="137">
        <v>3897</v>
      </c>
    </row>
    <row r="443" spans="1:7" x14ac:dyDescent="0.25">
      <c r="A443" s="136" t="s">
        <v>456</v>
      </c>
      <c r="B443" s="137">
        <v>1042</v>
      </c>
      <c r="C443" s="137">
        <v>680</v>
      </c>
      <c r="D443" s="137">
        <v>2207</v>
      </c>
      <c r="E443" s="137">
        <v>128</v>
      </c>
      <c r="F443" s="137">
        <v>313</v>
      </c>
      <c r="G443" s="137">
        <v>4370</v>
      </c>
    </row>
    <row r="444" spans="1:7" x14ac:dyDescent="0.25">
      <c r="A444" s="136" t="s">
        <v>457</v>
      </c>
      <c r="B444" s="137">
        <v>833</v>
      </c>
      <c r="C444" s="137">
        <v>479</v>
      </c>
      <c r="D444" s="137">
        <v>1153</v>
      </c>
      <c r="E444" s="137">
        <v>57</v>
      </c>
      <c r="F444" s="137">
        <v>181</v>
      </c>
      <c r="G444" s="137">
        <v>2703</v>
      </c>
    </row>
    <row r="445" spans="1:7" x14ac:dyDescent="0.25">
      <c r="A445" s="136" t="s">
        <v>458</v>
      </c>
      <c r="B445" s="137">
        <v>374</v>
      </c>
      <c r="C445" s="137">
        <v>255</v>
      </c>
      <c r="D445" s="137">
        <v>599</v>
      </c>
      <c r="E445" s="137">
        <v>49</v>
      </c>
      <c r="F445" s="137">
        <v>107</v>
      </c>
      <c r="G445" s="137">
        <v>1384</v>
      </c>
    </row>
    <row r="446" spans="1:7" x14ac:dyDescent="0.25">
      <c r="A446" s="136" t="s">
        <v>459</v>
      </c>
      <c r="B446" s="137">
        <v>403</v>
      </c>
      <c r="C446" s="137">
        <v>270</v>
      </c>
      <c r="D446" s="137">
        <v>843</v>
      </c>
      <c r="E446" s="137">
        <v>49</v>
      </c>
      <c r="F446" s="137">
        <v>121</v>
      </c>
      <c r="G446" s="137">
        <v>1686</v>
      </c>
    </row>
    <row r="447" spans="1:7" x14ac:dyDescent="0.25">
      <c r="A447" s="136" t="s">
        <v>460</v>
      </c>
      <c r="B447" s="137">
        <v>613</v>
      </c>
      <c r="C447" s="137">
        <v>319</v>
      </c>
      <c r="D447" s="137">
        <v>1171</v>
      </c>
      <c r="E447" s="137">
        <v>78</v>
      </c>
      <c r="F447" s="137">
        <v>135</v>
      </c>
      <c r="G447" s="137">
        <v>2316</v>
      </c>
    </row>
    <row r="448" spans="1:7" x14ac:dyDescent="0.25">
      <c r="A448" s="136" t="s">
        <v>461</v>
      </c>
      <c r="B448" s="137">
        <v>313</v>
      </c>
      <c r="C448" s="137">
        <v>164</v>
      </c>
      <c r="D448" s="137">
        <v>671</v>
      </c>
      <c r="E448" s="137">
        <v>32</v>
      </c>
      <c r="F448" s="137">
        <v>98</v>
      </c>
      <c r="G448" s="137">
        <v>1278</v>
      </c>
    </row>
    <row r="449" spans="1:7" x14ac:dyDescent="0.25">
      <c r="A449" s="136" t="s">
        <v>462</v>
      </c>
      <c r="B449" s="137">
        <v>1081</v>
      </c>
      <c r="C449" s="137">
        <v>390</v>
      </c>
      <c r="D449" s="137">
        <v>2292</v>
      </c>
      <c r="E449" s="137">
        <v>173</v>
      </c>
      <c r="F449" s="137">
        <v>139</v>
      </c>
      <c r="G449" s="137">
        <v>4075</v>
      </c>
    </row>
    <row r="450" spans="1:7" x14ac:dyDescent="0.25">
      <c r="A450" s="136" t="s">
        <v>463</v>
      </c>
      <c r="B450" s="137">
        <v>567</v>
      </c>
      <c r="C450" s="137">
        <v>308</v>
      </c>
      <c r="D450" s="137">
        <v>1564</v>
      </c>
      <c r="E450" s="137">
        <v>152</v>
      </c>
      <c r="F450" s="137">
        <v>144</v>
      </c>
      <c r="G450" s="137">
        <v>2735</v>
      </c>
    </row>
    <row r="451" spans="1:7" x14ac:dyDescent="0.25">
      <c r="A451" s="136" t="s">
        <v>464</v>
      </c>
      <c r="B451" s="137">
        <v>336</v>
      </c>
      <c r="C451" s="137">
        <v>175</v>
      </c>
      <c r="D451" s="137">
        <v>888</v>
      </c>
      <c r="E451" s="137">
        <v>69</v>
      </c>
      <c r="F451" s="137">
        <v>64</v>
      </c>
      <c r="G451" s="137">
        <v>1532</v>
      </c>
    </row>
    <row r="452" spans="1:7" x14ac:dyDescent="0.25">
      <c r="A452" s="136" t="s">
        <v>465</v>
      </c>
      <c r="B452" s="137">
        <v>2395</v>
      </c>
      <c r="C452" s="137">
        <v>1246</v>
      </c>
      <c r="D452" s="137">
        <v>6747</v>
      </c>
      <c r="E452" s="137">
        <v>469</v>
      </c>
      <c r="F452" s="137">
        <v>805</v>
      </c>
      <c r="G452" s="137">
        <v>11662</v>
      </c>
    </row>
    <row r="453" spans="1:7" x14ac:dyDescent="0.25">
      <c r="A453" s="136" t="s">
        <v>466</v>
      </c>
      <c r="B453" s="137">
        <v>200</v>
      </c>
      <c r="C453" s="137">
        <v>98</v>
      </c>
      <c r="D453" s="137">
        <v>537</v>
      </c>
      <c r="E453" s="137">
        <v>37</v>
      </c>
      <c r="F453" s="137">
        <v>43</v>
      </c>
      <c r="G453" s="137">
        <v>915</v>
      </c>
    </row>
    <row r="454" spans="1:7" x14ac:dyDescent="0.25">
      <c r="A454" s="136" t="s">
        <v>467</v>
      </c>
      <c r="B454" s="137">
        <v>1050</v>
      </c>
      <c r="C454" s="137">
        <v>627</v>
      </c>
      <c r="D454" s="137">
        <v>1608</v>
      </c>
      <c r="E454" s="137">
        <v>119</v>
      </c>
      <c r="F454" s="137">
        <v>281</v>
      </c>
      <c r="G454" s="137">
        <v>3685</v>
      </c>
    </row>
    <row r="455" spans="1:7" x14ac:dyDescent="0.25">
      <c r="A455" s="136" t="s">
        <v>468</v>
      </c>
      <c r="B455" s="137">
        <v>536</v>
      </c>
      <c r="C455" s="137">
        <v>281</v>
      </c>
      <c r="D455" s="137">
        <v>1189</v>
      </c>
      <c r="E455" s="137">
        <v>83</v>
      </c>
      <c r="F455" s="137">
        <v>167</v>
      </c>
      <c r="G455" s="137">
        <v>2256</v>
      </c>
    </row>
    <row r="456" spans="1:7" x14ac:dyDescent="0.25">
      <c r="A456" s="136" t="s">
        <v>469</v>
      </c>
      <c r="B456" s="137">
        <v>326</v>
      </c>
      <c r="C456" s="137">
        <v>167</v>
      </c>
      <c r="D456" s="137">
        <v>670</v>
      </c>
      <c r="E456" s="137">
        <v>38</v>
      </c>
      <c r="F456" s="137">
        <v>70</v>
      </c>
      <c r="G456" s="137">
        <v>1271</v>
      </c>
    </row>
    <row r="457" spans="1:7" x14ac:dyDescent="0.25">
      <c r="A457" s="136" t="s">
        <v>470</v>
      </c>
      <c r="B457" s="137">
        <v>805</v>
      </c>
      <c r="C457" s="137">
        <v>342</v>
      </c>
      <c r="D457" s="137">
        <v>2227</v>
      </c>
      <c r="E457" s="137">
        <v>212</v>
      </c>
      <c r="F457" s="137">
        <v>158</v>
      </c>
      <c r="G457" s="137">
        <v>3744</v>
      </c>
    </row>
    <row r="458" spans="1:7" x14ac:dyDescent="0.25">
      <c r="A458" s="136" t="s">
        <v>471</v>
      </c>
      <c r="B458" s="137">
        <v>758</v>
      </c>
      <c r="C458" s="137">
        <v>389</v>
      </c>
      <c r="D458" s="137">
        <v>1418</v>
      </c>
      <c r="E458" s="137">
        <v>73</v>
      </c>
      <c r="F458" s="137">
        <v>147</v>
      </c>
      <c r="G458" s="137">
        <v>2785</v>
      </c>
    </row>
    <row r="459" spans="1:7" x14ac:dyDescent="0.25">
      <c r="A459" s="183" t="s">
        <v>25</v>
      </c>
      <c r="B459" s="184">
        <v>21395</v>
      </c>
      <c r="C459" s="184">
        <v>11278</v>
      </c>
      <c r="D459" s="184">
        <v>54317</v>
      </c>
      <c r="E459" s="184">
        <v>4745</v>
      </c>
      <c r="F459" s="184">
        <v>6172</v>
      </c>
      <c r="G459" s="184">
        <v>97907</v>
      </c>
    </row>
  </sheetData>
  <mergeCells count="16">
    <mergeCell ref="B117:F117"/>
    <mergeCell ref="B6:F6"/>
    <mergeCell ref="B20:F20"/>
    <mergeCell ref="B35:F35"/>
    <mergeCell ref="B50:F50"/>
    <mergeCell ref="B72:F72"/>
    <mergeCell ref="B347:F347"/>
    <mergeCell ref="B406:F406"/>
    <mergeCell ref="B425:F425"/>
    <mergeCell ref="B436:F436"/>
    <mergeCell ref="B157:F157"/>
    <mergeCell ref="B194:F194"/>
    <mergeCell ref="B234:F234"/>
    <mergeCell ref="B274:F274"/>
    <mergeCell ref="B312:F312"/>
    <mergeCell ref="B329:F3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 workbookViewId="1"/>
  </sheetViews>
  <sheetFormatPr baseColWidth="10" defaultRowHeight="15" x14ac:dyDescent="0.25"/>
  <sheetData>
    <row r="3" spans="1:7" ht="45" x14ac:dyDescent="0.25">
      <c r="A3" s="136" t="s">
        <v>501</v>
      </c>
      <c r="B3" s="136" t="s">
        <v>502</v>
      </c>
      <c r="C3" s="136">
        <v>1</v>
      </c>
      <c r="D3" s="153"/>
      <c r="E3" s="153"/>
      <c r="F3" s="154"/>
    </row>
    <row r="4" spans="1:7" x14ac:dyDescent="0.25">
      <c r="A4" s="136"/>
      <c r="B4" s="136"/>
      <c r="C4" s="136"/>
      <c r="D4" s="136"/>
      <c r="F4" s="142"/>
    </row>
    <row r="5" spans="1:7" ht="30" x14ac:dyDescent="0.25">
      <c r="A5" s="136"/>
      <c r="B5" s="136"/>
      <c r="C5" s="136" t="s">
        <v>500</v>
      </c>
      <c r="D5" s="136"/>
      <c r="F5" s="142"/>
    </row>
    <row r="6" spans="1:7" x14ac:dyDescent="0.25">
      <c r="A6" s="136" t="s">
        <v>126</v>
      </c>
      <c r="B6" s="136" t="s">
        <v>479</v>
      </c>
      <c r="C6" s="136" t="s">
        <v>480</v>
      </c>
      <c r="D6" s="136" t="s">
        <v>481</v>
      </c>
      <c r="E6" s="136" t="s">
        <v>482</v>
      </c>
      <c r="F6" s="136" t="s">
        <v>483</v>
      </c>
      <c r="G6" s="136" t="s">
        <v>25</v>
      </c>
    </row>
    <row r="7" spans="1:7" x14ac:dyDescent="0.25">
      <c r="A7" s="136"/>
      <c r="B7" s="136"/>
      <c r="C7" s="136"/>
      <c r="G7" s="142"/>
    </row>
    <row r="8" spans="1:7" ht="30" x14ac:dyDescent="0.25">
      <c r="A8" s="136" t="s">
        <v>131</v>
      </c>
      <c r="B8" s="136">
        <v>32</v>
      </c>
      <c r="C8" s="145">
        <v>8631</v>
      </c>
      <c r="D8" s="136">
        <v>1</v>
      </c>
      <c r="E8" s="145">
        <v>1938</v>
      </c>
      <c r="F8" s="136">
        <v>329</v>
      </c>
      <c r="G8" s="145">
        <v>10931</v>
      </c>
    </row>
    <row r="9" spans="1:7" x14ac:dyDescent="0.25">
      <c r="A9" s="136" t="s">
        <v>137</v>
      </c>
      <c r="B9" s="136">
        <v>0</v>
      </c>
      <c r="C9" s="136">
        <v>192</v>
      </c>
      <c r="D9">
        <v>0</v>
      </c>
      <c r="E9" s="136">
        <v>38</v>
      </c>
      <c r="F9" s="136">
        <v>4</v>
      </c>
      <c r="G9" s="136">
        <v>234</v>
      </c>
    </row>
    <row r="10" spans="1:7" x14ac:dyDescent="0.25">
      <c r="A10" s="136" t="s">
        <v>132</v>
      </c>
      <c r="B10" s="136">
        <v>2</v>
      </c>
      <c r="C10" s="136">
        <v>137</v>
      </c>
      <c r="D10">
        <v>0</v>
      </c>
      <c r="E10" s="136">
        <v>25</v>
      </c>
      <c r="F10" s="136">
        <v>3</v>
      </c>
      <c r="G10" s="136">
        <v>167</v>
      </c>
    </row>
    <row r="11" spans="1:7" x14ac:dyDescent="0.25">
      <c r="A11" s="136" t="s">
        <v>133</v>
      </c>
      <c r="B11" s="136">
        <v>6</v>
      </c>
      <c r="C11" s="136">
        <v>476</v>
      </c>
      <c r="D11" s="136">
        <v>1</v>
      </c>
      <c r="E11" s="136">
        <v>103</v>
      </c>
      <c r="F11" s="136">
        <v>14</v>
      </c>
      <c r="G11" s="136">
        <v>600</v>
      </c>
    </row>
    <row r="12" spans="1:7" x14ac:dyDescent="0.25">
      <c r="A12" s="136" t="s">
        <v>134</v>
      </c>
      <c r="B12" s="136">
        <v>90</v>
      </c>
      <c r="C12" s="145">
        <v>26648</v>
      </c>
      <c r="D12" s="136">
        <v>11</v>
      </c>
      <c r="E12" s="145">
        <v>6786</v>
      </c>
      <c r="F12" s="136">
        <v>678</v>
      </c>
      <c r="G12" s="145">
        <v>34213</v>
      </c>
    </row>
    <row r="13" spans="1:7" x14ac:dyDescent="0.25">
      <c r="A13" s="136" t="s">
        <v>135</v>
      </c>
      <c r="B13" s="136">
        <v>2</v>
      </c>
      <c r="C13" s="136">
        <v>876</v>
      </c>
      <c r="D13" s="166">
        <v>0</v>
      </c>
      <c r="E13" s="136">
        <v>200</v>
      </c>
      <c r="F13" s="136">
        <v>26</v>
      </c>
      <c r="G13" s="145">
        <v>1104</v>
      </c>
    </row>
    <row r="14" spans="1:7" ht="30" x14ac:dyDescent="0.25">
      <c r="A14" s="136" t="s">
        <v>136</v>
      </c>
      <c r="B14" s="136">
        <v>9</v>
      </c>
      <c r="C14" s="145">
        <v>1589</v>
      </c>
      <c r="D14" s="166">
        <v>0</v>
      </c>
      <c r="E14" s="136">
        <v>403</v>
      </c>
      <c r="F14" s="136">
        <v>50</v>
      </c>
      <c r="G14" s="145">
        <v>2051</v>
      </c>
    </row>
    <row r="15" spans="1:7" x14ac:dyDescent="0.25">
      <c r="A15" s="136" t="s">
        <v>25</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6"/>
      <c r="E16" s="146"/>
      <c r="F16" s="146"/>
      <c r="G16" s="143"/>
    </row>
    <row r="21" spans="1:8" ht="45" x14ac:dyDescent="0.25">
      <c r="A21" s="136" t="s">
        <v>138</v>
      </c>
      <c r="B21" s="153"/>
      <c r="C21" s="153"/>
      <c r="D21" s="153"/>
      <c r="E21" s="153"/>
      <c r="F21" s="154"/>
    </row>
    <row r="22" spans="1:8" x14ac:dyDescent="0.25">
      <c r="A22" s="136"/>
      <c r="B22" s="136"/>
      <c r="C22" s="136"/>
      <c r="F22" s="142"/>
    </row>
    <row r="23" spans="1:8" ht="30" x14ac:dyDescent="0.25">
      <c r="A23" s="136"/>
      <c r="B23" s="136" t="s">
        <v>500</v>
      </c>
      <c r="C23" s="136"/>
      <c r="F23" s="142"/>
    </row>
    <row r="24" spans="1:8" x14ac:dyDescent="0.25">
      <c r="A24" s="136" t="s">
        <v>126</v>
      </c>
      <c r="B24" s="136" t="s">
        <v>479</v>
      </c>
      <c r="C24" s="136" t="s">
        <v>480</v>
      </c>
      <c r="D24" s="136" t="s">
        <v>481</v>
      </c>
      <c r="E24" s="136" t="s">
        <v>482</v>
      </c>
      <c r="F24" s="136" t="s">
        <v>483</v>
      </c>
      <c r="G24" s="136" t="s">
        <v>25</v>
      </c>
    </row>
    <row r="25" spans="1:8" x14ac:dyDescent="0.25">
      <c r="A25" s="136"/>
      <c r="B25" s="136"/>
      <c r="C25" s="136"/>
      <c r="G25" s="142"/>
    </row>
    <row r="26" spans="1:8" ht="30" x14ac:dyDescent="0.25">
      <c r="A26" s="136" t="s">
        <v>139</v>
      </c>
      <c r="B26" s="136">
        <v>137</v>
      </c>
      <c r="C26" s="145">
        <v>41859</v>
      </c>
      <c r="D26" s="136">
        <v>18</v>
      </c>
      <c r="E26" s="145">
        <v>10946</v>
      </c>
      <c r="F26" s="145">
        <v>1282</v>
      </c>
      <c r="G26" s="145">
        <v>54242</v>
      </c>
    </row>
    <row r="27" spans="1:8" x14ac:dyDescent="0.25">
      <c r="A27" s="136" t="s">
        <v>140</v>
      </c>
      <c r="B27" s="136">
        <v>30</v>
      </c>
      <c r="C27" s="145">
        <v>14670</v>
      </c>
      <c r="D27" s="136">
        <v>8</v>
      </c>
      <c r="E27" s="145">
        <v>3983</v>
      </c>
      <c r="F27" s="136">
        <v>498</v>
      </c>
      <c r="G27" s="145">
        <v>19189</v>
      </c>
    </row>
    <row r="28" spans="1:8" ht="30" x14ac:dyDescent="0.25">
      <c r="A28" s="136" t="s">
        <v>141</v>
      </c>
      <c r="B28">
        <v>0</v>
      </c>
      <c r="C28" s="136">
        <v>414</v>
      </c>
      <c r="D28">
        <v>0</v>
      </c>
      <c r="E28" s="136">
        <v>130</v>
      </c>
      <c r="F28" s="136">
        <v>12</v>
      </c>
      <c r="G28" s="136">
        <v>556</v>
      </c>
    </row>
    <row r="29" spans="1:8" ht="30" x14ac:dyDescent="0.25">
      <c r="A29" s="136" t="s">
        <v>142</v>
      </c>
      <c r="B29" s="136">
        <v>3</v>
      </c>
      <c r="C29" s="145">
        <v>1165</v>
      </c>
      <c r="D29" s="136">
        <v>1</v>
      </c>
      <c r="E29" s="136">
        <v>377</v>
      </c>
      <c r="F29" s="136">
        <v>59</v>
      </c>
      <c r="G29" s="145">
        <v>1605</v>
      </c>
    </row>
    <row r="30" spans="1:8" x14ac:dyDescent="0.25">
      <c r="A30" s="136" t="s">
        <v>143</v>
      </c>
      <c r="B30" s="136">
        <v>0</v>
      </c>
      <c r="C30" s="136">
        <v>37</v>
      </c>
      <c r="D30" s="167">
        <v>0</v>
      </c>
      <c r="E30" s="136">
        <v>5</v>
      </c>
      <c r="F30" s="136">
        <v>1</v>
      </c>
      <c r="G30" s="136">
        <v>43</v>
      </c>
      <c r="H30" s="142"/>
    </row>
    <row r="31" spans="1:8" ht="45" x14ac:dyDescent="0.25">
      <c r="A31" s="136" t="s">
        <v>144</v>
      </c>
      <c r="B31" s="136">
        <v>1</v>
      </c>
      <c r="C31" s="136">
        <v>680</v>
      </c>
      <c r="D31" s="167">
        <v>0</v>
      </c>
      <c r="E31" s="136">
        <v>145</v>
      </c>
      <c r="F31" s="136">
        <v>25</v>
      </c>
      <c r="G31" s="136">
        <v>851</v>
      </c>
    </row>
    <row r="32" spans="1:8" ht="30" x14ac:dyDescent="0.25">
      <c r="A32" s="136" t="s">
        <v>145</v>
      </c>
      <c r="B32" s="166">
        <v>0</v>
      </c>
      <c r="C32" s="136">
        <v>98</v>
      </c>
      <c r="D32" s="167">
        <v>0</v>
      </c>
      <c r="E32" s="136">
        <v>29</v>
      </c>
      <c r="F32" s="136">
        <v>2</v>
      </c>
      <c r="G32" s="136">
        <v>129</v>
      </c>
    </row>
    <row r="33" spans="1:8" x14ac:dyDescent="0.25">
      <c r="A33" s="136" t="s">
        <v>146</v>
      </c>
      <c r="B33" s="136">
        <v>4</v>
      </c>
      <c r="C33" s="145">
        <v>1885</v>
      </c>
      <c r="D33" s="167">
        <v>0</v>
      </c>
      <c r="E33" s="136">
        <v>570</v>
      </c>
      <c r="F33" s="136">
        <v>63</v>
      </c>
      <c r="G33" s="145">
        <v>2522</v>
      </c>
    </row>
    <row r="34" spans="1:8" x14ac:dyDescent="0.25">
      <c r="A34" s="136" t="s">
        <v>147</v>
      </c>
      <c r="B34" s="136">
        <v>11</v>
      </c>
      <c r="C34" s="145">
        <v>4223</v>
      </c>
      <c r="D34" s="136">
        <v>7</v>
      </c>
      <c r="E34" s="145">
        <v>1046</v>
      </c>
      <c r="F34" s="136">
        <v>126</v>
      </c>
      <c r="G34" s="145">
        <v>5413</v>
      </c>
    </row>
    <row r="35" spans="1:8" x14ac:dyDescent="0.25">
      <c r="A35" s="136"/>
      <c r="G35" s="142"/>
    </row>
    <row r="36" spans="1:8" x14ac:dyDescent="0.25">
      <c r="A36" s="136" t="s">
        <v>25</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6"/>
      <c r="E37" s="146"/>
      <c r="F37" s="146"/>
      <c r="G37" s="143"/>
    </row>
    <row r="42" spans="1:8" ht="45" x14ac:dyDescent="0.25">
      <c r="A42" s="136" t="s">
        <v>501</v>
      </c>
      <c r="B42" s="136" t="s">
        <v>502</v>
      </c>
      <c r="C42" s="136">
        <v>3</v>
      </c>
      <c r="D42" s="153"/>
      <c r="E42" s="153"/>
      <c r="F42" s="153"/>
      <c r="G42" s="154"/>
    </row>
    <row r="43" spans="1:8" x14ac:dyDescent="0.25">
      <c r="A43" s="136"/>
      <c r="B43" s="136"/>
      <c r="C43" s="136"/>
      <c r="D43" s="136"/>
      <c r="G43" s="142"/>
    </row>
    <row r="44" spans="1:8" ht="30" x14ac:dyDescent="0.25">
      <c r="A44" s="136"/>
      <c r="B44" s="136"/>
      <c r="C44" s="136" t="s">
        <v>500</v>
      </c>
      <c r="D44" s="136"/>
      <c r="G44" s="142"/>
    </row>
    <row r="45" spans="1:8" x14ac:dyDescent="0.25">
      <c r="A45" s="136" t="s">
        <v>126</v>
      </c>
      <c r="B45" s="136"/>
      <c r="C45" s="136" t="s">
        <v>479</v>
      </c>
      <c r="D45" s="136" t="s">
        <v>480</v>
      </c>
      <c r="E45" s="136" t="s">
        <v>481</v>
      </c>
      <c r="F45" s="136" t="s">
        <v>482</v>
      </c>
      <c r="G45" s="136" t="s">
        <v>483</v>
      </c>
      <c r="H45" s="136" t="s">
        <v>25</v>
      </c>
    </row>
    <row r="46" spans="1:8" x14ac:dyDescent="0.25">
      <c r="A46" s="136"/>
      <c r="B46" s="136"/>
      <c r="C46" s="136"/>
      <c r="D46" s="136"/>
      <c r="H46" s="142"/>
    </row>
    <row r="47" spans="1:8" ht="30" x14ac:dyDescent="0.25">
      <c r="A47" s="136" t="s">
        <v>148</v>
      </c>
      <c r="B47" s="136"/>
      <c r="C47" s="136">
        <v>1</v>
      </c>
      <c r="D47" s="136">
        <v>962</v>
      </c>
      <c r="E47" s="136">
        <v>0</v>
      </c>
      <c r="F47" s="136">
        <v>159</v>
      </c>
      <c r="G47" s="136">
        <v>31</v>
      </c>
      <c r="H47" s="145">
        <v>1153</v>
      </c>
    </row>
    <row r="48" spans="1:8" x14ac:dyDescent="0.25">
      <c r="A48" s="136" t="s">
        <v>149</v>
      </c>
      <c r="B48" s="136"/>
      <c r="C48" s="136">
        <v>9</v>
      </c>
      <c r="D48" s="145">
        <v>2524</v>
      </c>
      <c r="E48" s="136">
        <v>1</v>
      </c>
      <c r="F48" s="136">
        <v>499</v>
      </c>
      <c r="G48" s="136">
        <v>92</v>
      </c>
      <c r="H48" s="145">
        <v>3125</v>
      </c>
    </row>
    <row r="49" spans="1:8" x14ac:dyDescent="0.25">
      <c r="A49" s="136" t="s">
        <v>490</v>
      </c>
      <c r="B49" s="136"/>
      <c r="C49" s="136">
        <v>5</v>
      </c>
      <c r="D49" s="145">
        <v>2246</v>
      </c>
      <c r="E49" s="136">
        <v>3</v>
      </c>
      <c r="F49" s="136">
        <v>497</v>
      </c>
      <c r="G49" s="136">
        <v>44</v>
      </c>
      <c r="H49" s="145">
        <v>2795</v>
      </c>
    </row>
    <row r="50" spans="1:8" x14ac:dyDescent="0.25">
      <c r="A50" s="136" t="s">
        <v>150</v>
      </c>
      <c r="B50" s="136"/>
      <c r="C50" s="136">
        <v>67</v>
      </c>
      <c r="D50" s="145">
        <v>20329</v>
      </c>
      <c r="E50" s="136">
        <v>7</v>
      </c>
      <c r="F50" s="145">
        <v>4285</v>
      </c>
      <c r="G50" s="136">
        <v>511</v>
      </c>
      <c r="H50" s="145">
        <v>25199</v>
      </c>
    </row>
    <row r="51" spans="1:8" ht="30" x14ac:dyDescent="0.25">
      <c r="A51" s="136" t="s">
        <v>151</v>
      </c>
      <c r="B51" s="136"/>
      <c r="C51" s="136">
        <v>6</v>
      </c>
      <c r="D51" s="145">
        <v>1399</v>
      </c>
      <c r="E51" s="136">
        <v>1</v>
      </c>
      <c r="F51" s="136">
        <v>380</v>
      </c>
      <c r="G51" s="136">
        <v>25</v>
      </c>
      <c r="H51" s="145">
        <v>1811</v>
      </c>
    </row>
    <row r="52" spans="1:8" x14ac:dyDescent="0.25">
      <c r="A52" s="136" t="s">
        <v>152</v>
      </c>
      <c r="B52" s="136"/>
      <c r="C52" s="136">
        <v>4</v>
      </c>
      <c r="D52" s="145">
        <v>1169</v>
      </c>
      <c r="E52" s="166">
        <v>0</v>
      </c>
      <c r="F52" s="136">
        <v>197</v>
      </c>
      <c r="G52" s="136">
        <v>13</v>
      </c>
      <c r="H52" s="145">
        <v>1383</v>
      </c>
    </row>
    <row r="53" spans="1:8" x14ac:dyDescent="0.25">
      <c r="A53" s="136" t="s">
        <v>153</v>
      </c>
      <c r="B53" s="136"/>
      <c r="C53" s="136">
        <v>2</v>
      </c>
      <c r="D53" s="145">
        <v>1687</v>
      </c>
      <c r="E53" s="136">
        <v>1</v>
      </c>
      <c r="F53" s="136">
        <v>361</v>
      </c>
      <c r="G53" s="136">
        <v>43</v>
      </c>
      <c r="H53" s="145">
        <v>2094</v>
      </c>
    </row>
    <row r="54" spans="1:8" ht="30" x14ac:dyDescent="0.25">
      <c r="A54" s="136" t="s">
        <v>154</v>
      </c>
      <c r="B54" s="136"/>
      <c r="C54" s="136">
        <v>4</v>
      </c>
      <c r="D54" s="145">
        <v>1565</v>
      </c>
      <c r="E54" s="136">
        <v>1</v>
      </c>
      <c r="F54" s="136">
        <v>299</v>
      </c>
      <c r="G54" s="136">
        <v>40</v>
      </c>
      <c r="H54" s="145">
        <v>1909</v>
      </c>
    </row>
    <row r="55" spans="1:8" x14ac:dyDescent="0.25">
      <c r="A55" s="136" t="s">
        <v>155</v>
      </c>
      <c r="B55" s="136"/>
      <c r="C55" s="136">
        <v>34</v>
      </c>
      <c r="D55" s="145">
        <v>9905</v>
      </c>
      <c r="E55" s="136">
        <v>3</v>
      </c>
      <c r="F55" s="145">
        <v>1871</v>
      </c>
      <c r="G55" s="136">
        <v>198</v>
      </c>
      <c r="H55" s="145">
        <v>12011</v>
      </c>
    </row>
    <row r="56" spans="1:8" x14ac:dyDescent="0.25">
      <c r="A56" s="136"/>
      <c r="H56" s="142"/>
    </row>
    <row r="57" spans="1:8" x14ac:dyDescent="0.25">
      <c r="A57" s="136" t="s">
        <v>25</v>
      </c>
      <c r="B57" s="136"/>
      <c r="C57" s="136">
        <v>132</v>
      </c>
      <c r="D57" s="145">
        <v>41786</v>
      </c>
      <c r="E57" s="136">
        <v>17</v>
      </c>
      <c r="F57" s="145">
        <v>8548</v>
      </c>
      <c r="G57" s="136">
        <v>997</v>
      </c>
      <c r="H57" s="145">
        <v>51480</v>
      </c>
    </row>
    <row r="58" spans="1:8" x14ac:dyDescent="0.25">
      <c r="A58" s="136"/>
      <c r="B58" s="136"/>
      <c r="C58" s="136"/>
      <c r="D58" s="136"/>
      <c r="E58" s="146"/>
      <c r="F58" s="146"/>
      <c r="G58" s="146"/>
      <c r="H58" s="143"/>
    </row>
    <row r="63" spans="1:8" ht="45" x14ac:dyDescent="0.25">
      <c r="A63" s="136" t="s">
        <v>501</v>
      </c>
      <c r="B63" s="136" t="s">
        <v>502</v>
      </c>
      <c r="C63" s="136">
        <v>4</v>
      </c>
      <c r="D63" s="153"/>
      <c r="E63" s="153"/>
      <c r="F63" s="154"/>
    </row>
    <row r="64" spans="1:8" x14ac:dyDescent="0.25">
      <c r="A64" s="136"/>
      <c r="B64" s="136"/>
      <c r="C64" s="136"/>
      <c r="D64" s="136"/>
      <c r="F64" s="142"/>
    </row>
    <row r="65" spans="1:7" ht="30" x14ac:dyDescent="0.25">
      <c r="A65" s="136"/>
      <c r="B65" s="136"/>
      <c r="C65" s="136" t="s">
        <v>500</v>
      </c>
      <c r="D65" s="136"/>
      <c r="F65" s="142"/>
    </row>
    <row r="66" spans="1:7" x14ac:dyDescent="0.25">
      <c r="A66" s="136" t="s">
        <v>126</v>
      </c>
      <c r="B66" s="136" t="s">
        <v>479</v>
      </c>
      <c r="C66" s="136" t="s">
        <v>480</v>
      </c>
      <c r="D66" s="136" t="s">
        <v>481</v>
      </c>
      <c r="E66" s="136" t="s">
        <v>482</v>
      </c>
      <c r="F66" s="136" t="s">
        <v>483</v>
      </c>
      <c r="G66" s="136" t="s">
        <v>25</v>
      </c>
    </row>
    <row r="67" spans="1:7" x14ac:dyDescent="0.25">
      <c r="A67" s="136"/>
      <c r="B67" s="136"/>
      <c r="C67" s="136"/>
      <c r="G67" s="142"/>
    </row>
    <row r="68" spans="1:7" ht="30" x14ac:dyDescent="0.25">
      <c r="A68" s="136" t="s">
        <v>156</v>
      </c>
      <c r="B68" s="136">
        <v>13</v>
      </c>
      <c r="C68" s="145">
        <v>2131</v>
      </c>
      <c r="D68" s="136">
        <v>1</v>
      </c>
      <c r="E68" s="136">
        <v>347</v>
      </c>
      <c r="F68" s="136">
        <v>52</v>
      </c>
      <c r="G68" s="145">
        <v>2544</v>
      </c>
    </row>
    <row r="69" spans="1:7" x14ac:dyDescent="0.25">
      <c r="A69" s="136" t="s">
        <v>157</v>
      </c>
      <c r="B69" s="136">
        <v>2</v>
      </c>
      <c r="C69" s="145">
        <v>1814</v>
      </c>
      <c r="D69">
        <v>0</v>
      </c>
      <c r="E69" s="136">
        <v>241</v>
      </c>
      <c r="F69" s="136">
        <v>31</v>
      </c>
      <c r="G69" s="145">
        <v>2088</v>
      </c>
    </row>
    <row r="70" spans="1:7" ht="30" x14ac:dyDescent="0.25">
      <c r="A70" s="136" t="s">
        <v>158</v>
      </c>
      <c r="B70" s="136">
        <v>3</v>
      </c>
      <c r="C70" s="145">
        <v>3132</v>
      </c>
      <c r="D70" s="136">
        <v>4</v>
      </c>
      <c r="E70" s="136">
        <v>459</v>
      </c>
      <c r="F70" s="136">
        <v>47</v>
      </c>
      <c r="G70" s="145">
        <v>3645</v>
      </c>
    </row>
    <row r="71" spans="1:7" x14ac:dyDescent="0.25">
      <c r="A71" s="136" t="s">
        <v>159</v>
      </c>
      <c r="B71" s="136">
        <v>86</v>
      </c>
      <c r="C71" s="145">
        <v>35562</v>
      </c>
      <c r="D71" s="136">
        <v>30</v>
      </c>
      <c r="E71" s="145">
        <v>7197</v>
      </c>
      <c r="F71" s="136">
        <v>906</v>
      </c>
      <c r="G71" s="145">
        <v>43781</v>
      </c>
    </row>
    <row r="72" spans="1:7" x14ac:dyDescent="0.25">
      <c r="A72" s="136" t="s">
        <v>160</v>
      </c>
      <c r="B72" s="136">
        <v>15</v>
      </c>
      <c r="C72" s="145">
        <v>6324</v>
      </c>
      <c r="D72" s="136">
        <v>3</v>
      </c>
      <c r="E72" s="145">
        <v>1147</v>
      </c>
      <c r="F72" s="136">
        <v>126</v>
      </c>
      <c r="G72" s="145">
        <v>7615</v>
      </c>
    </row>
    <row r="73" spans="1:7" x14ac:dyDescent="0.25">
      <c r="A73" s="136" t="s">
        <v>161</v>
      </c>
      <c r="B73" s="136">
        <v>3</v>
      </c>
      <c r="C73" s="136">
        <v>731</v>
      </c>
      <c r="D73" s="136">
        <v>1</v>
      </c>
      <c r="E73" s="136">
        <v>102</v>
      </c>
      <c r="F73" s="136">
        <v>20</v>
      </c>
      <c r="G73" s="136">
        <v>857</v>
      </c>
    </row>
    <row r="74" spans="1:7" x14ac:dyDescent="0.25">
      <c r="A74" s="136" t="s">
        <v>162</v>
      </c>
      <c r="B74" s="136">
        <v>89</v>
      </c>
      <c r="C74" s="145">
        <v>32734</v>
      </c>
      <c r="D74" s="136">
        <v>44</v>
      </c>
      <c r="E74" s="145">
        <v>7692</v>
      </c>
      <c r="F74" s="136">
        <v>869</v>
      </c>
      <c r="G74" s="145">
        <v>41428</v>
      </c>
    </row>
    <row r="75" spans="1:7" x14ac:dyDescent="0.25">
      <c r="A75" s="136" t="s">
        <v>163</v>
      </c>
      <c r="B75" s="136">
        <v>3</v>
      </c>
      <c r="C75" s="145">
        <v>3849</v>
      </c>
      <c r="D75" s="136">
        <v>3</v>
      </c>
      <c r="E75" s="136">
        <v>606</v>
      </c>
      <c r="F75" s="136">
        <v>88</v>
      </c>
      <c r="G75" s="145">
        <v>4549</v>
      </c>
    </row>
    <row r="76" spans="1:7" ht="30" x14ac:dyDescent="0.25">
      <c r="A76" s="136" t="s">
        <v>164</v>
      </c>
      <c r="B76" s="136">
        <v>11</v>
      </c>
      <c r="C76" s="145">
        <v>5111</v>
      </c>
      <c r="D76" s="136">
        <v>5</v>
      </c>
      <c r="E76" s="136">
        <v>715</v>
      </c>
      <c r="F76" s="136">
        <v>107</v>
      </c>
      <c r="G76" s="145">
        <v>5949</v>
      </c>
    </row>
    <row r="77" spans="1:7" x14ac:dyDescent="0.25">
      <c r="A77" s="136" t="s">
        <v>165</v>
      </c>
      <c r="B77" s="136">
        <v>39</v>
      </c>
      <c r="C77" s="145">
        <v>19496</v>
      </c>
      <c r="D77" s="136">
        <v>8</v>
      </c>
      <c r="E77" s="145">
        <v>3011</v>
      </c>
      <c r="F77" s="136">
        <v>420</v>
      </c>
      <c r="G77" s="145">
        <v>22974</v>
      </c>
    </row>
    <row r="78" spans="1:7" x14ac:dyDescent="0.25">
      <c r="A78" s="136" t="s">
        <v>166</v>
      </c>
      <c r="B78" s="136">
        <v>2</v>
      </c>
      <c r="C78" s="136">
        <v>837</v>
      </c>
      <c r="D78" s="136">
        <v>1</v>
      </c>
      <c r="E78" s="136">
        <v>126</v>
      </c>
      <c r="F78" s="136">
        <v>24</v>
      </c>
      <c r="G78" s="136">
        <v>990</v>
      </c>
    </row>
    <row r="79" spans="1:7" x14ac:dyDescent="0.25">
      <c r="A79" s="136" t="s">
        <v>167</v>
      </c>
      <c r="B79" s="136">
        <v>7</v>
      </c>
      <c r="C79" s="145">
        <v>2024</v>
      </c>
      <c r="D79" s="136">
        <v>1</v>
      </c>
      <c r="E79" s="136">
        <v>473</v>
      </c>
      <c r="F79" s="136">
        <v>56</v>
      </c>
      <c r="G79" s="145">
        <v>2561</v>
      </c>
    </row>
    <row r="80" spans="1:7" ht="30" x14ac:dyDescent="0.25">
      <c r="A80" s="136" t="s">
        <v>168</v>
      </c>
      <c r="B80" s="136"/>
      <c r="C80" s="136">
        <v>927</v>
      </c>
      <c r="D80" s="166">
        <v>0</v>
      </c>
      <c r="E80" s="136">
        <v>84</v>
      </c>
      <c r="F80" s="136">
        <v>10</v>
      </c>
      <c r="G80" s="145">
        <v>1021</v>
      </c>
    </row>
    <row r="81" spans="1:8" ht="30" x14ac:dyDescent="0.25">
      <c r="A81" s="136" t="s">
        <v>169</v>
      </c>
      <c r="B81" s="136">
        <v>10</v>
      </c>
      <c r="C81" s="145">
        <v>5212</v>
      </c>
      <c r="D81" s="136">
        <v>7</v>
      </c>
      <c r="E81" s="136">
        <v>858</v>
      </c>
      <c r="F81" s="136">
        <v>98</v>
      </c>
      <c r="G81" s="145">
        <v>6185</v>
      </c>
    </row>
    <row r="82" spans="1:8" x14ac:dyDescent="0.25">
      <c r="A82" s="136" t="s">
        <v>491</v>
      </c>
      <c r="B82" s="136">
        <v>16</v>
      </c>
      <c r="C82" s="145">
        <v>4735</v>
      </c>
      <c r="D82" s="136">
        <v>13</v>
      </c>
      <c r="E82" s="136">
        <v>764</v>
      </c>
      <c r="F82" s="136">
        <v>120</v>
      </c>
      <c r="G82" s="145">
        <v>5648</v>
      </c>
    </row>
    <row r="83" spans="1:8" x14ac:dyDescent="0.25">
      <c r="A83" s="136" t="s">
        <v>25</v>
      </c>
      <c r="B83" s="136">
        <v>299</v>
      </c>
      <c r="C83" s="145">
        <v>124619</v>
      </c>
      <c r="D83" s="136">
        <v>121</v>
      </c>
      <c r="E83" s="145">
        <v>23822</v>
      </c>
      <c r="F83" s="145">
        <v>2974</v>
      </c>
      <c r="G83" s="145">
        <v>151835</v>
      </c>
    </row>
    <row r="84" spans="1:8" x14ac:dyDescent="0.25">
      <c r="A84" s="136"/>
      <c r="B84" s="136"/>
      <c r="C84" s="136"/>
      <c r="F84" s="142"/>
    </row>
    <row r="85" spans="1:8" x14ac:dyDescent="0.25">
      <c r="A85" s="136"/>
      <c r="B85" s="146"/>
      <c r="C85" s="146"/>
      <c r="D85" s="146"/>
      <c r="E85" s="146"/>
      <c r="F85" s="143"/>
    </row>
    <row r="91" spans="1:8" ht="45" x14ac:dyDescent="0.25">
      <c r="A91" s="136" t="s">
        <v>501</v>
      </c>
      <c r="B91" s="136" t="s">
        <v>502</v>
      </c>
      <c r="C91" s="136">
        <v>5</v>
      </c>
      <c r="D91" s="153"/>
      <c r="E91" s="153"/>
      <c r="F91" s="153"/>
      <c r="G91" s="154"/>
    </row>
    <row r="92" spans="1:8" x14ac:dyDescent="0.25">
      <c r="A92" s="136"/>
      <c r="B92" s="136"/>
      <c r="C92" s="136"/>
      <c r="D92" s="136"/>
      <c r="G92" s="142"/>
    </row>
    <row r="93" spans="1:8" ht="30" x14ac:dyDescent="0.25">
      <c r="A93" s="136"/>
      <c r="B93" s="136"/>
      <c r="C93" s="136" t="s">
        <v>500</v>
      </c>
      <c r="D93" s="136"/>
      <c r="G93" s="142"/>
    </row>
    <row r="94" spans="1:8" x14ac:dyDescent="0.25">
      <c r="A94" s="136" t="s">
        <v>126</v>
      </c>
      <c r="B94" s="136"/>
      <c r="C94" s="136" t="s">
        <v>479</v>
      </c>
      <c r="D94" s="136" t="s">
        <v>480</v>
      </c>
      <c r="E94" s="136" t="s">
        <v>481</v>
      </c>
      <c r="F94" s="136" t="s">
        <v>482</v>
      </c>
      <c r="G94" s="136" t="s">
        <v>483</v>
      </c>
      <c r="H94" s="136" t="s">
        <v>25</v>
      </c>
    </row>
    <row r="95" spans="1:8" x14ac:dyDescent="0.25">
      <c r="A95" s="136"/>
      <c r="B95" s="136"/>
      <c r="C95" s="136"/>
      <c r="D95" s="136"/>
      <c r="H95" s="142"/>
    </row>
    <row r="96" spans="1:8" ht="30" x14ac:dyDescent="0.25">
      <c r="A96" s="136" t="s">
        <v>170</v>
      </c>
      <c r="B96" s="136"/>
      <c r="C96" s="136">
        <v>8</v>
      </c>
      <c r="D96" s="145">
        <v>2930</v>
      </c>
      <c r="E96" s="136">
        <v>1</v>
      </c>
      <c r="F96" s="136">
        <v>718</v>
      </c>
      <c r="G96" s="136">
        <v>100</v>
      </c>
      <c r="H96" s="145">
        <v>3757</v>
      </c>
    </row>
    <row r="97" spans="1:8" x14ac:dyDescent="0.25">
      <c r="A97" s="136" t="s">
        <v>171</v>
      </c>
      <c r="B97" s="136"/>
      <c r="C97" s="136">
        <v>13</v>
      </c>
      <c r="D97" s="145">
        <v>3901</v>
      </c>
      <c r="E97" s="136">
        <v>1</v>
      </c>
      <c r="F97" s="136">
        <v>979</v>
      </c>
      <c r="G97" s="136">
        <v>85</v>
      </c>
      <c r="H97" s="145">
        <v>4979</v>
      </c>
    </row>
    <row r="98" spans="1:8" ht="30" x14ac:dyDescent="0.25">
      <c r="A98" s="136" t="s">
        <v>172</v>
      </c>
      <c r="B98" s="136"/>
      <c r="C98" s="136">
        <v>5</v>
      </c>
      <c r="D98" s="145">
        <v>2004</v>
      </c>
      <c r="E98" s="136">
        <v>2</v>
      </c>
      <c r="F98" s="136">
        <v>378</v>
      </c>
      <c r="G98" s="136">
        <v>42</v>
      </c>
      <c r="H98" s="145">
        <v>2431</v>
      </c>
    </row>
    <row r="99" spans="1:8" ht="30" x14ac:dyDescent="0.25">
      <c r="A99" s="136" t="s">
        <v>173</v>
      </c>
      <c r="B99" s="136"/>
      <c r="C99" s="136">
        <v>13</v>
      </c>
      <c r="D99" s="145">
        <v>5034</v>
      </c>
      <c r="E99" s="136">
        <v>1</v>
      </c>
      <c r="F99" s="136">
        <v>862</v>
      </c>
      <c r="G99" s="136">
        <v>124</v>
      </c>
      <c r="H99" s="145">
        <v>6034</v>
      </c>
    </row>
    <row r="100" spans="1:8" ht="30" x14ac:dyDescent="0.25">
      <c r="A100" s="136" t="s">
        <v>174</v>
      </c>
      <c r="B100" s="136"/>
      <c r="C100" s="136">
        <v>13</v>
      </c>
      <c r="D100" s="145">
        <v>4521</v>
      </c>
      <c r="E100" s="136">
        <v>5</v>
      </c>
      <c r="F100" s="136">
        <v>897</v>
      </c>
      <c r="G100" s="136">
        <v>92</v>
      </c>
      <c r="H100" s="145">
        <v>5528</v>
      </c>
    </row>
    <row r="101" spans="1:8" x14ac:dyDescent="0.25">
      <c r="A101" s="136" t="s">
        <v>175</v>
      </c>
      <c r="B101" s="136"/>
      <c r="C101" s="136">
        <v>3</v>
      </c>
      <c r="D101" s="145">
        <v>2676</v>
      </c>
      <c r="E101" s="136">
        <v>1</v>
      </c>
      <c r="F101" s="136">
        <v>468</v>
      </c>
      <c r="G101" s="136">
        <v>49</v>
      </c>
      <c r="H101" s="145">
        <v>3197</v>
      </c>
    </row>
    <row r="102" spans="1:8" x14ac:dyDescent="0.25">
      <c r="A102" s="136" t="s">
        <v>176</v>
      </c>
      <c r="B102" s="136"/>
      <c r="C102" s="136">
        <v>17</v>
      </c>
      <c r="D102" s="145">
        <v>5887</v>
      </c>
      <c r="E102" s="136">
        <v>2</v>
      </c>
      <c r="F102" s="145">
        <v>1489</v>
      </c>
      <c r="G102" s="136">
        <v>172</v>
      </c>
      <c r="H102" s="145">
        <v>7567</v>
      </c>
    </row>
    <row r="103" spans="1:8" x14ac:dyDescent="0.25">
      <c r="A103" s="136" t="s">
        <v>177</v>
      </c>
      <c r="B103" s="136"/>
      <c r="C103" s="136">
        <v>6</v>
      </c>
      <c r="D103" s="145">
        <v>3878</v>
      </c>
      <c r="E103" s="136">
        <v>1</v>
      </c>
      <c r="F103" s="136">
        <v>920</v>
      </c>
      <c r="G103" s="136">
        <v>99</v>
      </c>
      <c r="H103" s="145">
        <v>4904</v>
      </c>
    </row>
    <row r="104" spans="1:8" x14ac:dyDescent="0.25">
      <c r="A104" s="136" t="s">
        <v>178</v>
      </c>
      <c r="B104" s="136"/>
      <c r="C104" s="136">
        <v>4</v>
      </c>
      <c r="D104" s="145">
        <v>3390</v>
      </c>
      <c r="E104" s="136">
        <v>4</v>
      </c>
      <c r="F104" s="136">
        <v>696</v>
      </c>
      <c r="G104" s="136">
        <v>92</v>
      </c>
      <c r="H104" s="145">
        <v>4186</v>
      </c>
    </row>
    <row r="105" spans="1:8" x14ac:dyDescent="0.25">
      <c r="A105" s="136" t="s">
        <v>179</v>
      </c>
      <c r="B105" s="136"/>
      <c r="C105" s="136">
        <v>6</v>
      </c>
      <c r="D105" s="145">
        <v>3345</v>
      </c>
      <c r="E105" s="136">
        <v>2</v>
      </c>
      <c r="F105" s="136">
        <v>650</v>
      </c>
      <c r="G105" s="136">
        <v>70</v>
      </c>
      <c r="H105" s="145">
        <v>4073</v>
      </c>
    </row>
    <row r="106" spans="1:8" ht="30" x14ac:dyDescent="0.25">
      <c r="A106" s="136" t="s">
        <v>180</v>
      </c>
      <c r="B106" s="136"/>
      <c r="C106" s="136">
        <v>4</v>
      </c>
      <c r="D106" s="136">
        <v>668</v>
      </c>
      <c r="E106" s="166">
        <v>0</v>
      </c>
      <c r="F106" s="136">
        <v>107</v>
      </c>
      <c r="G106" s="136">
        <v>21</v>
      </c>
      <c r="H106" s="136">
        <v>800</v>
      </c>
    </row>
    <row r="107" spans="1:8" ht="45" x14ac:dyDescent="0.25">
      <c r="A107" s="136" t="s">
        <v>181</v>
      </c>
      <c r="B107" s="136"/>
      <c r="C107" s="166">
        <v>0</v>
      </c>
      <c r="D107" s="136">
        <v>141</v>
      </c>
      <c r="E107" s="166">
        <v>0</v>
      </c>
      <c r="F107" s="136">
        <v>18</v>
      </c>
      <c r="G107" s="136">
        <v>1</v>
      </c>
      <c r="H107" s="136">
        <v>160</v>
      </c>
    </row>
    <row r="108" spans="1:8" x14ac:dyDescent="0.25">
      <c r="A108" s="136" t="s">
        <v>182</v>
      </c>
      <c r="B108" s="136"/>
      <c r="C108" s="136">
        <v>22</v>
      </c>
      <c r="D108" s="145">
        <v>10654</v>
      </c>
      <c r="E108" s="136">
        <v>6</v>
      </c>
      <c r="F108" s="145">
        <v>1904</v>
      </c>
      <c r="G108" s="136">
        <v>204</v>
      </c>
      <c r="H108" s="145">
        <v>12790</v>
      </c>
    </row>
    <row r="109" spans="1:8" x14ac:dyDescent="0.25">
      <c r="A109" s="136" t="s">
        <v>183</v>
      </c>
      <c r="B109" s="136"/>
      <c r="C109" s="136">
        <v>10</v>
      </c>
      <c r="D109" s="145">
        <v>2659</v>
      </c>
      <c r="E109" s="136">
        <v>1</v>
      </c>
      <c r="F109" s="136">
        <v>513</v>
      </c>
      <c r="G109" s="136">
        <v>64</v>
      </c>
      <c r="H109" s="145">
        <v>3247</v>
      </c>
    </row>
    <row r="110" spans="1:8" x14ac:dyDescent="0.25">
      <c r="A110" s="136" t="s">
        <v>184</v>
      </c>
      <c r="B110" s="136"/>
      <c r="C110" s="136">
        <v>25</v>
      </c>
      <c r="D110" s="145">
        <v>7222</v>
      </c>
      <c r="E110" s="136">
        <v>5</v>
      </c>
      <c r="F110" s="145">
        <v>1401</v>
      </c>
      <c r="G110" s="136">
        <v>150</v>
      </c>
      <c r="H110" s="145">
        <v>8803</v>
      </c>
    </row>
    <row r="111" spans="1:8" x14ac:dyDescent="0.25">
      <c r="A111" s="136" t="s">
        <v>185</v>
      </c>
      <c r="B111" s="136"/>
      <c r="C111" s="136">
        <v>29</v>
      </c>
      <c r="D111" s="145">
        <v>8916</v>
      </c>
      <c r="E111" s="136">
        <v>4</v>
      </c>
      <c r="F111" s="145">
        <v>1518</v>
      </c>
      <c r="G111" s="136">
        <v>205</v>
      </c>
      <c r="H111" s="145">
        <v>10672</v>
      </c>
    </row>
    <row r="112" spans="1:8" x14ac:dyDescent="0.25">
      <c r="A112" s="136" t="s">
        <v>186</v>
      </c>
      <c r="B112" s="136"/>
      <c r="C112" s="136">
        <v>13</v>
      </c>
      <c r="D112" s="145">
        <v>4744</v>
      </c>
      <c r="E112" s="136">
        <v>3</v>
      </c>
      <c r="F112" s="136">
        <v>832</v>
      </c>
      <c r="G112" s="136">
        <v>95</v>
      </c>
      <c r="H112" s="145">
        <v>5687</v>
      </c>
    </row>
    <row r="113" spans="1:9" x14ac:dyDescent="0.25">
      <c r="A113" s="136" t="s">
        <v>187</v>
      </c>
      <c r="B113" s="136"/>
      <c r="C113" s="136">
        <v>35</v>
      </c>
      <c r="D113" s="145">
        <v>11557</v>
      </c>
      <c r="E113" s="136">
        <v>11</v>
      </c>
      <c r="F113" s="145">
        <v>2786</v>
      </c>
      <c r="G113" s="136">
        <v>217</v>
      </c>
      <c r="H113" s="145">
        <v>14606</v>
      </c>
    </row>
    <row r="114" spans="1:9" x14ac:dyDescent="0.25">
      <c r="A114" s="136" t="s">
        <v>188</v>
      </c>
      <c r="B114" s="136"/>
      <c r="C114" s="136">
        <v>17</v>
      </c>
      <c r="D114" s="145">
        <v>4300</v>
      </c>
      <c r="E114" s="136">
        <v>1</v>
      </c>
      <c r="F114" s="145">
        <v>1016</v>
      </c>
      <c r="G114" s="136">
        <v>110</v>
      </c>
      <c r="H114" s="145">
        <v>5444</v>
      </c>
    </row>
    <row r="115" spans="1:9" x14ac:dyDescent="0.25">
      <c r="A115" s="136" t="s">
        <v>189</v>
      </c>
      <c r="B115" s="136"/>
      <c r="C115" s="136">
        <v>6</v>
      </c>
      <c r="D115" s="145">
        <v>3399</v>
      </c>
      <c r="E115" s="136">
        <v>1</v>
      </c>
      <c r="F115" s="136">
        <v>626</v>
      </c>
      <c r="G115" s="136">
        <v>97</v>
      </c>
      <c r="H115" s="145">
        <v>4129</v>
      </c>
    </row>
    <row r="116" spans="1:9" ht="30" x14ac:dyDescent="0.25">
      <c r="A116" s="136" t="s">
        <v>190</v>
      </c>
      <c r="B116" s="136"/>
      <c r="C116" s="166">
        <v>0</v>
      </c>
      <c r="D116" s="145">
        <v>1253</v>
      </c>
      <c r="E116" s="136">
        <v>1</v>
      </c>
      <c r="F116" s="168">
        <v>269</v>
      </c>
      <c r="G116" s="136">
        <v>27</v>
      </c>
      <c r="H116" s="145">
        <v>1550</v>
      </c>
    </row>
    <row r="117" spans="1:9" x14ac:dyDescent="0.25">
      <c r="A117" s="136" t="s">
        <v>191</v>
      </c>
      <c r="B117" s="136"/>
      <c r="C117" s="136">
        <v>0</v>
      </c>
      <c r="D117" s="145">
        <v>1068</v>
      </c>
      <c r="E117" s="166">
        <v>0</v>
      </c>
      <c r="F117" s="136">
        <v>194</v>
      </c>
      <c r="G117" s="136">
        <v>37</v>
      </c>
      <c r="H117" s="145">
        <v>1299</v>
      </c>
      <c r="I117" s="142"/>
    </row>
    <row r="118" spans="1:9" x14ac:dyDescent="0.25">
      <c r="A118" s="136" t="s">
        <v>192</v>
      </c>
      <c r="B118" s="136"/>
      <c r="C118" s="136">
        <v>4</v>
      </c>
      <c r="D118" s="145">
        <v>1890</v>
      </c>
      <c r="E118" s="166">
        <v>0</v>
      </c>
      <c r="F118" s="136">
        <v>422</v>
      </c>
      <c r="G118" s="136">
        <v>43</v>
      </c>
      <c r="H118" s="145">
        <v>2359</v>
      </c>
    </row>
    <row r="119" spans="1:9" ht="30" x14ac:dyDescent="0.25">
      <c r="A119" s="136" t="s">
        <v>193</v>
      </c>
      <c r="B119" s="136"/>
      <c r="C119" s="136">
        <v>13</v>
      </c>
      <c r="D119" s="145">
        <v>3568</v>
      </c>
      <c r="E119" s="166">
        <v>0</v>
      </c>
      <c r="F119" s="136">
        <v>837</v>
      </c>
      <c r="G119" s="136">
        <v>91</v>
      </c>
      <c r="H119" s="145">
        <v>4509</v>
      </c>
    </row>
    <row r="120" spans="1:9" x14ac:dyDescent="0.25">
      <c r="A120" s="136" t="s">
        <v>194</v>
      </c>
      <c r="B120" s="136"/>
      <c r="C120" s="136">
        <v>5</v>
      </c>
      <c r="D120" s="145">
        <v>3328</v>
      </c>
      <c r="E120" s="136">
        <v>2</v>
      </c>
      <c r="F120" s="136">
        <v>613</v>
      </c>
      <c r="G120" s="136">
        <v>83</v>
      </c>
      <c r="H120" s="145">
        <v>4031</v>
      </c>
    </row>
    <row r="121" spans="1:9" x14ac:dyDescent="0.25">
      <c r="A121" s="136" t="s">
        <v>195</v>
      </c>
      <c r="B121" s="136"/>
      <c r="C121" s="136">
        <v>54</v>
      </c>
      <c r="D121" s="145">
        <v>17131</v>
      </c>
      <c r="E121" s="136">
        <v>8</v>
      </c>
      <c r="F121" s="145">
        <v>3182</v>
      </c>
      <c r="G121" s="136">
        <v>342</v>
      </c>
      <c r="H121" s="145">
        <v>20717</v>
      </c>
    </row>
    <row r="122" spans="1:9" x14ac:dyDescent="0.25">
      <c r="A122" s="136" t="s">
        <v>196</v>
      </c>
      <c r="B122" s="136"/>
      <c r="C122" s="136">
        <v>73</v>
      </c>
      <c r="D122" s="145">
        <v>27789</v>
      </c>
      <c r="E122" s="136">
        <v>41</v>
      </c>
      <c r="F122" s="145">
        <v>5264</v>
      </c>
      <c r="G122" s="136">
        <v>574</v>
      </c>
      <c r="H122" s="145">
        <v>33741</v>
      </c>
    </row>
    <row r="123" spans="1:9" x14ac:dyDescent="0.25">
      <c r="A123" s="136" t="s">
        <v>197</v>
      </c>
      <c r="B123" s="136"/>
      <c r="C123" s="136">
        <v>14</v>
      </c>
      <c r="D123" s="145">
        <v>5665</v>
      </c>
      <c r="E123" s="136">
        <v>3</v>
      </c>
      <c r="F123" s="145">
        <v>1043</v>
      </c>
      <c r="G123" s="136">
        <v>146</v>
      </c>
      <c r="H123" s="145">
        <v>6871</v>
      </c>
    </row>
    <row r="124" spans="1:9" ht="30" x14ac:dyDescent="0.25">
      <c r="A124" s="136" t="s">
        <v>198</v>
      </c>
      <c r="B124" s="136"/>
      <c r="C124" s="136">
        <v>5</v>
      </c>
      <c r="D124" s="145">
        <v>1463</v>
      </c>
      <c r="E124" s="136">
        <v>2</v>
      </c>
      <c r="F124" s="136">
        <v>224</v>
      </c>
      <c r="G124" s="136">
        <v>24</v>
      </c>
      <c r="H124" s="145">
        <v>1718</v>
      </c>
    </row>
    <row r="125" spans="1:9" ht="30" x14ac:dyDescent="0.25">
      <c r="A125" s="136" t="s">
        <v>199</v>
      </c>
      <c r="B125" s="136"/>
      <c r="C125" s="136">
        <v>64</v>
      </c>
      <c r="D125" s="145">
        <v>18084</v>
      </c>
      <c r="E125" s="136">
        <v>9</v>
      </c>
      <c r="F125" s="145">
        <v>4161</v>
      </c>
      <c r="G125" s="136">
        <v>425</v>
      </c>
      <c r="H125" s="145">
        <v>22743</v>
      </c>
    </row>
    <row r="126" spans="1:9" ht="30" x14ac:dyDescent="0.25">
      <c r="A126" s="136" t="s">
        <v>200</v>
      </c>
      <c r="B126" s="136"/>
      <c r="C126" s="136">
        <v>6</v>
      </c>
      <c r="D126" s="145">
        <v>2897</v>
      </c>
      <c r="E126" s="136">
        <v>3</v>
      </c>
      <c r="F126" s="136">
        <v>721</v>
      </c>
      <c r="G126" s="136">
        <v>58</v>
      </c>
      <c r="H126" s="145">
        <v>3685</v>
      </c>
    </row>
    <row r="127" spans="1:9" x14ac:dyDescent="0.25">
      <c r="A127" s="136" t="s">
        <v>201</v>
      </c>
      <c r="B127" s="136"/>
      <c r="C127" s="136">
        <v>44</v>
      </c>
      <c r="D127" s="145">
        <v>13418</v>
      </c>
      <c r="E127" s="136">
        <v>9</v>
      </c>
      <c r="F127" s="145">
        <v>2758</v>
      </c>
      <c r="G127" s="136">
        <v>266</v>
      </c>
      <c r="H127" s="145">
        <v>16495</v>
      </c>
    </row>
    <row r="128" spans="1:9" ht="30" x14ac:dyDescent="0.25">
      <c r="A128" s="136" t="s">
        <v>202</v>
      </c>
      <c r="B128" s="136"/>
      <c r="C128" s="136">
        <v>10</v>
      </c>
      <c r="D128" s="145">
        <v>2603</v>
      </c>
      <c r="E128" s="136">
        <v>1</v>
      </c>
      <c r="F128" s="136">
        <v>504</v>
      </c>
      <c r="G128" s="136">
        <v>44</v>
      </c>
      <c r="H128" s="145">
        <v>3162</v>
      </c>
    </row>
    <row r="129" spans="1:8" ht="30" x14ac:dyDescent="0.25">
      <c r="A129" s="136" t="s">
        <v>203</v>
      </c>
      <c r="B129" s="136"/>
      <c r="C129" s="136">
        <v>5</v>
      </c>
      <c r="D129" s="145">
        <v>1695</v>
      </c>
      <c r="E129" s="166">
        <v>0</v>
      </c>
      <c r="F129" s="136">
        <v>540</v>
      </c>
      <c r="G129" s="136">
        <v>56</v>
      </c>
      <c r="H129" s="145">
        <v>2296</v>
      </c>
    </row>
    <row r="130" spans="1:8" ht="30" x14ac:dyDescent="0.25">
      <c r="A130" s="136" t="s">
        <v>204</v>
      </c>
      <c r="B130" s="136"/>
      <c r="C130" s="136">
        <v>176</v>
      </c>
      <c r="D130" s="145">
        <v>57195</v>
      </c>
      <c r="E130" s="136">
        <v>44</v>
      </c>
      <c r="F130" s="145">
        <v>10444</v>
      </c>
      <c r="G130" s="145">
        <v>1233</v>
      </c>
      <c r="H130" s="145">
        <v>69092</v>
      </c>
    </row>
    <row r="131" spans="1:8" ht="30" x14ac:dyDescent="0.25">
      <c r="A131" s="136" t="s">
        <v>205</v>
      </c>
      <c r="B131" s="136"/>
      <c r="C131" s="136">
        <v>45</v>
      </c>
      <c r="D131" s="145">
        <v>19458</v>
      </c>
      <c r="E131" s="136">
        <v>20</v>
      </c>
      <c r="F131" s="145">
        <v>4016</v>
      </c>
      <c r="G131" s="136">
        <v>531</v>
      </c>
      <c r="H131" s="145">
        <v>24070</v>
      </c>
    </row>
    <row r="132" spans="1:8" ht="30" x14ac:dyDescent="0.25">
      <c r="A132" s="136" t="s">
        <v>492</v>
      </c>
      <c r="B132" s="136"/>
      <c r="C132" s="136">
        <v>132</v>
      </c>
      <c r="D132" s="145">
        <v>56510</v>
      </c>
      <c r="E132" s="136">
        <v>42</v>
      </c>
      <c r="F132" s="145">
        <v>12188</v>
      </c>
      <c r="G132" s="145">
        <v>1307</v>
      </c>
      <c r="H132" s="145">
        <v>70179</v>
      </c>
    </row>
    <row r="133" spans="1:8" x14ac:dyDescent="0.25">
      <c r="A133" s="136" t="s">
        <v>206</v>
      </c>
      <c r="B133" s="136"/>
      <c r="C133" s="136">
        <v>7</v>
      </c>
      <c r="D133" s="145">
        <v>1284</v>
      </c>
      <c r="E133" s="166">
        <v>0</v>
      </c>
      <c r="F133" s="136">
        <v>248</v>
      </c>
      <c r="G133" s="136">
        <v>27</v>
      </c>
      <c r="H133" s="145">
        <v>1566</v>
      </c>
    </row>
    <row r="134" spans="1:8" x14ac:dyDescent="0.25">
      <c r="A134" s="136"/>
      <c r="H134" s="142"/>
    </row>
    <row r="135" spans="1:8" x14ac:dyDescent="0.25">
      <c r="A135" s="136" t="s">
        <v>25</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2"/>
    </row>
    <row r="137" spans="1:8" x14ac:dyDescent="0.25">
      <c r="A137" s="136"/>
      <c r="B137" s="146"/>
      <c r="C137" s="146"/>
      <c r="D137" s="146"/>
      <c r="E137" s="146"/>
      <c r="F137" s="146"/>
      <c r="G137" s="146"/>
      <c r="H137" s="143"/>
    </row>
    <row r="141" spans="1:8" ht="45" x14ac:dyDescent="0.25">
      <c r="A141" s="136" t="s">
        <v>501</v>
      </c>
      <c r="B141" s="136" t="s">
        <v>502</v>
      </c>
      <c r="C141" s="136">
        <v>6</v>
      </c>
      <c r="D141" s="153"/>
      <c r="E141" s="153"/>
      <c r="F141" s="153"/>
      <c r="G141" s="154"/>
    </row>
    <row r="142" spans="1:8" x14ac:dyDescent="0.25">
      <c r="A142" s="136"/>
      <c r="B142" s="136"/>
      <c r="C142" s="136"/>
      <c r="D142" s="136"/>
      <c r="G142" s="142"/>
    </row>
    <row r="143" spans="1:8" ht="30" x14ac:dyDescent="0.25">
      <c r="A143" s="136"/>
      <c r="B143" s="136"/>
      <c r="C143" s="136" t="s">
        <v>500</v>
      </c>
      <c r="D143" s="136"/>
      <c r="G143" s="142"/>
    </row>
    <row r="144" spans="1:8" x14ac:dyDescent="0.25">
      <c r="A144" s="136" t="s">
        <v>126</v>
      </c>
      <c r="B144" s="136"/>
      <c r="C144" s="136" t="s">
        <v>479</v>
      </c>
      <c r="D144" s="136" t="s">
        <v>480</v>
      </c>
      <c r="E144" s="136" t="s">
        <v>481</v>
      </c>
      <c r="F144" s="136" t="s">
        <v>482</v>
      </c>
      <c r="G144" s="136" t="s">
        <v>483</v>
      </c>
      <c r="H144" s="136" t="s">
        <v>25</v>
      </c>
    </row>
    <row r="145" spans="1:8" x14ac:dyDescent="0.25">
      <c r="A145" s="136"/>
      <c r="B145" s="136"/>
      <c r="C145" s="136"/>
      <c r="D145" s="136"/>
      <c r="H145" s="142"/>
    </row>
    <row r="146" spans="1:8" x14ac:dyDescent="0.25">
      <c r="A146" s="136" t="s">
        <v>207</v>
      </c>
      <c r="B146" s="136"/>
      <c r="C146" s="136">
        <v>10</v>
      </c>
      <c r="D146" s="145">
        <v>3236</v>
      </c>
      <c r="E146" s="136">
        <v>2</v>
      </c>
      <c r="F146" s="136">
        <v>704</v>
      </c>
      <c r="G146" s="136">
        <v>83</v>
      </c>
      <c r="H146" s="145">
        <v>4035</v>
      </c>
    </row>
    <row r="147" spans="1:8" ht="30" x14ac:dyDescent="0.25">
      <c r="A147" s="136" t="s">
        <v>208</v>
      </c>
      <c r="B147" s="136"/>
      <c r="C147" s="136">
        <v>18</v>
      </c>
      <c r="D147" s="145">
        <v>6369</v>
      </c>
      <c r="E147" s="136">
        <v>2</v>
      </c>
      <c r="F147" s="145">
        <v>1452</v>
      </c>
      <c r="G147" s="136">
        <v>146</v>
      </c>
      <c r="H147" s="145">
        <v>7987</v>
      </c>
    </row>
    <row r="148" spans="1:8" x14ac:dyDescent="0.25">
      <c r="A148" s="136" t="s">
        <v>209</v>
      </c>
      <c r="B148" s="136"/>
      <c r="C148" s="136">
        <v>5</v>
      </c>
      <c r="D148" s="145">
        <v>2111</v>
      </c>
      <c r="E148">
        <v>0</v>
      </c>
      <c r="F148" s="136">
        <v>379</v>
      </c>
      <c r="G148" s="136">
        <v>50</v>
      </c>
      <c r="H148" s="145">
        <v>2545</v>
      </c>
    </row>
    <row r="149" spans="1:8" x14ac:dyDescent="0.25">
      <c r="A149" s="136" t="s">
        <v>210</v>
      </c>
      <c r="B149" s="136"/>
      <c r="C149" s="136">
        <v>6</v>
      </c>
      <c r="D149" s="145">
        <v>1465</v>
      </c>
      <c r="E149" s="167">
        <v>0</v>
      </c>
      <c r="F149" s="136">
        <v>276</v>
      </c>
      <c r="G149" s="136">
        <v>26</v>
      </c>
      <c r="H149" s="145">
        <v>1773</v>
      </c>
    </row>
    <row r="150" spans="1:8" x14ac:dyDescent="0.25">
      <c r="A150" s="136" t="s">
        <v>211</v>
      </c>
      <c r="B150" s="136"/>
      <c r="C150" s="136">
        <v>2</v>
      </c>
      <c r="D150" s="145">
        <v>3576</v>
      </c>
      <c r="E150" s="136">
        <v>1</v>
      </c>
      <c r="F150" s="136">
        <v>601</v>
      </c>
      <c r="G150" s="136">
        <v>69</v>
      </c>
      <c r="H150" s="145">
        <v>4249</v>
      </c>
    </row>
    <row r="151" spans="1:8" x14ac:dyDescent="0.25">
      <c r="A151" s="136" t="s">
        <v>493</v>
      </c>
      <c r="B151" s="136"/>
      <c r="C151" s="136">
        <v>7</v>
      </c>
      <c r="D151" s="145">
        <v>3428</v>
      </c>
      <c r="E151" s="136">
        <v>3</v>
      </c>
      <c r="F151" s="136">
        <v>661</v>
      </c>
      <c r="G151" s="136">
        <v>66</v>
      </c>
      <c r="H151" s="145">
        <v>4165</v>
      </c>
    </row>
    <row r="152" spans="1:8" x14ac:dyDescent="0.25">
      <c r="A152" s="136" t="s">
        <v>212</v>
      </c>
      <c r="B152" s="136"/>
      <c r="C152" s="136">
        <v>11</v>
      </c>
      <c r="D152" s="145">
        <v>4835</v>
      </c>
      <c r="E152" s="136">
        <v>1</v>
      </c>
      <c r="F152" s="136">
        <v>871</v>
      </c>
      <c r="G152" s="136">
        <v>88</v>
      </c>
      <c r="H152" s="145">
        <v>5806</v>
      </c>
    </row>
    <row r="153" spans="1:8" ht="30" x14ac:dyDescent="0.25">
      <c r="A153" s="136" t="s">
        <v>213</v>
      </c>
      <c r="B153" s="136"/>
      <c r="C153" s="136">
        <v>1</v>
      </c>
      <c r="D153" s="136">
        <v>771</v>
      </c>
      <c r="E153" s="166">
        <v>0</v>
      </c>
      <c r="F153" s="136">
        <v>142</v>
      </c>
      <c r="G153" s="136">
        <v>13</v>
      </c>
      <c r="H153" s="136">
        <v>927</v>
      </c>
    </row>
    <row r="154" spans="1:8" ht="30" x14ac:dyDescent="0.25">
      <c r="A154" s="136" t="s">
        <v>214</v>
      </c>
      <c r="B154" s="136"/>
      <c r="C154" s="136">
        <v>8</v>
      </c>
      <c r="D154" s="145">
        <v>4613</v>
      </c>
      <c r="E154" s="136">
        <v>1</v>
      </c>
      <c r="F154" s="136">
        <v>817</v>
      </c>
      <c r="G154" s="136">
        <v>117</v>
      </c>
      <c r="H154" s="145">
        <v>5556</v>
      </c>
    </row>
    <row r="155" spans="1:8" x14ac:dyDescent="0.25">
      <c r="A155" s="136" t="s">
        <v>215</v>
      </c>
      <c r="B155" s="136"/>
      <c r="C155" s="136">
        <v>4</v>
      </c>
      <c r="D155" s="145">
        <v>1243</v>
      </c>
      <c r="E155" s="166">
        <v>0</v>
      </c>
      <c r="F155" s="136">
        <v>258</v>
      </c>
      <c r="G155" s="136">
        <v>33</v>
      </c>
      <c r="H155" s="145">
        <v>1538</v>
      </c>
    </row>
    <row r="156" spans="1:8" x14ac:dyDescent="0.25">
      <c r="A156" s="136" t="s">
        <v>216</v>
      </c>
      <c r="B156" s="136"/>
      <c r="C156" s="136">
        <v>5</v>
      </c>
      <c r="D156" s="145">
        <v>1604</v>
      </c>
      <c r="E156" s="166">
        <v>0</v>
      </c>
      <c r="F156" s="136">
        <v>297</v>
      </c>
      <c r="G156" s="136">
        <v>41</v>
      </c>
      <c r="H156" s="145">
        <v>1947</v>
      </c>
    </row>
    <row r="157" spans="1:8" x14ac:dyDescent="0.25">
      <c r="A157" s="136" t="s">
        <v>217</v>
      </c>
      <c r="B157" s="136"/>
      <c r="C157" s="136">
        <v>12</v>
      </c>
      <c r="D157" s="145">
        <v>5219</v>
      </c>
      <c r="E157" s="136">
        <v>2</v>
      </c>
      <c r="F157" s="145">
        <v>1268</v>
      </c>
      <c r="G157" s="136">
        <v>141</v>
      </c>
      <c r="H157" s="145">
        <v>6642</v>
      </c>
    </row>
    <row r="158" spans="1:8" x14ac:dyDescent="0.25">
      <c r="A158" s="136" t="s">
        <v>218</v>
      </c>
      <c r="B158" s="136"/>
      <c r="C158" s="136">
        <v>10</v>
      </c>
      <c r="D158" s="145">
        <v>2637</v>
      </c>
      <c r="E158" s="136">
        <v>1</v>
      </c>
      <c r="F158" s="136">
        <v>471</v>
      </c>
      <c r="G158" s="136">
        <v>44</v>
      </c>
      <c r="H158" s="145">
        <v>3163</v>
      </c>
    </row>
    <row r="159" spans="1:8" ht="30" x14ac:dyDescent="0.25">
      <c r="A159" s="136" t="s">
        <v>219</v>
      </c>
      <c r="B159" s="136"/>
      <c r="C159" s="136">
        <v>3</v>
      </c>
      <c r="D159" s="145">
        <v>1624</v>
      </c>
      <c r="E159" s="136">
        <v>1</v>
      </c>
      <c r="F159" s="136">
        <v>260</v>
      </c>
      <c r="G159" s="136">
        <v>42</v>
      </c>
      <c r="H159" s="145">
        <v>1930</v>
      </c>
    </row>
    <row r="160" spans="1:8" x14ac:dyDescent="0.25">
      <c r="A160" s="136" t="s">
        <v>220</v>
      </c>
      <c r="B160" s="136"/>
      <c r="C160" s="136">
        <v>21</v>
      </c>
      <c r="D160" s="145">
        <v>4253</v>
      </c>
      <c r="E160" s="166">
        <v>0</v>
      </c>
      <c r="F160" s="136">
        <v>961</v>
      </c>
      <c r="G160" s="136">
        <v>102</v>
      </c>
      <c r="H160" s="145">
        <v>5337</v>
      </c>
    </row>
    <row r="161" spans="1:8" x14ac:dyDescent="0.25">
      <c r="A161" s="136" t="s">
        <v>221</v>
      </c>
      <c r="B161" s="136"/>
      <c r="C161" s="136">
        <v>11</v>
      </c>
      <c r="D161" s="145">
        <v>3154</v>
      </c>
      <c r="E161" s="166">
        <v>0</v>
      </c>
      <c r="F161" s="136">
        <v>585</v>
      </c>
      <c r="G161" s="136">
        <v>61</v>
      </c>
      <c r="H161" s="145">
        <v>3811</v>
      </c>
    </row>
    <row r="162" spans="1:8" x14ac:dyDescent="0.25">
      <c r="A162" s="136" t="s">
        <v>222</v>
      </c>
      <c r="B162" s="136"/>
      <c r="C162" s="136">
        <v>4</v>
      </c>
      <c r="D162" s="145">
        <v>1444</v>
      </c>
      <c r="E162" s="136">
        <v>1</v>
      </c>
      <c r="F162" s="136">
        <v>294</v>
      </c>
      <c r="G162" s="136">
        <v>41</v>
      </c>
      <c r="H162" s="145">
        <v>1784</v>
      </c>
    </row>
    <row r="163" spans="1:8" x14ac:dyDescent="0.25">
      <c r="A163" s="136" t="s">
        <v>223</v>
      </c>
      <c r="B163" s="136"/>
      <c r="C163" s="136">
        <v>3</v>
      </c>
      <c r="D163" s="145">
        <v>2042</v>
      </c>
      <c r="E163" s="136">
        <v>3</v>
      </c>
      <c r="F163" s="136">
        <v>443</v>
      </c>
      <c r="G163" s="136">
        <v>43</v>
      </c>
      <c r="H163" s="145">
        <v>2534</v>
      </c>
    </row>
    <row r="164" spans="1:8" x14ac:dyDescent="0.25">
      <c r="A164" s="136" t="s">
        <v>224</v>
      </c>
      <c r="B164" s="136"/>
      <c r="C164" s="136">
        <v>8</v>
      </c>
      <c r="D164" s="145">
        <v>2364</v>
      </c>
      <c r="E164" s="166">
        <v>0</v>
      </c>
      <c r="F164" s="136">
        <v>538</v>
      </c>
      <c r="G164" s="136">
        <v>42</v>
      </c>
      <c r="H164" s="145">
        <v>2952</v>
      </c>
    </row>
    <row r="165" spans="1:8" ht="30" x14ac:dyDescent="0.25">
      <c r="A165" s="136" t="s">
        <v>225</v>
      </c>
      <c r="B165" s="136"/>
      <c r="C165" s="136">
        <v>5</v>
      </c>
      <c r="D165" s="145">
        <v>1463</v>
      </c>
      <c r="E165" s="166">
        <v>0</v>
      </c>
      <c r="F165" s="136">
        <v>234</v>
      </c>
      <c r="G165" s="136">
        <v>33</v>
      </c>
      <c r="H165" s="145">
        <v>1735</v>
      </c>
    </row>
    <row r="166" spans="1:8" x14ac:dyDescent="0.25">
      <c r="A166" s="136" t="s">
        <v>226</v>
      </c>
      <c r="B166" s="136"/>
      <c r="C166" s="136">
        <v>4</v>
      </c>
      <c r="D166" s="145">
        <v>2223</v>
      </c>
      <c r="E166" s="136">
        <v>1</v>
      </c>
      <c r="F166" s="136">
        <v>473</v>
      </c>
      <c r="G166" s="136">
        <v>43</v>
      </c>
      <c r="H166" s="145">
        <v>2744</v>
      </c>
    </row>
    <row r="167" spans="1:8" x14ac:dyDescent="0.25">
      <c r="A167" s="136" t="s">
        <v>227</v>
      </c>
      <c r="B167" s="136"/>
      <c r="C167" s="136">
        <v>6</v>
      </c>
      <c r="D167" s="145">
        <v>2894</v>
      </c>
      <c r="E167" s="136">
        <v>2</v>
      </c>
      <c r="F167" s="136">
        <v>414</v>
      </c>
      <c r="G167" s="136">
        <v>47</v>
      </c>
      <c r="H167" s="145">
        <v>3363</v>
      </c>
    </row>
    <row r="168" spans="1:8" ht="30" x14ac:dyDescent="0.25">
      <c r="A168" s="136" t="s">
        <v>228</v>
      </c>
      <c r="B168" s="136"/>
      <c r="C168" s="136">
        <v>8</v>
      </c>
      <c r="D168" s="145">
        <v>3969</v>
      </c>
      <c r="E168" s="136">
        <v>3</v>
      </c>
      <c r="F168" s="136">
        <v>747</v>
      </c>
      <c r="G168" s="136">
        <v>66</v>
      </c>
      <c r="H168" s="145">
        <v>4793</v>
      </c>
    </row>
    <row r="169" spans="1:8" x14ac:dyDescent="0.25">
      <c r="A169" s="136" t="s">
        <v>229</v>
      </c>
      <c r="B169" s="136"/>
      <c r="C169" s="136">
        <v>9</v>
      </c>
      <c r="D169" s="145">
        <v>3233</v>
      </c>
      <c r="E169" s="136">
        <v>1</v>
      </c>
      <c r="F169" s="136">
        <v>612</v>
      </c>
      <c r="G169" s="136">
        <v>97</v>
      </c>
      <c r="H169" s="145">
        <v>3952</v>
      </c>
    </row>
    <row r="170" spans="1:8" x14ac:dyDescent="0.25">
      <c r="A170" s="136" t="s">
        <v>230</v>
      </c>
      <c r="B170" s="136"/>
      <c r="C170" s="136">
        <v>5</v>
      </c>
      <c r="D170" s="145">
        <v>1619</v>
      </c>
      <c r="E170" s="166">
        <v>0</v>
      </c>
      <c r="F170" s="136">
        <v>324</v>
      </c>
      <c r="G170" s="136">
        <v>30</v>
      </c>
      <c r="H170" s="145">
        <v>1978</v>
      </c>
    </row>
    <row r="171" spans="1:8" ht="30" x14ac:dyDescent="0.25">
      <c r="A171" s="136" t="s">
        <v>231</v>
      </c>
      <c r="B171" s="136"/>
      <c r="C171" s="136">
        <v>2</v>
      </c>
      <c r="D171" s="136">
        <v>909</v>
      </c>
      <c r="E171" s="136">
        <v>1</v>
      </c>
      <c r="F171" s="136">
        <v>193</v>
      </c>
      <c r="G171" s="136">
        <v>17</v>
      </c>
      <c r="H171" s="145">
        <v>1122</v>
      </c>
    </row>
    <row r="172" spans="1:8" ht="30" x14ac:dyDescent="0.25">
      <c r="A172" s="136" t="s">
        <v>232</v>
      </c>
      <c r="B172" s="136"/>
      <c r="C172" s="136">
        <v>8</v>
      </c>
      <c r="D172" s="145">
        <v>2491</v>
      </c>
      <c r="E172" s="136">
        <v>1</v>
      </c>
      <c r="F172" s="136">
        <v>455</v>
      </c>
      <c r="G172" s="136">
        <v>63</v>
      </c>
      <c r="H172" s="145">
        <v>3018</v>
      </c>
    </row>
    <row r="173" spans="1:8" x14ac:dyDescent="0.25">
      <c r="A173" s="136" t="s">
        <v>233</v>
      </c>
      <c r="B173" s="136"/>
      <c r="C173" s="136">
        <v>117</v>
      </c>
      <c r="D173" s="145">
        <v>38092</v>
      </c>
      <c r="E173" s="136">
        <v>35</v>
      </c>
      <c r="F173" s="145">
        <v>8952</v>
      </c>
      <c r="G173" s="136">
        <v>957</v>
      </c>
      <c r="H173" s="145">
        <v>48153</v>
      </c>
    </row>
    <row r="174" spans="1:8" x14ac:dyDescent="0.25">
      <c r="A174" s="136" t="s">
        <v>234</v>
      </c>
      <c r="B174" s="136"/>
      <c r="C174" s="136">
        <v>21</v>
      </c>
      <c r="D174" s="145">
        <v>10380</v>
      </c>
      <c r="E174" s="136">
        <v>9</v>
      </c>
      <c r="F174" s="145">
        <v>2209</v>
      </c>
      <c r="G174" s="136">
        <v>211</v>
      </c>
      <c r="H174" s="145">
        <v>12830</v>
      </c>
    </row>
    <row r="175" spans="1:8" x14ac:dyDescent="0.25">
      <c r="A175" s="136" t="s">
        <v>235</v>
      </c>
      <c r="B175" s="136"/>
      <c r="C175" s="136">
        <v>8</v>
      </c>
      <c r="D175" s="145">
        <v>3845</v>
      </c>
      <c r="E175" s="136">
        <v>2</v>
      </c>
      <c r="F175" s="136">
        <v>841</v>
      </c>
      <c r="G175" s="136">
        <v>90</v>
      </c>
      <c r="H175" s="145">
        <v>4786</v>
      </c>
    </row>
    <row r="176" spans="1:8" ht="30" x14ac:dyDescent="0.25">
      <c r="A176" s="136" t="s">
        <v>236</v>
      </c>
      <c r="B176" s="136"/>
      <c r="C176" s="136">
        <v>30</v>
      </c>
      <c r="D176" s="145">
        <v>12944</v>
      </c>
      <c r="E176" s="136">
        <v>1</v>
      </c>
      <c r="F176" s="145">
        <v>2516</v>
      </c>
      <c r="G176" s="136">
        <v>277</v>
      </c>
      <c r="H176" s="145">
        <v>15768</v>
      </c>
    </row>
    <row r="177" spans="1:8" ht="30" x14ac:dyDescent="0.25">
      <c r="A177" s="136" t="s">
        <v>237</v>
      </c>
      <c r="B177" s="136"/>
      <c r="C177" s="136">
        <v>21</v>
      </c>
      <c r="D177" s="145">
        <v>9778</v>
      </c>
      <c r="E177" s="136">
        <v>2</v>
      </c>
      <c r="F177" s="145">
        <v>1826</v>
      </c>
      <c r="G177" s="136">
        <v>230</v>
      </c>
      <c r="H177" s="145">
        <v>11857</v>
      </c>
    </row>
    <row r="178" spans="1:8" ht="30" x14ac:dyDescent="0.25">
      <c r="A178" s="136" t="s">
        <v>238</v>
      </c>
      <c r="B178" s="136"/>
      <c r="C178" s="136">
        <v>11</v>
      </c>
      <c r="D178" s="145">
        <v>7565</v>
      </c>
      <c r="E178" s="136">
        <v>5</v>
      </c>
      <c r="F178" s="145">
        <v>1496</v>
      </c>
      <c r="G178" s="136">
        <v>160</v>
      </c>
      <c r="H178" s="145">
        <v>9237</v>
      </c>
    </row>
    <row r="179" spans="1:8" x14ac:dyDescent="0.25">
      <c r="A179" s="136"/>
      <c r="H179" s="142"/>
    </row>
    <row r="180" spans="1:8" x14ac:dyDescent="0.25">
      <c r="A180" s="136" t="s">
        <v>25</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6"/>
      <c r="F181" s="146"/>
      <c r="G181" s="146"/>
      <c r="H181" s="143"/>
    </row>
    <row r="185" spans="1:8" ht="45" x14ac:dyDescent="0.25">
      <c r="A185" s="136" t="s">
        <v>501</v>
      </c>
      <c r="B185" s="136" t="s">
        <v>502</v>
      </c>
      <c r="C185" s="136">
        <v>7</v>
      </c>
      <c r="D185" s="153"/>
      <c r="E185" s="153"/>
      <c r="F185" s="154"/>
    </row>
    <row r="186" spans="1:8" x14ac:dyDescent="0.25">
      <c r="A186" s="136"/>
      <c r="B186" s="136"/>
      <c r="C186" s="136"/>
      <c r="D186" s="136"/>
      <c r="F186" s="142"/>
    </row>
    <row r="187" spans="1:8" ht="30" x14ac:dyDescent="0.25">
      <c r="A187" s="136"/>
      <c r="B187" s="136"/>
      <c r="C187" s="136" t="s">
        <v>500</v>
      </c>
      <c r="D187" s="136"/>
      <c r="F187" s="142"/>
    </row>
    <row r="188" spans="1:8" x14ac:dyDescent="0.25">
      <c r="A188" s="136" t="s">
        <v>126</v>
      </c>
      <c r="B188" s="136" t="s">
        <v>479</v>
      </c>
      <c r="C188" s="136" t="s">
        <v>480</v>
      </c>
      <c r="D188" s="136" t="s">
        <v>481</v>
      </c>
      <c r="E188" s="136" t="s">
        <v>482</v>
      </c>
      <c r="F188" s="136" t="s">
        <v>483</v>
      </c>
      <c r="G188" s="136" t="s">
        <v>25</v>
      </c>
    </row>
    <row r="189" spans="1:8" x14ac:dyDescent="0.25">
      <c r="A189" s="136"/>
      <c r="B189" s="136"/>
      <c r="C189" s="136"/>
      <c r="D189" s="136"/>
      <c r="E189" s="157"/>
      <c r="G189" s="142"/>
    </row>
    <row r="190" spans="1:8" ht="30" x14ac:dyDescent="0.25">
      <c r="A190" s="136" t="s">
        <v>239</v>
      </c>
      <c r="B190" s="136">
        <v>27</v>
      </c>
      <c r="C190" s="145">
        <v>9982</v>
      </c>
      <c r="D190" s="136">
        <v>12</v>
      </c>
      <c r="E190" s="145">
        <v>1856</v>
      </c>
      <c r="F190" s="136">
        <v>174</v>
      </c>
      <c r="G190" s="145">
        <v>12051</v>
      </c>
    </row>
    <row r="191" spans="1:8" x14ac:dyDescent="0.25">
      <c r="A191" s="136" t="s">
        <v>240</v>
      </c>
      <c r="B191" s="136">
        <v>5</v>
      </c>
      <c r="C191" s="145">
        <v>1892</v>
      </c>
      <c r="D191">
        <v>0</v>
      </c>
      <c r="E191" s="136">
        <v>397</v>
      </c>
      <c r="F191" s="136">
        <v>50</v>
      </c>
      <c r="G191" s="145">
        <v>2344</v>
      </c>
    </row>
    <row r="192" spans="1:8" x14ac:dyDescent="0.25">
      <c r="A192" s="136" t="s">
        <v>241</v>
      </c>
      <c r="B192" s="136">
        <v>8</v>
      </c>
      <c r="C192" s="145">
        <v>3773</v>
      </c>
      <c r="D192" s="136">
        <v>1</v>
      </c>
      <c r="E192" s="136">
        <v>786</v>
      </c>
      <c r="F192" s="136">
        <v>83</v>
      </c>
      <c r="G192" s="145">
        <v>4651</v>
      </c>
    </row>
    <row r="193" spans="1:7" ht="30" x14ac:dyDescent="0.25">
      <c r="A193" s="136" t="s">
        <v>242</v>
      </c>
      <c r="B193" s="136">
        <v>33</v>
      </c>
      <c r="C193" s="145">
        <v>8007</v>
      </c>
      <c r="D193" s="136">
        <v>3</v>
      </c>
      <c r="E193" s="145">
        <v>1747</v>
      </c>
      <c r="F193" s="136">
        <v>172</v>
      </c>
      <c r="G193" s="145">
        <v>9962</v>
      </c>
    </row>
    <row r="194" spans="1:7" x14ac:dyDescent="0.25">
      <c r="A194" s="136" t="s">
        <v>243</v>
      </c>
      <c r="B194" s="136">
        <v>8</v>
      </c>
      <c r="C194" s="145">
        <v>2551</v>
      </c>
      <c r="D194" s="166">
        <v>0</v>
      </c>
      <c r="E194" s="136">
        <v>610</v>
      </c>
      <c r="F194" s="136">
        <v>32</v>
      </c>
      <c r="G194" s="145">
        <v>3201</v>
      </c>
    </row>
    <row r="195" spans="1:7" x14ac:dyDescent="0.25">
      <c r="A195" s="136" t="s">
        <v>244</v>
      </c>
      <c r="B195" s="136">
        <v>47</v>
      </c>
      <c r="C195" s="145">
        <v>25031</v>
      </c>
      <c r="D195" s="136">
        <v>16</v>
      </c>
      <c r="E195" s="145">
        <v>3837</v>
      </c>
      <c r="F195" s="136">
        <v>537</v>
      </c>
      <c r="G195" s="145">
        <v>29468</v>
      </c>
    </row>
    <row r="196" spans="1:7" ht="30" x14ac:dyDescent="0.25">
      <c r="A196" s="136" t="s">
        <v>245</v>
      </c>
      <c r="B196" s="136">
        <v>2</v>
      </c>
      <c r="C196" s="136">
        <v>706</v>
      </c>
      <c r="D196" s="166">
        <v>0</v>
      </c>
      <c r="E196" s="136">
        <v>180</v>
      </c>
      <c r="F196" s="136">
        <v>11</v>
      </c>
      <c r="G196" s="136">
        <v>899</v>
      </c>
    </row>
    <row r="197" spans="1:7" x14ac:dyDescent="0.25">
      <c r="A197" s="136" t="s">
        <v>494</v>
      </c>
      <c r="B197" s="136">
        <v>5</v>
      </c>
      <c r="C197" s="145">
        <v>2353</v>
      </c>
      <c r="D197" s="166">
        <v>0</v>
      </c>
      <c r="E197" s="136">
        <v>435</v>
      </c>
      <c r="F197" s="136">
        <v>28</v>
      </c>
      <c r="G197" s="145">
        <v>2821</v>
      </c>
    </row>
    <row r="198" spans="1:7" x14ac:dyDescent="0.25">
      <c r="A198" s="136" t="s">
        <v>246</v>
      </c>
      <c r="B198" s="136">
        <v>3</v>
      </c>
      <c r="C198" s="145">
        <v>1378</v>
      </c>
      <c r="D198" s="136">
        <v>1</v>
      </c>
      <c r="E198" s="136">
        <v>199</v>
      </c>
      <c r="F198" s="136">
        <v>26</v>
      </c>
      <c r="G198" s="145">
        <v>1607</v>
      </c>
    </row>
    <row r="199" spans="1:7" x14ac:dyDescent="0.25">
      <c r="A199" s="136" t="s">
        <v>247</v>
      </c>
      <c r="B199" s="136">
        <v>46</v>
      </c>
      <c r="C199" s="145">
        <v>17260</v>
      </c>
      <c r="D199" s="136">
        <v>10</v>
      </c>
      <c r="E199" s="145">
        <v>3215</v>
      </c>
      <c r="F199" s="136">
        <v>325</v>
      </c>
      <c r="G199" s="145">
        <v>20856</v>
      </c>
    </row>
    <row r="200" spans="1:7" x14ac:dyDescent="0.25">
      <c r="A200" s="136" t="s">
        <v>248</v>
      </c>
      <c r="B200" s="136">
        <v>9</v>
      </c>
      <c r="C200" s="145">
        <v>5818</v>
      </c>
      <c r="D200" s="166">
        <v>0</v>
      </c>
      <c r="E200" s="145">
        <v>1235</v>
      </c>
      <c r="F200" s="136">
        <v>146</v>
      </c>
      <c r="G200" s="145">
        <v>7208</v>
      </c>
    </row>
    <row r="201" spans="1:7" x14ac:dyDescent="0.25">
      <c r="A201" s="136" t="s">
        <v>249</v>
      </c>
      <c r="B201" s="136">
        <v>6</v>
      </c>
      <c r="C201" s="145">
        <v>5115</v>
      </c>
      <c r="D201" s="136">
        <v>2</v>
      </c>
      <c r="E201" s="145">
        <v>1016</v>
      </c>
      <c r="F201" s="136">
        <v>159</v>
      </c>
      <c r="G201" s="145">
        <v>6298</v>
      </c>
    </row>
    <row r="202" spans="1:7" x14ac:dyDescent="0.25">
      <c r="A202" s="136" t="s">
        <v>250</v>
      </c>
      <c r="B202" s="136">
        <v>18</v>
      </c>
      <c r="C202" s="145">
        <v>7962</v>
      </c>
      <c r="D202" s="136">
        <v>7</v>
      </c>
      <c r="E202" s="145">
        <v>1147</v>
      </c>
      <c r="F202" s="136">
        <v>157</v>
      </c>
      <c r="G202" s="145">
        <v>9291</v>
      </c>
    </row>
    <row r="203" spans="1:7" x14ac:dyDescent="0.25">
      <c r="A203" s="136" t="s">
        <v>251</v>
      </c>
      <c r="B203" s="136">
        <v>29</v>
      </c>
      <c r="C203" s="145">
        <v>8694</v>
      </c>
      <c r="D203" s="136">
        <v>8</v>
      </c>
      <c r="E203" s="145">
        <v>1726</v>
      </c>
      <c r="F203" s="136">
        <v>175</v>
      </c>
      <c r="G203" s="145">
        <v>10632</v>
      </c>
    </row>
    <row r="204" spans="1:7" x14ac:dyDescent="0.25">
      <c r="A204" s="136" t="s">
        <v>252</v>
      </c>
      <c r="B204" s="136">
        <v>0</v>
      </c>
      <c r="C204" s="145">
        <v>1678</v>
      </c>
      <c r="D204" s="166">
        <v>0</v>
      </c>
      <c r="E204" s="136">
        <v>292</v>
      </c>
      <c r="F204" s="136">
        <v>38</v>
      </c>
      <c r="G204" s="145">
        <v>2008</v>
      </c>
    </row>
    <row r="205" spans="1:7" x14ac:dyDescent="0.25">
      <c r="A205" s="136" t="s">
        <v>253</v>
      </c>
      <c r="B205" s="136">
        <v>7</v>
      </c>
      <c r="C205" s="145">
        <v>1433</v>
      </c>
      <c r="D205" s="166">
        <v>0</v>
      </c>
      <c r="E205" s="136">
        <v>320</v>
      </c>
      <c r="F205" s="136">
        <v>35</v>
      </c>
      <c r="G205" s="145">
        <v>1795</v>
      </c>
    </row>
    <row r="206" spans="1:7" x14ac:dyDescent="0.25">
      <c r="A206" s="136" t="s">
        <v>254</v>
      </c>
      <c r="B206" s="136">
        <v>4</v>
      </c>
      <c r="C206" s="145">
        <v>1631</v>
      </c>
      <c r="D206" s="166">
        <v>0</v>
      </c>
      <c r="E206" s="136">
        <v>224</v>
      </c>
      <c r="F206" s="136">
        <v>34</v>
      </c>
      <c r="G206" s="145">
        <v>1893</v>
      </c>
    </row>
    <row r="207" spans="1:7" x14ac:dyDescent="0.25">
      <c r="A207" s="136" t="s">
        <v>255</v>
      </c>
      <c r="B207" s="136">
        <v>2</v>
      </c>
      <c r="C207" s="145">
        <v>1880</v>
      </c>
      <c r="D207" s="166">
        <v>0</v>
      </c>
      <c r="E207" s="136">
        <v>248</v>
      </c>
      <c r="F207" s="136">
        <v>31</v>
      </c>
      <c r="G207" s="145">
        <v>2161</v>
      </c>
    </row>
    <row r="208" spans="1:7" x14ac:dyDescent="0.25">
      <c r="A208" s="136" t="s">
        <v>256</v>
      </c>
      <c r="B208" s="136">
        <v>7</v>
      </c>
      <c r="C208" s="145">
        <v>4002</v>
      </c>
      <c r="D208" s="136">
        <v>2</v>
      </c>
      <c r="E208" s="136">
        <v>872</v>
      </c>
      <c r="F208" s="136">
        <v>73</v>
      </c>
      <c r="G208" s="145">
        <v>4956</v>
      </c>
    </row>
    <row r="209" spans="1:7" x14ac:dyDescent="0.25">
      <c r="A209" s="136" t="s">
        <v>257</v>
      </c>
      <c r="B209" s="136">
        <v>2</v>
      </c>
      <c r="C209" s="145">
        <v>2570</v>
      </c>
      <c r="D209" s="166">
        <v>0</v>
      </c>
      <c r="E209" s="136">
        <v>522</v>
      </c>
      <c r="F209" s="136">
        <v>55</v>
      </c>
      <c r="G209" s="145">
        <v>3149</v>
      </c>
    </row>
    <row r="210" spans="1:7" x14ac:dyDescent="0.25">
      <c r="A210" s="136" t="s">
        <v>258</v>
      </c>
      <c r="B210" s="136">
        <v>2</v>
      </c>
      <c r="C210" s="145">
        <v>2439</v>
      </c>
      <c r="D210" s="166">
        <v>0</v>
      </c>
      <c r="E210" s="136">
        <v>350</v>
      </c>
      <c r="F210" s="136">
        <v>56</v>
      </c>
      <c r="G210" s="145">
        <v>2847</v>
      </c>
    </row>
    <row r="211" spans="1:7" ht="30" x14ac:dyDescent="0.25">
      <c r="A211" s="136" t="s">
        <v>259</v>
      </c>
      <c r="B211" s="136">
        <v>8</v>
      </c>
      <c r="C211" s="145">
        <v>3367</v>
      </c>
      <c r="D211" s="136">
        <v>3</v>
      </c>
      <c r="E211" s="136">
        <v>458</v>
      </c>
      <c r="F211" s="136">
        <v>71</v>
      </c>
      <c r="G211" s="145">
        <v>3907</v>
      </c>
    </row>
    <row r="212" spans="1:7" ht="30" x14ac:dyDescent="0.25">
      <c r="A212" s="136" t="s">
        <v>260</v>
      </c>
      <c r="B212" s="136">
        <v>19</v>
      </c>
      <c r="C212" s="145">
        <v>7507</v>
      </c>
      <c r="D212" s="136">
        <v>2</v>
      </c>
      <c r="E212" s="145">
        <v>1281</v>
      </c>
      <c r="F212" s="136">
        <v>139</v>
      </c>
      <c r="G212" s="145">
        <v>8948</v>
      </c>
    </row>
    <row r="213" spans="1:7" x14ac:dyDescent="0.25">
      <c r="A213" s="136" t="s">
        <v>261</v>
      </c>
      <c r="B213" s="136">
        <v>32</v>
      </c>
      <c r="C213" s="145">
        <v>8613</v>
      </c>
      <c r="D213" s="136">
        <v>2</v>
      </c>
      <c r="E213" s="145">
        <v>1325</v>
      </c>
      <c r="F213" s="136">
        <v>147</v>
      </c>
      <c r="G213" s="145">
        <v>10119</v>
      </c>
    </row>
    <row r="214" spans="1:7" ht="30" x14ac:dyDescent="0.25">
      <c r="A214" s="136" t="s">
        <v>262</v>
      </c>
      <c r="B214" s="136">
        <v>2</v>
      </c>
      <c r="C214" s="145">
        <v>1608</v>
      </c>
      <c r="E214" s="136">
        <v>390</v>
      </c>
      <c r="F214" s="136">
        <v>30</v>
      </c>
      <c r="G214" s="145">
        <v>2030</v>
      </c>
    </row>
    <row r="215" spans="1:7" x14ac:dyDescent="0.25">
      <c r="A215" s="136" t="s">
        <v>263</v>
      </c>
      <c r="B215" s="136">
        <v>105</v>
      </c>
      <c r="C215" s="145">
        <v>39306</v>
      </c>
      <c r="D215" s="136">
        <v>26</v>
      </c>
      <c r="E215" s="145">
        <v>7612</v>
      </c>
      <c r="F215" s="136">
        <v>865</v>
      </c>
      <c r="G215" s="145">
        <v>47914</v>
      </c>
    </row>
    <row r="216" spans="1:7" x14ac:dyDescent="0.25">
      <c r="A216" s="136" t="s">
        <v>264</v>
      </c>
      <c r="B216" s="136">
        <v>14</v>
      </c>
      <c r="C216" s="145">
        <v>5362</v>
      </c>
      <c r="D216" s="136">
        <v>3</v>
      </c>
      <c r="E216" s="136">
        <v>834</v>
      </c>
      <c r="F216" s="136">
        <v>136</v>
      </c>
      <c r="G216" s="145">
        <v>6349</v>
      </c>
    </row>
    <row r="217" spans="1:7" ht="30" x14ac:dyDescent="0.25">
      <c r="A217" s="136" t="s">
        <v>265</v>
      </c>
      <c r="B217" s="136">
        <v>1</v>
      </c>
      <c r="C217" s="136">
        <v>864</v>
      </c>
      <c r="D217" s="136">
        <v>1</v>
      </c>
      <c r="E217" s="136">
        <v>135</v>
      </c>
      <c r="F217" s="136">
        <v>24</v>
      </c>
      <c r="G217" s="145">
        <v>1025</v>
      </c>
    </row>
    <row r="218" spans="1:7" ht="30" x14ac:dyDescent="0.25">
      <c r="A218" s="136" t="s">
        <v>266</v>
      </c>
      <c r="B218" s="136">
        <v>8</v>
      </c>
      <c r="C218" s="145">
        <v>3230</v>
      </c>
      <c r="D218" s="136">
        <v>1</v>
      </c>
      <c r="E218" s="136">
        <v>631</v>
      </c>
      <c r="F218" s="136">
        <v>64</v>
      </c>
      <c r="G218" s="145">
        <v>3934</v>
      </c>
    </row>
    <row r="219" spans="1:7" ht="30" x14ac:dyDescent="0.25">
      <c r="A219" s="136" t="s">
        <v>267</v>
      </c>
      <c r="B219" s="136">
        <v>5</v>
      </c>
      <c r="C219" s="145">
        <v>3240</v>
      </c>
      <c r="D219" s="136">
        <v>1</v>
      </c>
      <c r="E219" s="136">
        <v>558</v>
      </c>
      <c r="F219" s="136">
        <v>77</v>
      </c>
      <c r="G219" s="145">
        <v>3881</v>
      </c>
    </row>
    <row r="220" spans="1:7" x14ac:dyDescent="0.25">
      <c r="A220" s="136" t="s">
        <v>25</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69"/>
      <c r="F221" s="146"/>
      <c r="G221" s="143"/>
    </row>
    <row r="225" spans="1:8" ht="45" x14ac:dyDescent="0.25">
      <c r="A225" s="136" t="s">
        <v>268</v>
      </c>
      <c r="B225" s="153"/>
      <c r="C225" s="153"/>
      <c r="D225" s="153"/>
      <c r="E225" s="154"/>
    </row>
    <row r="226" spans="1:8" x14ac:dyDescent="0.25">
      <c r="A226" s="136"/>
      <c r="B226" s="136"/>
      <c r="C226" s="136"/>
      <c r="E226" s="142"/>
    </row>
    <row r="227" spans="1:8" x14ac:dyDescent="0.25">
      <c r="A227" s="136"/>
      <c r="B227" s="136"/>
      <c r="C227" s="136"/>
      <c r="D227" s="153"/>
      <c r="E227" s="153"/>
      <c r="F227" s="153"/>
      <c r="G227" s="154"/>
    </row>
    <row r="228" spans="1:8" ht="30" x14ac:dyDescent="0.25">
      <c r="A228" s="136"/>
      <c r="B228" s="136"/>
      <c r="C228" s="136" t="s">
        <v>500</v>
      </c>
      <c r="D228" s="136"/>
      <c r="G228" s="142"/>
    </row>
    <row r="229" spans="1:8" x14ac:dyDescent="0.25">
      <c r="A229" s="136" t="s">
        <v>126</v>
      </c>
      <c r="B229" s="136" t="s">
        <v>479</v>
      </c>
      <c r="C229" s="136" t="s">
        <v>480</v>
      </c>
      <c r="D229" s="136" t="s">
        <v>481</v>
      </c>
      <c r="E229" s="136" t="s">
        <v>482</v>
      </c>
      <c r="F229" s="136" t="s">
        <v>483</v>
      </c>
      <c r="G229" s="136" t="s">
        <v>25</v>
      </c>
      <c r="H229" s="142"/>
    </row>
    <row r="230" spans="1:8" x14ac:dyDescent="0.25">
      <c r="A230" s="136"/>
      <c r="B230" s="136"/>
      <c r="C230" s="136"/>
      <c r="H230" s="142"/>
    </row>
    <row r="231" spans="1:8" ht="30" x14ac:dyDescent="0.25">
      <c r="A231" s="136" t="s">
        <v>269</v>
      </c>
      <c r="B231" s="136">
        <v>4</v>
      </c>
      <c r="C231" s="136">
        <v>815</v>
      </c>
      <c r="D231" s="136">
        <v>0</v>
      </c>
      <c r="E231" s="136">
        <v>128</v>
      </c>
      <c r="F231" s="136">
        <v>23</v>
      </c>
      <c r="G231" s="136">
        <v>970</v>
      </c>
      <c r="H231" s="142"/>
    </row>
    <row r="232" spans="1:8" x14ac:dyDescent="0.25">
      <c r="A232" s="136" t="s">
        <v>270</v>
      </c>
      <c r="B232" s="136">
        <v>4</v>
      </c>
      <c r="C232" s="136">
        <v>863</v>
      </c>
      <c r="D232" s="136">
        <v>0</v>
      </c>
      <c r="E232" s="136">
        <v>151</v>
      </c>
      <c r="F232" s="136">
        <v>9</v>
      </c>
      <c r="G232" s="145">
        <v>1027</v>
      </c>
      <c r="H232" s="142"/>
    </row>
    <row r="233" spans="1:8" x14ac:dyDescent="0.25">
      <c r="A233" s="136" t="s">
        <v>271</v>
      </c>
      <c r="B233" s="136">
        <v>16</v>
      </c>
      <c r="C233" s="145">
        <v>5959</v>
      </c>
      <c r="D233" s="136">
        <v>3</v>
      </c>
      <c r="E233" s="145">
        <v>1709</v>
      </c>
      <c r="F233" s="136">
        <v>121</v>
      </c>
      <c r="G233" s="145">
        <v>7808</v>
      </c>
      <c r="H233" s="142"/>
    </row>
    <row r="234" spans="1:8" x14ac:dyDescent="0.25">
      <c r="A234" s="136" t="s">
        <v>272</v>
      </c>
      <c r="B234" s="136">
        <v>18</v>
      </c>
      <c r="C234" s="145">
        <v>5555</v>
      </c>
      <c r="D234" s="136">
        <v>3</v>
      </c>
      <c r="E234" s="145">
        <v>1081</v>
      </c>
      <c r="F234" s="136">
        <v>116</v>
      </c>
      <c r="G234" s="145">
        <v>6773</v>
      </c>
      <c r="H234" s="142"/>
    </row>
    <row r="235" spans="1:8" x14ac:dyDescent="0.25">
      <c r="A235" s="136" t="s">
        <v>495</v>
      </c>
      <c r="B235" s="136">
        <v>11</v>
      </c>
      <c r="C235" s="145">
        <v>6031</v>
      </c>
      <c r="D235" s="167">
        <v>0</v>
      </c>
      <c r="E235" s="145">
        <v>1432</v>
      </c>
      <c r="F235" s="136">
        <v>117</v>
      </c>
      <c r="G235" s="145">
        <v>7591</v>
      </c>
      <c r="H235" s="142"/>
    </row>
    <row r="236" spans="1:8" ht="30" x14ac:dyDescent="0.25">
      <c r="A236" s="136" t="s">
        <v>273</v>
      </c>
      <c r="B236" s="136">
        <v>44</v>
      </c>
      <c r="C236" s="145">
        <v>13344</v>
      </c>
      <c r="D236" s="136">
        <v>12</v>
      </c>
      <c r="E236" s="145">
        <v>2946</v>
      </c>
      <c r="F236" s="136">
        <v>274</v>
      </c>
      <c r="G236" s="145">
        <v>16620</v>
      </c>
      <c r="H236" s="142"/>
    </row>
    <row r="237" spans="1:8" ht="30" x14ac:dyDescent="0.25">
      <c r="A237" s="136" t="s">
        <v>274</v>
      </c>
      <c r="B237" s="136">
        <v>113</v>
      </c>
      <c r="C237" s="145">
        <v>35778</v>
      </c>
      <c r="D237" s="136">
        <v>37</v>
      </c>
      <c r="E237" s="145">
        <v>8576</v>
      </c>
      <c r="F237" s="136">
        <v>804</v>
      </c>
      <c r="G237" s="145">
        <v>45308</v>
      </c>
      <c r="H237" s="142"/>
    </row>
    <row r="238" spans="1:8" x14ac:dyDescent="0.25">
      <c r="A238" s="136" t="s">
        <v>275</v>
      </c>
      <c r="B238" s="136">
        <v>3</v>
      </c>
      <c r="C238" s="145">
        <v>1171</v>
      </c>
      <c r="D238" s="136">
        <v>1</v>
      </c>
      <c r="E238" s="136">
        <v>424</v>
      </c>
      <c r="F238" s="136">
        <v>50</v>
      </c>
      <c r="G238" s="145">
        <v>1649</v>
      </c>
      <c r="H238" s="142"/>
    </row>
    <row r="239" spans="1:8" x14ac:dyDescent="0.25">
      <c r="A239" s="136" t="s">
        <v>276</v>
      </c>
      <c r="B239" s="136">
        <v>45</v>
      </c>
      <c r="C239" s="145">
        <v>18189</v>
      </c>
      <c r="D239" s="136">
        <v>11</v>
      </c>
      <c r="E239" s="145">
        <v>4342</v>
      </c>
      <c r="F239" s="136">
        <v>373</v>
      </c>
      <c r="G239" s="145">
        <v>22960</v>
      </c>
      <c r="H239" s="142"/>
    </row>
    <row r="240" spans="1:8" ht="30" x14ac:dyDescent="0.25">
      <c r="A240" s="136" t="s">
        <v>277</v>
      </c>
      <c r="B240" s="136">
        <v>22</v>
      </c>
      <c r="C240" s="145">
        <v>5903</v>
      </c>
      <c r="D240" s="136">
        <v>2</v>
      </c>
      <c r="E240" s="145">
        <v>1890</v>
      </c>
      <c r="F240" s="136">
        <v>107</v>
      </c>
      <c r="G240" s="145">
        <v>7924</v>
      </c>
      <c r="H240" s="142"/>
    </row>
    <row r="241" spans="1:9" x14ac:dyDescent="0.25">
      <c r="A241" s="136" t="s">
        <v>278</v>
      </c>
      <c r="B241" s="136">
        <v>2</v>
      </c>
      <c r="C241" s="145">
        <v>2299</v>
      </c>
      <c r="D241" s="145">
        <v>0</v>
      </c>
      <c r="E241" s="136">
        <v>393</v>
      </c>
      <c r="F241" s="136">
        <v>45</v>
      </c>
      <c r="G241" s="145">
        <v>2739</v>
      </c>
      <c r="I241" s="142"/>
    </row>
    <row r="242" spans="1:9" x14ac:dyDescent="0.25">
      <c r="A242" s="136" t="s">
        <v>279</v>
      </c>
      <c r="B242" s="136">
        <v>44</v>
      </c>
      <c r="C242" s="145">
        <v>15216</v>
      </c>
      <c r="D242" s="136">
        <v>11</v>
      </c>
      <c r="E242" s="145">
        <v>3105</v>
      </c>
      <c r="F242" s="136">
        <v>292</v>
      </c>
      <c r="G242" s="145">
        <v>18668</v>
      </c>
      <c r="H242" s="142"/>
    </row>
    <row r="243" spans="1:9" x14ac:dyDescent="0.25">
      <c r="A243" s="136" t="s">
        <v>280</v>
      </c>
      <c r="B243" s="136">
        <v>10</v>
      </c>
      <c r="C243" s="145">
        <v>3863</v>
      </c>
      <c r="D243" s="136">
        <v>3</v>
      </c>
      <c r="E243" s="136">
        <v>829</v>
      </c>
      <c r="F243" s="136">
        <v>90</v>
      </c>
      <c r="G243" s="145">
        <v>4795</v>
      </c>
      <c r="H243" s="142"/>
    </row>
    <row r="244" spans="1:9" x14ac:dyDescent="0.25">
      <c r="A244" s="136" t="s">
        <v>281</v>
      </c>
      <c r="B244" s="136">
        <v>16</v>
      </c>
      <c r="C244" s="145">
        <v>5049</v>
      </c>
      <c r="D244" s="136">
        <v>1</v>
      </c>
      <c r="E244" s="145">
        <v>1158</v>
      </c>
      <c r="F244" s="136">
        <v>108</v>
      </c>
      <c r="G244" s="145">
        <v>6332</v>
      </c>
      <c r="H244" s="142"/>
    </row>
    <row r="245" spans="1:9" x14ac:dyDescent="0.25">
      <c r="A245" s="136" t="s">
        <v>282</v>
      </c>
      <c r="B245" s="136">
        <v>11</v>
      </c>
      <c r="C245" s="145">
        <v>4313</v>
      </c>
      <c r="D245" s="136">
        <v>1</v>
      </c>
      <c r="E245" s="144">
        <v>1292</v>
      </c>
      <c r="F245" s="136">
        <v>115</v>
      </c>
      <c r="G245" s="145">
        <v>5732</v>
      </c>
      <c r="H245" s="142"/>
    </row>
    <row r="246" spans="1:9" ht="30" x14ac:dyDescent="0.25">
      <c r="A246" s="136" t="s">
        <v>283</v>
      </c>
      <c r="B246" s="136">
        <v>10</v>
      </c>
      <c r="C246" s="145">
        <v>3287</v>
      </c>
      <c r="D246" s="136">
        <v>1</v>
      </c>
      <c r="E246">
        <v>768</v>
      </c>
      <c r="F246" s="136">
        <v>71</v>
      </c>
      <c r="G246" s="145">
        <v>4137</v>
      </c>
      <c r="H246" s="142"/>
    </row>
    <row r="247" spans="1:9" ht="30" x14ac:dyDescent="0.25">
      <c r="A247" s="136" t="s">
        <v>284</v>
      </c>
      <c r="B247" s="136">
        <v>78</v>
      </c>
      <c r="C247" s="145">
        <v>33883</v>
      </c>
      <c r="D247" s="136">
        <v>13</v>
      </c>
      <c r="E247" s="144">
        <v>6500</v>
      </c>
      <c r="F247" s="136">
        <v>708</v>
      </c>
      <c r="G247" s="145">
        <v>41182</v>
      </c>
      <c r="H247" s="142"/>
    </row>
    <row r="248" spans="1:9" x14ac:dyDescent="0.25">
      <c r="A248" s="136" t="s">
        <v>285</v>
      </c>
      <c r="B248" s="136">
        <v>22</v>
      </c>
      <c r="C248" s="145">
        <v>9398</v>
      </c>
      <c r="D248" s="136">
        <v>3</v>
      </c>
      <c r="E248" s="144">
        <v>2441</v>
      </c>
      <c r="F248" s="136">
        <v>172</v>
      </c>
      <c r="G248" s="145">
        <v>12036</v>
      </c>
      <c r="H248" s="142"/>
    </row>
    <row r="249" spans="1:9" x14ac:dyDescent="0.25">
      <c r="A249" s="136" t="s">
        <v>286</v>
      </c>
      <c r="B249" s="136">
        <v>20</v>
      </c>
      <c r="C249" s="145">
        <v>6090</v>
      </c>
      <c r="D249" s="136">
        <v>6</v>
      </c>
      <c r="E249" s="144">
        <v>1218</v>
      </c>
      <c r="F249" s="136">
        <v>125</v>
      </c>
      <c r="G249" s="145">
        <v>7459</v>
      </c>
      <c r="H249" s="142"/>
    </row>
    <row r="250" spans="1:9" ht="30" x14ac:dyDescent="0.25">
      <c r="A250" s="136" t="s">
        <v>287</v>
      </c>
      <c r="B250" s="136">
        <v>10</v>
      </c>
      <c r="C250" s="145">
        <v>5056</v>
      </c>
      <c r="D250" s="136">
        <v>4</v>
      </c>
      <c r="E250" s="144">
        <v>1117</v>
      </c>
      <c r="F250" s="136">
        <v>110</v>
      </c>
      <c r="G250" s="145">
        <v>6297</v>
      </c>
      <c r="H250" s="142"/>
    </row>
    <row r="251" spans="1:9" x14ac:dyDescent="0.25">
      <c r="A251" s="136" t="s">
        <v>288</v>
      </c>
      <c r="B251" s="136">
        <v>8</v>
      </c>
      <c r="C251" s="145">
        <v>1921</v>
      </c>
      <c r="E251" s="136">
        <v>324</v>
      </c>
      <c r="F251" s="136">
        <v>47</v>
      </c>
      <c r="G251" s="145">
        <v>2300</v>
      </c>
      <c r="H251" s="142"/>
    </row>
    <row r="252" spans="1:9" x14ac:dyDescent="0.25">
      <c r="A252" s="136" t="s">
        <v>289</v>
      </c>
      <c r="B252" s="136">
        <v>22</v>
      </c>
      <c r="C252" s="145">
        <v>8390</v>
      </c>
      <c r="D252" s="136">
        <v>2</v>
      </c>
      <c r="E252" s="144">
        <v>1974</v>
      </c>
      <c r="F252" s="136">
        <v>155</v>
      </c>
      <c r="G252" s="145">
        <v>10543</v>
      </c>
      <c r="H252" s="142"/>
    </row>
    <row r="253" spans="1:9" x14ac:dyDescent="0.25">
      <c r="A253" s="136" t="s">
        <v>290</v>
      </c>
      <c r="B253" s="136">
        <v>2</v>
      </c>
      <c r="C253" s="136">
        <v>975</v>
      </c>
      <c r="D253" s="136">
        <v>1</v>
      </c>
      <c r="E253">
        <v>124</v>
      </c>
      <c r="F253" s="136">
        <v>20</v>
      </c>
      <c r="G253" s="145">
        <v>1122</v>
      </c>
      <c r="H253" s="142"/>
    </row>
    <row r="254" spans="1:9" x14ac:dyDescent="0.25">
      <c r="A254" s="136" t="s">
        <v>291</v>
      </c>
      <c r="B254" s="136">
        <v>4</v>
      </c>
      <c r="C254" s="145">
        <v>2024</v>
      </c>
      <c r="E254" s="136">
        <v>351</v>
      </c>
      <c r="F254" s="136">
        <v>35</v>
      </c>
      <c r="G254" s="145">
        <v>2414</v>
      </c>
      <c r="H254" s="142"/>
    </row>
    <row r="255" spans="1:9" ht="30" x14ac:dyDescent="0.25">
      <c r="A255" s="136" t="s">
        <v>292</v>
      </c>
      <c r="B255" s="136">
        <v>38</v>
      </c>
      <c r="C255" s="145">
        <v>14176</v>
      </c>
      <c r="D255" s="136">
        <v>7</v>
      </c>
      <c r="E255" s="144">
        <v>3543</v>
      </c>
      <c r="F255" s="136">
        <v>373</v>
      </c>
      <c r="G255" s="145">
        <v>18137</v>
      </c>
    </row>
    <row r="256" spans="1:9" ht="30" x14ac:dyDescent="0.25">
      <c r="A256" s="136" t="s">
        <v>293</v>
      </c>
      <c r="B256" s="136">
        <v>6</v>
      </c>
      <c r="C256" s="136">
        <v>791</v>
      </c>
      <c r="E256" s="136">
        <v>155</v>
      </c>
      <c r="F256" s="136">
        <v>19</v>
      </c>
      <c r="G256" s="136">
        <v>971</v>
      </c>
      <c r="H256" s="142"/>
    </row>
    <row r="257" spans="1:8" ht="30" x14ac:dyDescent="0.25">
      <c r="A257" s="136" t="s">
        <v>294</v>
      </c>
      <c r="B257" s="136">
        <v>11</v>
      </c>
      <c r="C257" s="145">
        <v>2684</v>
      </c>
      <c r="D257" s="136">
        <v>3</v>
      </c>
      <c r="E257">
        <v>487</v>
      </c>
      <c r="F257" s="136">
        <v>50</v>
      </c>
      <c r="G257" s="145">
        <v>3235</v>
      </c>
      <c r="H257" s="142"/>
    </row>
    <row r="258" spans="1:8" ht="30" x14ac:dyDescent="0.25">
      <c r="A258" s="136" t="s">
        <v>295</v>
      </c>
      <c r="B258" s="136">
        <v>9</v>
      </c>
      <c r="C258" s="145">
        <v>2616</v>
      </c>
      <c r="D258" s="136">
        <v>1</v>
      </c>
      <c r="E258">
        <v>663</v>
      </c>
      <c r="F258" s="136">
        <v>63</v>
      </c>
      <c r="G258" s="145">
        <v>3352</v>
      </c>
      <c r="H258" s="142"/>
    </row>
    <row r="259" spans="1:8" ht="30" x14ac:dyDescent="0.25">
      <c r="A259" s="136" t="s">
        <v>296</v>
      </c>
      <c r="B259" s="136">
        <v>82</v>
      </c>
      <c r="C259" s="145">
        <v>25316</v>
      </c>
      <c r="D259" s="136">
        <v>39</v>
      </c>
      <c r="E259" s="144">
        <v>6847</v>
      </c>
      <c r="F259" s="136">
        <v>597</v>
      </c>
      <c r="G259" s="145">
        <v>32881</v>
      </c>
      <c r="H259" s="142"/>
    </row>
    <row r="260" spans="1:8" x14ac:dyDescent="0.25">
      <c r="A260" s="136" t="s">
        <v>297</v>
      </c>
      <c r="B260" s="136">
        <v>2</v>
      </c>
      <c r="C260" s="145">
        <v>1390</v>
      </c>
      <c r="E260" s="136">
        <v>364</v>
      </c>
      <c r="F260" s="136">
        <v>41</v>
      </c>
      <c r="G260" s="145">
        <v>1797</v>
      </c>
      <c r="H260" s="142"/>
    </row>
    <row r="261" spans="1:8" x14ac:dyDescent="0.25">
      <c r="A261" s="136" t="s">
        <v>298</v>
      </c>
      <c r="B261" s="136">
        <v>34</v>
      </c>
      <c r="C261" s="145">
        <v>11181</v>
      </c>
      <c r="D261" s="136">
        <v>4</v>
      </c>
      <c r="E261" s="144">
        <v>2262</v>
      </c>
      <c r="F261" s="136">
        <v>210</v>
      </c>
      <c r="G261" s="145">
        <v>13691</v>
      </c>
      <c r="H261" s="142"/>
    </row>
    <row r="262" spans="1:8" x14ac:dyDescent="0.25">
      <c r="A262" s="136" t="s">
        <v>299</v>
      </c>
      <c r="B262" s="136">
        <v>12</v>
      </c>
      <c r="C262" s="145">
        <v>3050</v>
      </c>
      <c r="D262" s="136">
        <v>3</v>
      </c>
      <c r="E262">
        <v>531</v>
      </c>
      <c r="F262" s="136">
        <v>61</v>
      </c>
      <c r="G262" s="145">
        <v>3657</v>
      </c>
      <c r="H262" s="142"/>
    </row>
    <row r="263" spans="1:8" x14ac:dyDescent="0.25">
      <c r="A263" s="136" t="s">
        <v>300</v>
      </c>
      <c r="B263" s="136">
        <v>19</v>
      </c>
      <c r="C263" s="145">
        <v>5296</v>
      </c>
      <c r="E263" s="145">
        <v>1243</v>
      </c>
      <c r="F263" s="136">
        <v>108</v>
      </c>
      <c r="G263" s="145">
        <v>6666</v>
      </c>
      <c r="H263" s="142"/>
    </row>
    <row r="264" spans="1:8" x14ac:dyDescent="0.25">
      <c r="A264" s="136"/>
      <c r="H264" s="142"/>
    </row>
    <row r="265" spans="1:8" x14ac:dyDescent="0.25">
      <c r="A265" s="136" t="s">
        <v>25</v>
      </c>
      <c r="B265" s="137">
        <f>SUM(B231:B264)</f>
        <v>752</v>
      </c>
      <c r="C265" s="137">
        <f t="shared" ref="C265:G265" si="5">SUM(C231:C264)</f>
        <v>261872</v>
      </c>
      <c r="D265" s="137">
        <f t="shared" si="5"/>
        <v>172</v>
      </c>
      <c r="E265" s="137">
        <f t="shared" si="5"/>
        <v>60368</v>
      </c>
      <c r="F265" s="137">
        <f t="shared" si="5"/>
        <v>5609</v>
      </c>
      <c r="G265" s="137">
        <f t="shared" si="5"/>
        <v>328773</v>
      </c>
      <c r="H265" s="142"/>
    </row>
    <row r="266" spans="1:8" x14ac:dyDescent="0.25">
      <c r="A266" s="136"/>
      <c r="B266" s="136"/>
      <c r="C266" s="136"/>
      <c r="D266" s="146"/>
      <c r="E266" s="146"/>
      <c r="F266" s="146"/>
      <c r="G266" s="143"/>
    </row>
    <row r="267" spans="1:8" ht="45" x14ac:dyDescent="0.25">
      <c r="A267" s="136" t="s">
        <v>501</v>
      </c>
      <c r="B267" s="136" t="s">
        <v>502</v>
      </c>
      <c r="C267" s="136">
        <v>9</v>
      </c>
      <c r="D267" s="153"/>
      <c r="E267" s="153"/>
      <c r="F267" s="154"/>
    </row>
    <row r="268" spans="1:8" x14ac:dyDescent="0.25">
      <c r="A268" s="136"/>
      <c r="B268" s="136"/>
      <c r="C268" s="136"/>
      <c r="D268" s="136"/>
      <c r="F268" s="142"/>
    </row>
    <row r="269" spans="1:8" ht="30" x14ac:dyDescent="0.25">
      <c r="A269" s="136"/>
      <c r="B269" s="136"/>
      <c r="C269" s="136" t="s">
        <v>500</v>
      </c>
      <c r="D269" s="136"/>
      <c r="F269" s="142"/>
    </row>
    <row r="270" spans="1:8" x14ac:dyDescent="0.25">
      <c r="A270" s="136" t="s">
        <v>126</v>
      </c>
      <c r="B270" s="136" t="s">
        <v>479</v>
      </c>
      <c r="C270" s="136" t="s">
        <v>480</v>
      </c>
      <c r="D270" s="136" t="s">
        <v>481</v>
      </c>
      <c r="E270" t="s">
        <v>482</v>
      </c>
      <c r="F270" s="136" t="s">
        <v>483</v>
      </c>
      <c r="G270" s="136" t="s">
        <v>25</v>
      </c>
    </row>
    <row r="271" spans="1:8" x14ac:dyDescent="0.25">
      <c r="A271" s="136"/>
      <c r="B271" s="136"/>
      <c r="C271" s="136"/>
      <c r="D271" s="136"/>
      <c r="G271" s="142"/>
    </row>
    <row r="272" spans="1:8" x14ac:dyDescent="0.25">
      <c r="A272" s="136" t="s">
        <v>301</v>
      </c>
      <c r="B272" s="136">
        <v>25</v>
      </c>
      <c r="C272" s="145">
        <v>9666</v>
      </c>
      <c r="D272" s="136">
        <v>4</v>
      </c>
      <c r="E272" s="144">
        <v>2211</v>
      </c>
      <c r="F272" s="136">
        <v>190</v>
      </c>
      <c r="G272" s="145">
        <v>12096</v>
      </c>
    </row>
    <row r="273" spans="1:7" x14ac:dyDescent="0.25">
      <c r="A273" s="136" t="s">
        <v>302</v>
      </c>
      <c r="B273" s="136">
        <v>15</v>
      </c>
      <c r="C273" s="145">
        <v>4939</v>
      </c>
      <c r="E273" s="145">
        <v>1139</v>
      </c>
      <c r="F273" s="136">
        <v>109</v>
      </c>
      <c r="G273" s="145">
        <v>6202</v>
      </c>
    </row>
    <row r="274" spans="1:7" x14ac:dyDescent="0.25">
      <c r="A274" s="136" t="s">
        <v>303</v>
      </c>
      <c r="B274" s="136">
        <v>7</v>
      </c>
      <c r="C274" s="145">
        <v>1900</v>
      </c>
      <c r="E274" s="136">
        <v>377</v>
      </c>
      <c r="F274" s="136">
        <v>59</v>
      </c>
      <c r="G274" s="145">
        <v>2343</v>
      </c>
    </row>
    <row r="275" spans="1:7" x14ac:dyDescent="0.25">
      <c r="A275" s="136" t="s">
        <v>304</v>
      </c>
      <c r="B275" s="136">
        <v>12</v>
      </c>
      <c r="C275" s="145">
        <v>4094</v>
      </c>
      <c r="D275" s="136">
        <v>2</v>
      </c>
      <c r="E275">
        <v>789</v>
      </c>
      <c r="F275" s="136">
        <v>87</v>
      </c>
      <c r="G275" s="145">
        <v>4984</v>
      </c>
    </row>
    <row r="276" spans="1:7" x14ac:dyDescent="0.25">
      <c r="A276" s="136" t="s">
        <v>305</v>
      </c>
      <c r="B276" s="136">
        <v>10</v>
      </c>
      <c r="C276" s="145">
        <v>4058</v>
      </c>
      <c r="D276" s="136">
        <v>3</v>
      </c>
      <c r="E276">
        <v>798</v>
      </c>
      <c r="F276" s="136">
        <v>113</v>
      </c>
      <c r="G276" s="145">
        <v>4982</v>
      </c>
    </row>
    <row r="277" spans="1:7" ht="30" x14ac:dyDescent="0.25">
      <c r="A277" s="136" t="s">
        <v>306</v>
      </c>
      <c r="B277" s="136">
        <v>13</v>
      </c>
      <c r="C277" s="145">
        <v>3953</v>
      </c>
      <c r="D277" s="136">
        <v>1</v>
      </c>
      <c r="E277">
        <v>718</v>
      </c>
      <c r="F277" s="136">
        <v>98</v>
      </c>
      <c r="G277" s="145">
        <v>4783</v>
      </c>
    </row>
    <row r="278" spans="1:7" ht="30" x14ac:dyDescent="0.25">
      <c r="A278" s="136" t="s">
        <v>307</v>
      </c>
      <c r="B278" s="136">
        <v>3</v>
      </c>
      <c r="C278" s="145">
        <v>1348</v>
      </c>
      <c r="E278" s="136">
        <v>238</v>
      </c>
      <c r="F278" s="136">
        <v>33</v>
      </c>
      <c r="G278" s="145">
        <v>1622</v>
      </c>
    </row>
    <row r="279" spans="1:7" x14ac:dyDescent="0.25">
      <c r="A279" s="136" t="s">
        <v>308</v>
      </c>
      <c r="B279" s="136">
        <v>3</v>
      </c>
      <c r="C279" s="145">
        <v>1309</v>
      </c>
      <c r="D279" s="136">
        <v>1</v>
      </c>
      <c r="E279">
        <v>281</v>
      </c>
      <c r="F279" s="136">
        <v>25</v>
      </c>
      <c r="G279" s="145">
        <v>1619</v>
      </c>
    </row>
    <row r="280" spans="1:7" x14ac:dyDescent="0.25">
      <c r="A280" s="136" t="s">
        <v>309</v>
      </c>
      <c r="B280" s="136">
        <v>13</v>
      </c>
      <c r="C280" s="145">
        <v>4463</v>
      </c>
      <c r="D280" s="136">
        <v>1</v>
      </c>
      <c r="E280">
        <v>770</v>
      </c>
      <c r="F280" s="136">
        <v>93</v>
      </c>
      <c r="G280" s="145">
        <v>5340</v>
      </c>
    </row>
    <row r="281" spans="1:7" ht="30" x14ac:dyDescent="0.25">
      <c r="A281" s="136" t="s">
        <v>310</v>
      </c>
      <c r="B281" s="136">
        <v>8</v>
      </c>
      <c r="C281" s="145">
        <v>2191</v>
      </c>
      <c r="D281" s="136">
        <v>1</v>
      </c>
      <c r="E281">
        <v>524</v>
      </c>
      <c r="F281" s="136">
        <v>58</v>
      </c>
      <c r="G281" s="145">
        <v>2782</v>
      </c>
    </row>
    <row r="282" spans="1:7" x14ac:dyDescent="0.25">
      <c r="A282" s="136" t="s">
        <v>311</v>
      </c>
      <c r="B282" s="136">
        <v>8</v>
      </c>
      <c r="C282" s="145">
        <v>3449</v>
      </c>
      <c r="E282" s="136">
        <v>736</v>
      </c>
      <c r="F282" s="136">
        <v>78</v>
      </c>
      <c r="G282" s="145">
        <v>4271</v>
      </c>
    </row>
    <row r="283" spans="1:7" x14ac:dyDescent="0.25">
      <c r="A283" s="136" t="s">
        <v>312</v>
      </c>
      <c r="B283" s="136">
        <v>11</v>
      </c>
      <c r="C283" s="145">
        <v>5963</v>
      </c>
      <c r="D283" s="136">
        <v>2</v>
      </c>
      <c r="E283" s="144">
        <v>1283</v>
      </c>
      <c r="F283" s="136">
        <v>153</v>
      </c>
      <c r="G283" s="145">
        <v>7412</v>
      </c>
    </row>
    <row r="284" spans="1:7" x14ac:dyDescent="0.25">
      <c r="A284" s="136" t="s">
        <v>313</v>
      </c>
      <c r="B284" s="136">
        <v>12</v>
      </c>
      <c r="C284" s="145">
        <v>4568</v>
      </c>
      <c r="D284" s="136">
        <v>3</v>
      </c>
      <c r="E284">
        <v>802</v>
      </c>
      <c r="F284" s="136">
        <v>132</v>
      </c>
      <c r="G284" s="145">
        <v>5517</v>
      </c>
    </row>
    <row r="285" spans="1:7" ht="30" x14ac:dyDescent="0.25">
      <c r="A285" s="136" t="s">
        <v>314</v>
      </c>
      <c r="B285" s="136">
        <v>8</v>
      </c>
      <c r="C285" s="145">
        <v>1647</v>
      </c>
      <c r="E285" s="136">
        <v>347</v>
      </c>
      <c r="F285" s="136">
        <v>55</v>
      </c>
      <c r="G285" s="145">
        <v>2057</v>
      </c>
    </row>
    <row r="286" spans="1:7" x14ac:dyDescent="0.25">
      <c r="A286" s="136" t="s">
        <v>315</v>
      </c>
      <c r="B286" s="136">
        <v>7</v>
      </c>
      <c r="C286" s="145">
        <v>1420</v>
      </c>
      <c r="E286" s="136">
        <v>341</v>
      </c>
      <c r="F286" s="136">
        <v>37</v>
      </c>
      <c r="G286" s="145">
        <v>1805</v>
      </c>
    </row>
    <row r="287" spans="1:7" x14ac:dyDescent="0.25">
      <c r="A287" s="136" t="s">
        <v>316</v>
      </c>
      <c r="B287" s="136">
        <v>3</v>
      </c>
      <c r="C287" s="145">
        <v>1547</v>
      </c>
      <c r="E287" s="136">
        <v>327</v>
      </c>
      <c r="F287" s="136">
        <v>40</v>
      </c>
      <c r="G287" s="145">
        <v>1917</v>
      </c>
    </row>
    <row r="288" spans="1:7" x14ac:dyDescent="0.25">
      <c r="A288" s="136" t="s">
        <v>317</v>
      </c>
      <c r="B288" s="136">
        <v>7</v>
      </c>
      <c r="C288" s="145">
        <v>1419</v>
      </c>
      <c r="E288" s="136">
        <v>252</v>
      </c>
      <c r="F288" s="136">
        <v>52</v>
      </c>
      <c r="G288" s="145">
        <v>1730</v>
      </c>
    </row>
    <row r="289" spans="1:7" ht="30" x14ac:dyDescent="0.25">
      <c r="A289" s="136" t="s">
        <v>318</v>
      </c>
      <c r="B289" s="136">
        <v>13</v>
      </c>
      <c r="C289" s="145">
        <v>6025</v>
      </c>
      <c r="D289" s="136">
        <v>3</v>
      </c>
      <c r="E289" s="144">
        <v>1140</v>
      </c>
      <c r="F289" s="136">
        <v>162</v>
      </c>
      <c r="G289" s="145">
        <v>7343</v>
      </c>
    </row>
    <row r="290" spans="1:7" ht="30" x14ac:dyDescent="0.25">
      <c r="A290" s="136" t="s">
        <v>319</v>
      </c>
      <c r="B290" s="136">
        <v>29</v>
      </c>
      <c r="C290" s="145">
        <v>9961</v>
      </c>
      <c r="D290" s="136">
        <v>2</v>
      </c>
      <c r="E290" s="144">
        <v>2042</v>
      </c>
      <c r="F290" s="136">
        <v>292</v>
      </c>
      <c r="G290" s="145">
        <v>12326</v>
      </c>
    </row>
    <row r="291" spans="1:7" ht="30" x14ac:dyDescent="0.25">
      <c r="A291" s="136" t="s">
        <v>320</v>
      </c>
      <c r="B291" s="136">
        <v>1</v>
      </c>
      <c r="C291" s="145">
        <v>1085</v>
      </c>
      <c r="E291" s="136">
        <v>210</v>
      </c>
      <c r="F291" s="136">
        <v>28</v>
      </c>
      <c r="G291" s="145">
        <v>1324</v>
      </c>
    </row>
    <row r="292" spans="1:7" ht="30" x14ac:dyDescent="0.25">
      <c r="A292" s="136" t="s">
        <v>321</v>
      </c>
      <c r="B292" s="136">
        <v>14</v>
      </c>
      <c r="C292" s="145">
        <v>4874</v>
      </c>
      <c r="D292" s="136">
        <v>2</v>
      </c>
      <c r="E292" s="144">
        <v>1116</v>
      </c>
      <c r="F292" s="136">
        <v>128</v>
      </c>
      <c r="G292" s="145">
        <v>6134</v>
      </c>
    </row>
    <row r="293" spans="1:7" x14ac:dyDescent="0.25">
      <c r="A293" s="136" t="s">
        <v>322</v>
      </c>
      <c r="B293" s="136">
        <v>9</v>
      </c>
      <c r="C293" s="145">
        <v>3663</v>
      </c>
      <c r="D293" s="136">
        <v>2</v>
      </c>
      <c r="E293">
        <v>783</v>
      </c>
      <c r="F293" s="136">
        <v>117</v>
      </c>
      <c r="G293" s="145">
        <v>4574</v>
      </c>
    </row>
    <row r="294" spans="1:7" x14ac:dyDescent="0.25">
      <c r="A294" s="136" t="s">
        <v>323</v>
      </c>
      <c r="B294" s="136"/>
      <c r="C294" s="145">
        <v>2403</v>
      </c>
      <c r="E294" s="136">
        <v>632</v>
      </c>
      <c r="F294" s="136">
        <v>70</v>
      </c>
      <c r="G294" s="145">
        <v>3105</v>
      </c>
    </row>
    <row r="295" spans="1:7" x14ac:dyDescent="0.25">
      <c r="A295" s="136" t="s">
        <v>324</v>
      </c>
      <c r="B295" s="136">
        <v>3</v>
      </c>
      <c r="C295" s="145">
        <v>1857</v>
      </c>
      <c r="D295" s="136">
        <v>1</v>
      </c>
      <c r="E295">
        <v>467</v>
      </c>
      <c r="F295" s="136">
        <v>69</v>
      </c>
      <c r="G295" s="145">
        <v>2397</v>
      </c>
    </row>
    <row r="296" spans="1:7" x14ac:dyDescent="0.25">
      <c r="A296" s="136" t="s">
        <v>325</v>
      </c>
      <c r="B296" s="136">
        <v>10</v>
      </c>
      <c r="C296" s="145">
        <v>2325</v>
      </c>
      <c r="E296" s="136">
        <v>503</v>
      </c>
      <c r="F296" s="136">
        <v>55</v>
      </c>
      <c r="G296" s="145">
        <v>2893</v>
      </c>
    </row>
    <row r="297" spans="1:7" x14ac:dyDescent="0.25">
      <c r="A297" s="136" t="s">
        <v>326</v>
      </c>
      <c r="B297" s="136">
        <v>141</v>
      </c>
      <c r="C297" s="145">
        <v>42674</v>
      </c>
      <c r="D297" s="136">
        <v>17</v>
      </c>
      <c r="E297" s="144">
        <v>9506</v>
      </c>
      <c r="F297" s="136">
        <v>940</v>
      </c>
      <c r="G297" s="145">
        <v>53278</v>
      </c>
    </row>
    <row r="298" spans="1:7" ht="30" x14ac:dyDescent="0.25">
      <c r="A298" s="136" t="s">
        <v>327</v>
      </c>
      <c r="B298" s="136">
        <v>10</v>
      </c>
      <c r="C298" s="145">
        <v>2865</v>
      </c>
      <c r="D298" s="136">
        <v>1</v>
      </c>
      <c r="E298">
        <v>557</v>
      </c>
      <c r="F298" s="136">
        <v>59</v>
      </c>
      <c r="G298" s="145">
        <v>3492</v>
      </c>
    </row>
    <row r="299" spans="1:7" x14ac:dyDescent="0.25">
      <c r="A299" s="136" t="s">
        <v>328</v>
      </c>
      <c r="B299" s="136">
        <v>6</v>
      </c>
      <c r="C299" s="145">
        <v>1911</v>
      </c>
      <c r="E299" s="136">
        <v>467</v>
      </c>
      <c r="F299" s="136">
        <v>51</v>
      </c>
      <c r="G299" s="145">
        <v>2435</v>
      </c>
    </row>
    <row r="300" spans="1:7" x14ac:dyDescent="0.25">
      <c r="A300" s="136" t="s">
        <v>329</v>
      </c>
      <c r="B300" s="136">
        <v>13</v>
      </c>
      <c r="C300" s="145">
        <v>4227</v>
      </c>
      <c r="D300" s="136">
        <v>2</v>
      </c>
      <c r="E300" s="144">
        <v>1039</v>
      </c>
      <c r="F300" s="136">
        <v>81</v>
      </c>
      <c r="G300" s="145">
        <v>5362</v>
      </c>
    </row>
    <row r="301" spans="1:7" x14ac:dyDescent="0.25">
      <c r="A301" s="136" t="s">
        <v>330</v>
      </c>
      <c r="B301" s="136">
        <v>27</v>
      </c>
      <c r="C301" s="145">
        <v>7246</v>
      </c>
      <c r="D301" s="136">
        <v>6</v>
      </c>
      <c r="E301" s="144">
        <v>1584</v>
      </c>
      <c r="F301" s="136">
        <v>165</v>
      </c>
      <c r="G301" s="145">
        <v>9028</v>
      </c>
    </row>
    <row r="302" spans="1:7" x14ac:dyDescent="0.25">
      <c r="A302" s="136" t="s">
        <v>331</v>
      </c>
      <c r="B302" s="136">
        <v>12</v>
      </c>
      <c r="C302" s="145">
        <v>4318</v>
      </c>
      <c r="D302" s="136">
        <v>1</v>
      </c>
      <c r="E302">
        <v>899</v>
      </c>
      <c r="F302" s="136">
        <v>115</v>
      </c>
      <c r="G302" s="145">
        <v>5345</v>
      </c>
    </row>
    <row r="303" spans="1:7" x14ac:dyDescent="0.25">
      <c r="A303" s="136" t="s">
        <v>332</v>
      </c>
      <c r="B303" s="136">
        <v>18</v>
      </c>
      <c r="C303" s="145">
        <v>10264</v>
      </c>
      <c r="D303" s="136">
        <v>4</v>
      </c>
      <c r="E303" s="144">
        <v>1970</v>
      </c>
      <c r="F303" s="136">
        <v>286</v>
      </c>
      <c r="G303" s="145">
        <v>12542</v>
      </c>
    </row>
    <row r="304" spans="1:7" x14ac:dyDescent="0.25">
      <c r="A304" s="136" t="s">
        <v>25</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2"/>
    </row>
    <row r="306" spans="1:7" x14ac:dyDescent="0.25">
      <c r="A306" s="136"/>
      <c r="B306" s="146"/>
      <c r="C306" s="146"/>
      <c r="D306" s="146"/>
      <c r="E306" s="146"/>
      <c r="F306" s="143"/>
    </row>
    <row r="308" spans="1:7" ht="45" x14ac:dyDescent="0.25">
      <c r="A308" s="136" t="s">
        <v>333</v>
      </c>
      <c r="B308" s="153"/>
      <c r="C308" s="153"/>
      <c r="D308" s="153"/>
      <c r="E308" s="154"/>
    </row>
    <row r="309" spans="1:7" x14ac:dyDescent="0.25">
      <c r="A309" s="136"/>
      <c r="B309" s="136"/>
      <c r="C309" s="136"/>
      <c r="E309" s="142"/>
    </row>
    <row r="310" spans="1:7" x14ac:dyDescent="0.25">
      <c r="A310" s="136"/>
      <c r="B310" s="136"/>
      <c r="C310" s="136"/>
      <c r="D310" s="153"/>
      <c r="E310" s="153"/>
      <c r="F310" s="153"/>
      <c r="G310" s="154"/>
    </row>
    <row r="311" spans="1:7" ht="30" x14ac:dyDescent="0.25">
      <c r="A311" s="136"/>
      <c r="B311" s="136"/>
      <c r="C311" s="136" t="s">
        <v>500</v>
      </c>
      <c r="D311" s="136"/>
      <c r="G311" s="142"/>
    </row>
    <row r="312" spans="1:7" x14ac:dyDescent="0.25">
      <c r="A312" s="136" t="s">
        <v>126</v>
      </c>
      <c r="B312" s="136" t="s">
        <v>479</v>
      </c>
      <c r="C312" s="136" t="s">
        <v>480</v>
      </c>
      <c r="D312" s="136" t="s">
        <v>481</v>
      </c>
      <c r="E312" t="s">
        <v>482</v>
      </c>
      <c r="F312" s="136" t="s">
        <v>25</v>
      </c>
      <c r="G312" s="142"/>
    </row>
    <row r="313" spans="1:7" x14ac:dyDescent="0.25">
      <c r="A313" s="136"/>
      <c r="B313" s="136"/>
      <c r="C313" s="136"/>
      <c r="G313" s="142"/>
    </row>
    <row r="314" spans="1:7" x14ac:dyDescent="0.25">
      <c r="A314" s="136" t="s">
        <v>334</v>
      </c>
      <c r="B314" s="136">
        <v>15</v>
      </c>
      <c r="C314" s="145">
        <v>7617</v>
      </c>
      <c r="D314" s="136">
        <v>7</v>
      </c>
      <c r="E314" s="144">
        <v>1476</v>
      </c>
      <c r="F314" s="145">
        <v>9277</v>
      </c>
      <c r="G314" s="142"/>
    </row>
    <row r="315" spans="1:7" x14ac:dyDescent="0.25">
      <c r="A315" s="136" t="s">
        <v>335</v>
      </c>
      <c r="B315" s="136">
        <v>17</v>
      </c>
      <c r="C315" s="145">
        <v>5174</v>
      </c>
      <c r="D315" s="136">
        <v>2</v>
      </c>
      <c r="E315">
        <v>959</v>
      </c>
      <c r="F315" s="145">
        <v>6285</v>
      </c>
      <c r="G315" s="142"/>
    </row>
    <row r="316" spans="1:7" x14ac:dyDescent="0.25">
      <c r="A316" s="136" t="s">
        <v>336</v>
      </c>
      <c r="B316" s="136">
        <v>16</v>
      </c>
      <c r="C316" s="145">
        <v>7188</v>
      </c>
      <c r="D316" s="136">
        <v>8</v>
      </c>
      <c r="E316" s="144">
        <v>1675</v>
      </c>
      <c r="F316" s="145">
        <v>9051</v>
      </c>
      <c r="G316" s="142"/>
    </row>
    <row r="317" spans="1:7" x14ac:dyDescent="0.25">
      <c r="A317" s="136" t="s">
        <v>337</v>
      </c>
      <c r="B317" s="136">
        <v>1</v>
      </c>
      <c r="C317" s="136">
        <v>540</v>
      </c>
      <c r="E317" s="136">
        <v>90</v>
      </c>
      <c r="F317" s="136">
        <v>647</v>
      </c>
      <c r="G317" s="142"/>
    </row>
    <row r="318" spans="1:7" x14ac:dyDescent="0.25">
      <c r="A318" s="136" t="s">
        <v>338</v>
      </c>
      <c r="B318" s="136">
        <v>9</v>
      </c>
      <c r="C318" s="145">
        <v>2331</v>
      </c>
      <c r="D318" s="136">
        <v>1</v>
      </c>
      <c r="E318">
        <v>386</v>
      </c>
      <c r="F318" s="145">
        <v>2768</v>
      </c>
      <c r="G318" s="142"/>
    </row>
    <row r="319" spans="1:7" x14ac:dyDescent="0.25">
      <c r="A319" s="136" t="s">
        <v>339</v>
      </c>
      <c r="B319" s="136">
        <v>2</v>
      </c>
      <c r="C319" s="136">
        <v>711</v>
      </c>
      <c r="D319" s="136">
        <v>1</v>
      </c>
      <c r="E319">
        <v>116</v>
      </c>
      <c r="F319" s="136">
        <v>846</v>
      </c>
      <c r="G319" s="142"/>
    </row>
    <row r="320" spans="1:7" ht="30" x14ac:dyDescent="0.25">
      <c r="A320" s="136" t="s">
        <v>340</v>
      </c>
      <c r="B320" s="136">
        <v>1</v>
      </c>
      <c r="C320" s="136">
        <v>675</v>
      </c>
      <c r="E320" s="136">
        <v>110</v>
      </c>
      <c r="F320" s="136">
        <v>802</v>
      </c>
      <c r="G320" s="142"/>
    </row>
    <row r="321" spans="1:7" x14ac:dyDescent="0.25">
      <c r="A321" s="136" t="s">
        <v>341</v>
      </c>
      <c r="B321" s="136">
        <v>4</v>
      </c>
      <c r="C321" s="145">
        <v>1923</v>
      </c>
      <c r="D321" s="136">
        <v>3</v>
      </c>
      <c r="E321">
        <v>322</v>
      </c>
      <c r="F321" s="145">
        <v>2306</v>
      </c>
      <c r="G321" s="142"/>
    </row>
    <row r="322" spans="1:7" x14ac:dyDescent="0.25">
      <c r="A322" s="136" t="s">
        <v>342</v>
      </c>
      <c r="B322" s="136">
        <v>12</v>
      </c>
      <c r="C322" s="145">
        <v>2347</v>
      </c>
      <c r="E322" s="136">
        <v>468</v>
      </c>
      <c r="F322" s="145">
        <v>2879</v>
      </c>
      <c r="G322" s="142"/>
    </row>
    <row r="323" spans="1:7" x14ac:dyDescent="0.25">
      <c r="A323" s="136" t="s">
        <v>343</v>
      </c>
      <c r="B323" s="136">
        <v>8</v>
      </c>
      <c r="C323" s="145">
        <v>3125</v>
      </c>
      <c r="D323" s="136">
        <v>2</v>
      </c>
      <c r="E323">
        <v>583</v>
      </c>
      <c r="F323" s="145">
        <v>3791</v>
      </c>
      <c r="G323" s="142"/>
    </row>
    <row r="324" spans="1:7" x14ac:dyDescent="0.25">
      <c r="A324" s="136" t="s">
        <v>344</v>
      </c>
      <c r="B324" s="136">
        <v>1</v>
      </c>
      <c r="C324" s="136">
        <v>410</v>
      </c>
      <c r="E324" s="136">
        <v>57</v>
      </c>
      <c r="F324" s="136">
        <v>479</v>
      </c>
      <c r="G324" s="142"/>
    </row>
    <row r="325" spans="1:7" x14ac:dyDescent="0.25">
      <c r="A325" s="136" t="s">
        <v>345</v>
      </c>
      <c r="B325" s="136">
        <v>5</v>
      </c>
      <c r="C325" s="145">
        <v>1234</v>
      </c>
      <c r="E325" s="136">
        <v>289</v>
      </c>
      <c r="F325" s="145">
        <v>1567</v>
      </c>
      <c r="G325" s="142"/>
    </row>
    <row r="326" spans="1:7" ht="30" x14ac:dyDescent="0.25">
      <c r="A326" s="136" t="s">
        <v>346</v>
      </c>
      <c r="B326" s="136">
        <v>6</v>
      </c>
      <c r="C326" s="145">
        <v>3044</v>
      </c>
      <c r="D326" s="136">
        <v>1</v>
      </c>
      <c r="E326">
        <v>704</v>
      </c>
      <c r="F326" s="145">
        <v>3820</v>
      </c>
      <c r="G326" s="142"/>
    </row>
    <row r="327" spans="1:7" ht="30" x14ac:dyDescent="0.25">
      <c r="A327" s="136" t="s">
        <v>347</v>
      </c>
      <c r="B327" s="136">
        <v>8</v>
      </c>
      <c r="C327" s="145">
        <v>3285</v>
      </c>
      <c r="D327" s="136">
        <v>1</v>
      </c>
      <c r="E327">
        <v>846</v>
      </c>
      <c r="F327" s="145">
        <v>4215</v>
      </c>
      <c r="G327" s="142"/>
    </row>
    <row r="328" spans="1:7" x14ac:dyDescent="0.25">
      <c r="A328" s="136" t="s">
        <v>348</v>
      </c>
      <c r="B328" s="136">
        <v>12</v>
      </c>
      <c r="C328" s="145">
        <v>2909</v>
      </c>
      <c r="D328" s="136">
        <v>1</v>
      </c>
      <c r="E328">
        <v>602</v>
      </c>
      <c r="F328" s="145">
        <v>3603</v>
      </c>
      <c r="G328" s="142"/>
    </row>
    <row r="329" spans="1:7" x14ac:dyDescent="0.25">
      <c r="A329" s="136" t="s">
        <v>349</v>
      </c>
      <c r="B329" s="136">
        <v>91</v>
      </c>
      <c r="C329" s="145">
        <v>29501</v>
      </c>
      <c r="D329" s="136">
        <v>5</v>
      </c>
      <c r="E329" s="144">
        <v>4407</v>
      </c>
      <c r="F329" s="145">
        <v>34740</v>
      </c>
      <c r="G329" s="142"/>
    </row>
    <row r="330" spans="1:7" x14ac:dyDescent="0.25">
      <c r="A330" s="136" t="s">
        <v>350</v>
      </c>
      <c r="B330" s="136">
        <v>2</v>
      </c>
      <c r="C330" s="136">
        <v>405</v>
      </c>
      <c r="D330" s="136">
        <v>1</v>
      </c>
      <c r="E330">
        <v>65</v>
      </c>
      <c r="F330" s="136">
        <v>482</v>
      </c>
      <c r="G330" s="142"/>
    </row>
    <row r="331" spans="1:7" ht="30" x14ac:dyDescent="0.25">
      <c r="A331" s="136" t="s">
        <v>351</v>
      </c>
      <c r="B331" s="136">
        <v>83</v>
      </c>
      <c r="C331" s="145">
        <v>30044</v>
      </c>
      <c r="D331" s="136">
        <v>11</v>
      </c>
      <c r="E331" s="144">
        <v>5777</v>
      </c>
      <c r="F331" s="145">
        <v>36694</v>
      </c>
      <c r="G331" s="142"/>
    </row>
    <row r="332" spans="1:7" ht="30" x14ac:dyDescent="0.25">
      <c r="A332" s="136" t="s">
        <v>352</v>
      </c>
      <c r="B332" s="136">
        <v>1</v>
      </c>
      <c r="C332" s="145">
        <v>1477</v>
      </c>
      <c r="E332" s="136">
        <v>248</v>
      </c>
      <c r="F332" s="145">
        <v>1766</v>
      </c>
      <c r="G332" s="142"/>
    </row>
    <row r="333" spans="1:7" ht="30" x14ac:dyDescent="0.25">
      <c r="A333" s="136" t="s">
        <v>353</v>
      </c>
      <c r="B333" s="136">
        <v>12</v>
      </c>
      <c r="C333" s="145">
        <v>5493</v>
      </c>
      <c r="D333" s="136">
        <v>6</v>
      </c>
      <c r="E333" s="144">
        <v>1168</v>
      </c>
      <c r="F333" s="145">
        <v>6845</v>
      </c>
      <c r="G333" s="142"/>
    </row>
    <row r="334" spans="1:7" ht="30" x14ac:dyDescent="0.25">
      <c r="A334" s="136" t="s">
        <v>354</v>
      </c>
      <c r="B334" s="136">
        <v>5</v>
      </c>
      <c r="C334" s="136">
        <v>717</v>
      </c>
      <c r="E334" s="136">
        <v>171</v>
      </c>
      <c r="F334" s="136">
        <v>906</v>
      </c>
      <c r="G334" s="142"/>
    </row>
    <row r="335" spans="1:7" ht="30" x14ac:dyDescent="0.25">
      <c r="A335" s="136" t="s">
        <v>355</v>
      </c>
      <c r="B335" s="136">
        <v>14</v>
      </c>
      <c r="C335" s="145">
        <v>4588</v>
      </c>
      <c r="E335" s="136">
        <v>603</v>
      </c>
      <c r="F335" s="145">
        <v>5321</v>
      </c>
      <c r="G335" s="142"/>
    </row>
    <row r="336" spans="1:7" x14ac:dyDescent="0.25">
      <c r="A336" s="136" t="s">
        <v>356</v>
      </c>
      <c r="B336" s="136">
        <v>4</v>
      </c>
      <c r="C336" s="145">
        <v>2166</v>
      </c>
      <c r="D336" s="136">
        <v>1</v>
      </c>
      <c r="E336">
        <v>380</v>
      </c>
      <c r="F336" s="145">
        <v>2617</v>
      </c>
      <c r="G336" s="142"/>
    </row>
    <row r="337" spans="1:7" x14ac:dyDescent="0.25">
      <c r="A337" s="136" t="s">
        <v>357</v>
      </c>
      <c r="B337" s="136">
        <v>4</v>
      </c>
      <c r="C337" s="136">
        <v>884</v>
      </c>
      <c r="D337" s="136">
        <v>1</v>
      </c>
      <c r="E337">
        <v>119</v>
      </c>
      <c r="F337" s="145">
        <v>1025</v>
      </c>
      <c r="G337" s="142"/>
    </row>
    <row r="338" spans="1:7" x14ac:dyDescent="0.25">
      <c r="A338" s="136" t="s">
        <v>358</v>
      </c>
      <c r="B338" s="136">
        <v>10</v>
      </c>
      <c r="C338" s="145">
        <v>3070</v>
      </c>
      <c r="D338" s="136">
        <v>2</v>
      </c>
      <c r="E338">
        <v>592</v>
      </c>
      <c r="F338" s="145">
        <v>3771</v>
      </c>
      <c r="G338" s="142"/>
    </row>
    <row r="339" spans="1:7" x14ac:dyDescent="0.25">
      <c r="A339" s="136" t="s">
        <v>359</v>
      </c>
      <c r="B339" s="136">
        <v>2</v>
      </c>
      <c r="C339" s="145">
        <v>1388</v>
      </c>
      <c r="D339" s="136">
        <v>1</v>
      </c>
      <c r="E339" s="144">
        <v>254</v>
      </c>
      <c r="F339" s="145">
        <v>1671</v>
      </c>
      <c r="G339" s="142"/>
    </row>
    <row r="340" spans="1:7" x14ac:dyDescent="0.25">
      <c r="A340" s="136" t="s">
        <v>360</v>
      </c>
      <c r="B340" s="136">
        <v>6</v>
      </c>
      <c r="C340" s="145">
        <v>1458</v>
      </c>
      <c r="D340" s="136">
        <v>1</v>
      </c>
      <c r="E340">
        <v>366</v>
      </c>
      <c r="F340" s="145">
        <v>1867</v>
      </c>
      <c r="G340" s="142"/>
    </row>
    <row r="341" spans="1:7" x14ac:dyDescent="0.25">
      <c r="A341" s="136" t="s">
        <v>361</v>
      </c>
      <c r="B341" s="136">
        <v>14</v>
      </c>
      <c r="C341" s="145">
        <v>2959</v>
      </c>
      <c r="D341" s="136">
        <v>2</v>
      </c>
      <c r="E341">
        <v>426</v>
      </c>
      <c r="F341" s="145">
        <v>3465</v>
      </c>
      <c r="G341" s="142"/>
    </row>
    <row r="342" spans="1:7" ht="45" x14ac:dyDescent="0.25">
      <c r="A342" s="136" t="s">
        <v>362</v>
      </c>
      <c r="B342" s="136">
        <v>9</v>
      </c>
      <c r="C342" s="145">
        <v>1697</v>
      </c>
      <c r="E342" s="136">
        <v>292</v>
      </c>
      <c r="F342" s="145">
        <v>2052</v>
      </c>
    </row>
    <row r="343" spans="1:7" x14ac:dyDescent="0.25">
      <c r="A343" s="136" t="s">
        <v>363</v>
      </c>
      <c r="B343" s="136">
        <v>8</v>
      </c>
      <c r="C343" s="145">
        <v>2247</v>
      </c>
      <c r="D343" s="136">
        <v>1</v>
      </c>
      <c r="E343" s="144">
        <v>300</v>
      </c>
      <c r="F343" s="145">
        <v>2627</v>
      </c>
      <c r="G343" s="142"/>
    </row>
    <row r="344" spans="1:7" x14ac:dyDescent="0.25">
      <c r="A344" s="136"/>
      <c r="G344" s="142"/>
    </row>
    <row r="345" spans="1:7" x14ac:dyDescent="0.25">
      <c r="A345" s="136" t="s">
        <v>25</v>
      </c>
      <c r="B345" s="137">
        <f>SUM(B314:B344)</f>
        <v>382</v>
      </c>
      <c r="C345" s="137">
        <f t="shared" ref="C345:F345" si="7">SUM(C314:C344)</f>
        <v>130607</v>
      </c>
      <c r="D345" s="137">
        <f t="shared" si="7"/>
        <v>59</v>
      </c>
      <c r="E345" s="137">
        <f t="shared" si="7"/>
        <v>23851</v>
      </c>
      <c r="F345" s="137">
        <f t="shared" si="7"/>
        <v>158185</v>
      </c>
      <c r="G345" s="142"/>
    </row>
    <row r="346" spans="1:7" x14ac:dyDescent="0.25">
      <c r="A346" s="136"/>
      <c r="B346" s="136"/>
      <c r="C346" s="136"/>
      <c r="D346" s="146"/>
      <c r="E346" s="146"/>
      <c r="F346" s="146"/>
      <c r="G346" s="143"/>
    </row>
    <row r="348" spans="1:7" ht="45" x14ac:dyDescent="0.25">
      <c r="A348" s="136" t="s">
        <v>501</v>
      </c>
      <c r="B348" s="136" t="s">
        <v>502</v>
      </c>
      <c r="C348" s="136">
        <v>11</v>
      </c>
      <c r="D348" s="153"/>
      <c r="E348" s="153"/>
      <c r="F348" s="154"/>
    </row>
    <row r="349" spans="1:7" x14ac:dyDescent="0.25">
      <c r="A349" s="136"/>
      <c r="B349" s="136"/>
      <c r="C349" s="136"/>
      <c r="D349" s="136"/>
      <c r="F349" s="142"/>
    </row>
    <row r="350" spans="1:7" ht="30" x14ac:dyDescent="0.25">
      <c r="A350" s="136"/>
      <c r="B350" s="136"/>
      <c r="C350" s="136" t="s">
        <v>500</v>
      </c>
      <c r="D350" s="136"/>
      <c r="F350" s="142"/>
    </row>
    <row r="351" spans="1:7" x14ac:dyDescent="0.25">
      <c r="A351" s="136" t="s">
        <v>126</v>
      </c>
      <c r="B351" s="136" t="s">
        <v>479</v>
      </c>
      <c r="C351" s="136" t="s">
        <v>480</v>
      </c>
      <c r="D351" s="136" t="s">
        <v>481</v>
      </c>
      <c r="E351" t="s">
        <v>482</v>
      </c>
      <c r="F351" s="136" t="s">
        <v>483</v>
      </c>
      <c r="G351" s="136" t="s">
        <v>25</v>
      </c>
    </row>
    <row r="352" spans="1:7" x14ac:dyDescent="0.25">
      <c r="A352" s="136"/>
      <c r="B352" s="136"/>
      <c r="C352" s="136"/>
      <c r="G352" s="142"/>
    </row>
    <row r="353" spans="1:7" ht="30" x14ac:dyDescent="0.25">
      <c r="A353" s="136" t="s">
        <v>364</v>
      </c>
      <c r="B353" s="136">
        <v>3</v>
      </c>
      <c r="C353" s="145">
        <v>1159</v>
      </c>
      <c r="D353" s="136">
        <v>1</v>
      </c>
      <c r="E353">
        <v>200</v>
      </c>
      <c r="F353" s="136">
        <v>33</v>
      </c>
      <c r="G353" s="145">
        <v>1396</v>
      </c>
    </row>
    <row r="354" spans="1:7" x14ac:dyDescent="0.25">
      <c r="A354" s="136" t="s">
        <v>365</v>
      </c>
      <c r="B354" s="136">
        <v>3</v>
      </c>
      <c r="C354" s="136">
        <v>644</v>
      </c>
      <c r="D354" s="136">
        <v>1</v>
      </c>
      <c r="E354">
        <v>143</v>
      </c>
      <c r="F354" s="136">
        <v>16</v>
      </c>
      <c r="G354" s="136">
        <v>807</v>
      </c>
    </row>
    <row r="355" spans="1:7" x14ac:dyDescent="0.25">
      <c r="A355" s="136" t="s">
        <v>366</v>
      </c>
      <c r="B355" s="136">
        <v>3</v>
      </c>
      <c r="C355" s="136">
        <v>473</v>
      </c>
      <c r="D355" s="136">
        <v>2</v>
      </c>
      <c r="E355">
        <v>89</v>
      </c>
      <c r="F355" s="136">
        <v>15</v>
      </c>
      <c r="G355" s="136">
        <v>582</v>
      </c>
    </row>
    <row r="356" spans="1:7" x14ac:dyDescent="0.25">
      <c r="A356" s="136" t="s">
        <v>367</v>
      </c>
      <c r="B356" s="136">
        <v>26</v>
      </c>
      <c r="C356" s="145">
        <v>7403</v>
      </c>
      <c r="D356" s="136">
        <v>4</v>
      </c>
      <c r="E356" s="144">
        <v>1966</v>
      </c>
      <c r="F356" s="136">
        <v>194</v>
      </c>
      <c r="G356" s="145">
        <v>9593</v>
      </c>
    </row>
    <row r="357" spans="1:7" x14ac:dyDescent="0.25">
      <c r="A357" s="136" t="s">
        <v>368</v>
      </c>
      <c r="B357" s="136"/>
      <c r="C357" s="136">
        <v>153</v>
      </c>
      <c r="E357" s="136">
        <v>27</v>
      </c>
      <c r="F357" s="136">
        <v>3</v>
      </c>
      <c r="G357" s="136">
        <v>183</v>
      </c>
    </row>
    <row r="358" spans="1:7" ht="30" x14ac:dyDescent="0.25">
      <c r="A358" s="136" t="s">
        <v>369</v>
      </c>
      <c r="B358" s="136"/>
      <c r="C358" s="136">
        <v>158</v>
      </c>
      <c r="E358" s="136">
        <v>17</v>
      </c>
      <c r="F358" s="136">
        <v>3</v>
      </c>
      <c r="G358" s="136">
        <v>178</v>
      </c>
    </row>
    <row r="359" spans="1:7" x14ac:dyDescent="0.25">
      <c r="A359" s="136" t="s">
        <v>370</v>
      </c>
      <c r="B359" s="136"/>
      <c r="C359" s="136">
        <v>44</v>
      </c>
      <c r="E359" s="136">
        <v>5</v>
      </c>
      <c r="F359" s="136">
        <v>1</v>
      </c>
      <c r="G359" s="136">
        <v>50</v>
      </c>
    </row>
    <row r="360" spans="1:7" ht="30" x14ac:dyDescent="0.25">
      <c r="A360" s="136" t="s">
        <v>371</v>
      </c>
      <c r="B360" s="136">
        <v>7</v>
      </c>
      <c r="C360" s="145">
        <v>3013</v>
      </c>
      <c r="D360" s="136">
        <v>3</v>
      </c>
      <c r="E360">
        <v>662</v>
      </c>
      <c r="F360" s="136">
        <v>54</v>
      </c>
      <c r="G360" s="145">
        <v>3739</v>
      </c>
    </row>
    <row r="361" spans="1:7" x14ac:dyDescent="0.25">
      <c r="A361" s="136" t="s">
        <v>496</v>
      </c>
      <c r="B361" s="136">
        <v>2</v>
      </c>
      <c r="C361" s="136">
        <v>469</v>
      </c>
      <c r="E361" s="136">
        <v>83</v>
      </c>
      <c r="F361" s="136">
        <v>13</v>
      </c>
      <c r="G361" s="136">
        <v>567</v>
      </c>
    </row>
    <row r="362" spans="1:7" x14ac:dyDescent="0.25">
      <c r="A362" s="136" t="s">
        <v>372</v>
      </c>
      <c r="B362" s="136"/>
      <c r="C362" s="136">
        <v>41</v>
      </c>
      <c r="E362" s="136">
        <v>7</v>
      </c>
      <c r="F362" s="136">
        <v>1</v>
      </c>
      <c r="G362" s="136">
        <v>49</v>
      </c>
    </row>
    <row r="363" spans="1:7" x14ac:dyDescent="0.25">
      <c r="A363" s="136" t="s">
        <v>25</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6"/>
      <c r="E364" s="146"/>
      <c r="F364" s="143"/>
    </row>
    <row r="368" spans="1:7" ht="45" x14ac:dyDescent="0.25">
      <c r="A368" s="136" t="s">
        <v>501</v>
      </c>
      <c r="B368" s="136" t="s">
        <v>502</v>
      </c>
      <c r="C368" s="136">
        <v>12</v>
      </c>
      <c r="D368" s="153"/>
      <c r="E368" s="153"/>
      <c r="F368" s="153"/>
      <c r="G368" s="154"/>
    </row>
    <row r="369" spans="1:9" x14ac:dyDescent="0.25">
      <c r="A369" s="136"/>
      <c r="B369" s="136"/>
      <c r="C369" s="136"/>
      <c r="D369" s="136"/>
      <c r="G369" s="142"/>
    </row>
    <row r="370" spans="1:9" x14ac:dyDescent="0.25">
      <c r="A370" s="136"/>
      <c r="B370" s="136"/>
      <c r="C370" s="136"/>
      <c r="D370" s="153"/>
      <c r="E370" s="153"/>
      <c r="F370" s="154"/>
      <c r="G370" s="142"/>
    </row>
    <row r="371" spans="1:9" ht="30" x14ac:dyDescent="0.25">
      <c r="A371" s="155"/>
      <c r="B371" s="155" t="s">
        <v>500</v>
      </c>
      <c r="C371" s="155"/>
      <c r="F371" s="142"/>
      <c r="G371" s="155"/>
    </row>
    <row r="372" spans="1:9" x14ac:dyDescent="0.25">
      <c r="A372" s="158" t="s">
        <v>126</v>
      </c>
      <c r="B372" s="158" t="s">
        <v>479</v>
      </c>
      <c r="C372" s="158" t="s">
        <v>480</v>
      </c>
      <c r="D372" s="158" t="s">
        <v>481</v>
      </c>
      <c r="E372" s="151" t="s">
        <v>482</v>
      </c>
      <c r="F372" s="158" t="s">
        <v>483</v>
      </c>
      <c r="G372" s="158" t="s">
        <v>25</v>
      </c>
    </row>
    <row r="373" spans="1:9" x14ac:dyDescent="0.25">
      <c r="A373" s="158"/>
      <c r="B373" s="158"/>
      <c r="C373" s="158"/>
      <c r="D373" s="151"/>
      <c r="E373" s="151"/>
      <c r="F373" s="151"/>
      <c r="G373" s="151"/>
      <c r="H373" s="157"/>
    </row>
    <row r="374" spans="1:9" ht="30" x14ac:dyDescent="0.25">
      <c r="A374" s="158" t="s">
        <v>373</v>
      </c>
      <c r="B374" s="158">
        <v>1</v>
      </c>
      <c r="C374" s="158">
        <v>101</v>
      </c>
      <c r="D374" s="151"/>
      <c r="E374" s="158">
        <v>33</v>
      </c>
      <c r="F374" s="158">
        <v>4</v>
      </c>
      <c r="G374" s="158">
        <v>139</v>
      </c>
    </row>
    <row r="375" spans="1:9" ht="30" x14ac:dyDescent="0.25">
      <c r="A375" s="158" t="s">
        <v>374</v>
      </c>
      <c r="C375" s="158">
        <v>4</v>
      </c>
      <c r="D375" s="151"/>
      <c r="E375" s="151"/>
      <c r="F375" s="151"/>
      <c r="G375" s="158">
        <v>4</v>
      </c>
    </row>
    <row r="376" spans="1:9" ht="30" x14ac:dyDescent="0.25">
      <c r="A376" s="158" t="s">
        <v>375</v>
      </c>
      <c r="C376" s="158">
        <v>19</v>
      </c>
      <c r="E376" s="158">
        <v>4</v>
      </c>
      <c r="F376" s="158">
        <v>2</v>
      </c>
      <c r="G376" s="158">
        <v>25</v>
      </c>
      <c r="H376" s="170"/>
    </row>
    <row r="377" spans="1:9" x14ac:dyDescent="0.25">
      <c r="A377" s="158" t="s">
        <v>376</v>
      </c>
      <c r="B377" s="158">
        <v>7</v>
      </c>
      <c r="C377" s="171">
        <v>4322</v>
      </c>
      <c r="D377" s="158">
        <v>7</v>
      </c>
      <c r="E377" s="151">
        <v>872</v>
      </c>
      <c r="F377" s="158">
        <v>107</v>
      </c>
      <c r="G377" s="174">
        <v>5315</v>
      </c>
      <c r="H377" s="170"/>
    </row>
    <row r="378" spans="1:9" x14ac:dyDescent="0.25">
      <c r="A378" s="158" t="s">
        <v>377</v>
      </c>
      <c r="B378" s="158">
        <v>3</v>
      </c>
      <c r="C378" s="158">
        <v>918</v>
      </c>
      <c r="E378" s="158">
        <v>182</v>
      </c>
      <c r="F378" s="158">
        <v>17</v>
      </c>
      <c r="G378" s="174">
        <v>1120</v>
      </c>
    </row>
    <row r="379" spans="1:9" ht="30" x14ac:dyDescent="0.25">
      <c r="A379" s="158" t="s">
        <v>378</v>
      </c>
      <c r="B379" s="158"/>
      <c r="C379" s="158">
        <v>65</v>
      </c>
      <c r="E379" s="158">
        <v>13</v>
      </c>
      <c r="F379" s="158">
        <v>2</v>
      </c>
      <c r="G379" s="175">
        <v>80</v>
      </c>
      <c r="I379" s="170"/>
    </row>
    <row r="380" spans="1:9" ht="30" x14ac:dyDescent="0.25">
      <c r="A380" s="158" t="s">
        <v>379</v>
      </c>
      <c r="B380" s="158">
        <v>71</v>
      </c>
      <c r="C380" s="171">
        <v>19979</v>
      </c>
      <c r="D380" s="158">
        <v>32</v>
      </c>
      <c r="E380" s="172">
        <v>4673</v>
      </c>
      <c r="F380" s="158">
        <v>454</v>
      </c>
      <c r="G380" s="174">
        <v>25209</v>
      </c>
    </row>
    <row r="381" spans="1:9" x14ac:dyDescent="0.25">
      <c r="A381" s="158" t="s">
        <v>380</v>
      </c>
      <c r="B381" s="158"/>
      <c r="C381" s="158">
        <v>15</v>
      </c>
      <c r="F381" s="158">
        <v>1</v>
      </c>
      <c r="G381" s="175">
        <v>16</v>
      </c>
    </row>
    <row r="382" spans="1:9" ht="30" x14ac:dyDescent="0.25">
      <c r="A382" s="158" t="s">
        <v>381</v>
      </c>
      <c r="B382" s="158"/>
      <c r="C382" s="158">
        <v>28</v>
      </c>
      <c r="E382" s="158">
        <v>7</v>
      </c>
      <c r="G382" s="175">
        <v>35</v>
      </c>
    </row>
    <row r="383" spans="1:9" x14ac:dyDescent="0.25">
      <c r="A383" s="158" t="s">
        <v>382</v>
      </c>
      <c r="B383" s="158"/>
      <c r="C383" s="158">
        <v>3</v>
      </c>
      <c r="D383" s="158"/>
      <c r="E383" s="158"/>
      <c r="F383" s="158">
        <v>1</v>
      </c>
      <c r="G383" s="175">
        <v>4</v>
      </c>
    </row>
    <row r="384" spans="1:9" ht="30" x14ac:dyDescent="0.25">
      <c r="A384" s="158" t="s">
        <v>383</v>
      </c>
      <c r="B384" s="158"/>
      <c r="C384" s="158">
        <v>4</v>
      </c>
      <c r="D384" s="158"/>
      <c r="E384" s="158">
        <v>2</v>
      </c>
      <c r="G384" s="175">
        <v>6</v>
      </c>
    </row>
    <row r="385" spans="1:8" x14ac:dyDescent="0.25">
      <c r="A385" s="158"/>
      <c r="B385" s="151"/>
      <c r="C385" s="151"/>
      <c r="D385" s="151"/>
      <c r="E385" s="151"/>
      <c r="F385" s="151"/>
      <c r="G385" s="152"/>
      <c r="H385" s="170"/>
    </row>
    <row r="386" spans="1:8" x14ac:dyDescent="0.25">
      <c r="A386" s="158" t="s">
        <v>25</v>
      </c>
      <c r="B386" s="173">
        <f>SUM(B374:B385)</f>
        <v>82</v>
      </c>
      <c r="C386" s="173">
        <f t="shared" ref="C386:G386" si="9">SUM(C374:C385)</f>
        <v>25458</v>
      </c>
      <c r="D386" s="173">
        <f t="shared" si="9"/>
        <v>39</v>
      </c>
      <c r="E386" s="173">
        <f t="shared" si="9"/>
        <v>5786</v>
      </c>
      <c r="F386" s="173">
        <f t="shared" si="9"/>
        <v>588</v>
      </c>
      <c r="G386" s="176">
        <f t="shared" si="9"/>
        <v>31953</v>
      </c>
    </row>
    <row r="387" spans="1:8" x14ac:dyDescent="0.25">
      <c r="A387" s="156"/>
      <c r="B387" s="156"/>
      <c r="C387" s="156"/>
      <c r="D387" s="146"/>
      <c r="E387" s="146"/>
      <c r="F387" s="143"/>
    </row>
    <row r="390" spans="1:8" ht="45" x14ac:dyDescent="0.25">
      <c r="A390" s="136" t="s">
        <v>384</v>
      </c>
      <c r="B390" s="153"/>
      <c r="C390" s="153"/>
      <c r="D390" s="153"/>
      <c r="E390" s="153"/>
      <c r="F390" s="154"/>
    </row>
    <row r="391" spans="1:8" x14ac:dyDescent="0.25">
      <c r="A391" s="136"/>
      <c r="B391" s="136"/>
      <c r="C391" s="136"/>
      <c r="F391" s="142"/>
    </row>
    <row r="392" spans="1:8" ht="30" x14ac:dyDescent="0.25">
      <c r="A392" s="136"/>
      <c r="B392" s="136" t="s">
        <v>500</v>
      </c>
      <c r="C392" s="136"/>
      <c r="F392" s="142"/>
    </row>
    <row r="393" spans="1:8" x14ac:dyDescent="0.25">
      <c r="A393" s="136" t="s">
        <v>126</v>
      </c>
      <c r="B393" s="136" t="s">
        <v>479</v>
      </c>
      <c r="C393" s="136" t="s">
        <v>480</v>
      </c>
      <c r="D393" s="136" t="s">
        <v>481</v>
      </c>
      <c r="E393" t="s">
        <v>482</v>
      </c>
      <c r="F393" s="136" t="s">
        <v>483</v>
      </c>
      <c r="G393" s="136" t="s">
        <v>25</v>
      </c>
    </row>
    <row r="394" spans="1:8" x14ac:dyDescent="0.25">
      <c r="A394" s="136"/>
      <c r="B394" s="136"/>
      <c r="C394" s="136"/>
      <c r="G394" s="142"/>
    </row>
    <row r="395" spans="1:8" x14ac:dyDescent="0.25">
      <c r="A395" s="136" t="s">
        <v>385</v>
      </c>
      <c r="B395" s="136">
        <v>1</v>
      </c>
      <c r="C395" s="136">
        <v>924</v>
      </c>
      <c r="D395" s="136">
        <v>1</v>
      </c>
      <c r="E395">
        <v>119</v>
      </c>
      <c r="F395" s="136">
        <v>21</v>
      </c>
      <c r="G395" s="145">
        <v>1066</v>
      </c>
    </row>
    <row r="396" spans="1:8" x14ac:dyDescent="0.25">
      <c r="A396" s="136" t="s">
        <v>386</v>
      </c>
      <c r="B396" s="136">
        <v>17</v>
      </c>
      <c r="C396" s="145">
        <v>12230</v>
      </c>
      <c r="D396" s="136">
        <v>9</v>
      </c>
      <c r="E396" s="144">
        <v>1993</v>
      </c>
      <c r="F396" s="136">
        <v>282</v>
      </c>
      <c r="G396" s="145">
        <v>14531</v>
      </c>
    </row>
    <row r="397" spans="1:8" ht="30" x14ac:dyDescent="0.25">
      <c r="A397" s="136" t="s">
        <v>387</v>
      </c>
      <c r="B397" s="136">
        <v>6</v>
      </c>
      <c r="C397" s="145">
        <v>2917</v>
      </c>
      <c r="D397" s="136">
        <v>1</v>
      </c>
      <c r="E397">
        <v>571</v>
      </c>
      <c r="F397" s="136">
        <v>86</v>
      </c>
      <c r="G397" s="145">
        <v>3581</v>
      </c>
    </row>
    <row r="398" spans="1:8" x14ac:dyDescent="0.25">
      <c r="A398" s="136" t="s">
        <v>388</v>
      </c>
      <c r="B398" s="136">
        <v>38</v>
      </c>
      <c r="C398" s="145">
        <v>13179</v>
      </c>
      <c r="D398" s="136">
        <v>5</v>
      </c>
      <c r="E398" s="144">
        <v>2692</v>
      </c>
      <c r="F398" s="136">
        <v>261</v>
      </c>
      <c r="G398" s="145">
        <v>16175</v>
      </c>
    </row>
    <row r="399" spans="1:8" ht="30" x14ac:dyDescent="0.25">
      <c r="A399" s="136" t="s">
        <v>389</v>
      </c>
      <c r="B399" s="136">
        <v>62</v>
      </c>
      <c r="C399" s="145">
        <v>25815</v>
      </c>
      <c r="D399" s="136">
        <v>11</v>
      </c>
      <c r="E399" s="144">
        <v>3671</v>
      </c>
      <c r="F399" s="136">
        <v>485</v>
      </c>
      <c r="G399" s="145">
        <v>30044</v>
      </c>
    </row>
    <row r="400" spans="1:8" x14ac:dyDescent="0.25">
      <c r="A400" s="136" t="s">
        <v>390</v>
      </c>
      <c r="B400" s="136">
        <v>29</v>
      </c>
      <c r="C400" s="145">
        <v>12648</v>
      </c>
      <c r="D400" s="136">
        <v>7</v>
      </c>
      <c r="E400" s="144">
        <v>2490</v>
      </c>
      <c r="F400" s="136">
        <v>406</v>
      </c>
      <c r="G400" s="145">
        <v>15580</v>
      </c>
    </row>
    <row r="401" spans="1:7" x14ac:dyDescent="0.25">
      <c r="A401" s="136" t="s">
        <v>391</v>
      </c>
      <c r="B401" s="136">
        <v>66</v>
      </c>
      <c r="C401" s="145">
        <v>25984</v>
      </c>
      <c r="D401" s="136">
        <v>9</v>
      </c>
      <c r="E401" s="144">
        <v>4636</v>
      </c>
      <c r="F401" s="136">
        <v>488</v>
      </c>
      <c r="G401" s="145">
        <v>31183</v>
      </c>
    </row>
    <row r="402" spans="1:7" x14ac:dyDescent="0.25">
      <c r="A402" s="136" t="s">
        <v>392</v>
      </c>
      <c r="B402" s="136">
        <v>4</v>
      </c>
      <c r="C402" s="145">
        <v>5170</v>
      </c>
      <c r="D402" s="136">
        <v>1</v>
      </c>
      <c r="E402">
        <v>887</v>
      </c>
      <c r="F402" s="136">
        <v>158</v>
      </c>
      <c r="G402" s="145">
        <v>6220</v>
      </c>
    </row>
    <row r="403" spans="1:7" x14ac:dyDescent="0.25">
      <c r="A403" s="136" t="s">
        <v>393</v>
      </c>
      <c r="B403" s="136">
        <v>60</v>
      </c>
      <c r="C403" s="145">
        <v>28734</v>
      </c>
      <c r="D403" s="136">
        <v>22</v>
      </c>
      <c r="E403" s="144">
        <v>4750</v>
      </c>
      <c r="F403" s="136">
        <v>584</v>
      </c>
      <c r="G403" s="145">
        <v>34150</v>
      </c>
    </row>
    <row r="404" spans="1:7" x14ac:dyDescent="0.25">
      <c r="A404" s="136" t="s">
        <v>394</v>
      </c>
      <c r="B404" s="136">
        <v>16</v>
      </c>
      <c r="C404" s="145">
        <v>5174</v>
      </c>
      <c r="D404" s="136">
        <v>2</v>
      </c>
      <c r="E404">
        <v>822</v>
      </c>
      <c r="F404" s="136">
        <v>144</v>
      </c>
      <c r="G404" s="145">
        <v>6158</v>
      </c>
    </row>
    <row r="405" spans="1:7" ht="30" x14ac:dyDescent="0.25">
      <c r="A405" s="136" t="s">
        <v>395</v>
      </c>
      <c r="B405" s="136">
        <v>58</v>
      </c>
      <c r="C405" s="145">
        <v>24111</v>
      </c>
      <c r="D405" s="136">
        <v>18</v>
      </c>
      <c r="E405" s="144">
        <v>4393</v>
      </c>
      <c r="F405" s="136">
        <v>550</v>
      </c>
      <c r="G405" s="145">
        <v>29130</v>
      </c>
    </row>
    <row r="406" spans="1:7" ht="30" x14ac:dyDescent="0.25">
      <c r="A406" s="136" t="s">
        <v>396</v>
      </c>
      <c r="B406" s="136">
        <v>39</v>
      </c>
      <c r="C406" s="145">
        <v>12333</v>
      </c>
      <c r="D406" s="136">
        <v>7</v>
      </c>
      <c r="E406" s="144">
        <v>2733</v>
      </c>
      <c r="F406" s="136">
        <v>301</v>
      </c>
      <c r="G406" s="145">
        <v>15413</v>
      </c>
    </row>
    <row r="407" spans="1:7" ht="30" x14ac:dyDescent="0.25">
      <c r="A407" s="136" t="s">
        <v>397</v>
      </c>
      <c r="B407" s="136">
        <v>33</v>
      </c>
      <c r="C407" s="145">
        <v>14458</v>
      </c>
      <c r="D407" s="136">
        <v>11</v>
      </c>
      <c r="E407" s="144">
        <v>2637</v>
      </c>
      <c r="F407" s="136">
        <v>377</v>
      </c>
      <c r="G407" s="145">
        <v>17516</v>
      </c>
    </row>
    <row r="408" spans="1:7" ht="30" x14ac:dyDescent="0.25">
      <c r="A408" s="136" t="s">
        <v>398</v>
      </c>
      <c r="B408" s="136">
        <v>7</v>
      </c>
      <c r="C408" s="145">
        <v>5267</v>
      </c>
      <c r="D408" s="136">
        <v>2</v>
      </c>
      <c r="E408">
        <v>771</v>
      </c>
      <c r="F408" s="136">
        <v>127</v>
      </c>
      <c r="G408" s="145">
        <v>6174</v>
      </c>
    </row>
    <row r="409" spans="1:7" ht="30" x14ac:dyDescent="0.25">
      <c r="A409" s="136" t="s">
        <v>399</v>
      </c>
      <c r="B409" s="136">
        <v>40</v>
      </c>
      <c r="C409" s="145">
        <v>16217</v>
      </c>
      <c r="D409" s="136">
        <v>5</v>
      </c>
      <c r="E409" s="144">
        <v>2774</v>
      </c>
      <c r="F409" s="136">
        <v>315</v>
      </c>
      <c r="G409" s="145">
        <v>19351</v>
      </c>
    </row>
    <row r="410" spans="1:7" x14ac:dyDescent="0.25">
      <c r="A410" s="136" t="s">
        <v>400</v>
      </c>
      <c r="B410" s="136">
        <v>143</v>
      </c>
      <c r="C410" s="145">
        <v>60425</v>
      </c>
      <c r="D410" s="136">
        <v>33</v>
      </c>
      <c r="E410" s="144">
        <v>13569</v>
      </c>
      <c r="F410" s="145">
        <v>1419</v>
      </c>
      <c r="G410" s="145">
        <v>75589</v>
      </c>
    </row>
    <row r="411" spans="1:7" x14ac:dyDescent="0.25">
      <c r="A411" s="136" t="s">
        <v>401</v>
      </c>
      <c r="B411" s="136">
        <v>56</v>
      </c>
      <c r="C411" s="145">
        <v>22154</v>
      </c>
      <c r="D411" s="136">
        <v>8</v>
      </c>
      <c r="E411" s="144">
        <v>3556</v>
      </c>
      <c r="F411" s="136">
        <v>449</v>
      </c>
      <c r="G411" s="145">
        <v>26223</v>
      </c>
    </row>
    <row r="412" spans="1:7" ht="30" x14ac:dyDescent="0.25">
      <c r="A412" s="136" t="s">
        <v>402</v>
      </c>
      <c r="B412" s="136">
        <v>74</v>
      </c>
      <c r="C412" s="145">
        <v>28470</v>
      </c>
      <c r="D412" s="136">
        <v>6</v>
      </c>
      <c r="E412" s="144">
        <v>3852</v>
      </c>
      <c r="F412" s="136">
        <v>642</v>
      </c>
      <c r="G412" s="145">
        <v>33044</v>
      </c>
    </row>
    <row r="413" spans="1:7" x14ac:dyDescent="0.25">
      <c r="A413" s="136" t="s">
        <v>403</v>
      </c>
      <c r="B413" s="136">
        <v>18</v>
      </c>
      <c r="C413" s="145">
        <v>10581</v>
      </c>
      <c r="D413" s="136">
        <v>3</v>
      </c>
      <c r="E413" s="144">
        <v>2744</v>
      </c>
      <c r="F413" s="136">
        <v>327</v>
      </c>
      <c r="G413" s="145">
        <v>13673</v>
      </c>
    </row>
    <row r="414" spans="1:7" x14ac:dyDescent="0.25">
      <c r="A414" s="136" t="s">
        <v>404</v>
      </c>
      <c r="B414" s="136">
        <v>22</v>
      </c>
      <c r="C414" s="145">
        <v>8601</v>
      </c>
      <c r="D414" s="136">
        <v>4</v>
      </c>
      <c r="E414" s="144">
        <v>1394</v>
      </c>
      <c r="F414" s="136">
        <v>378</v>
      </c>
      <c r="G414" s="145">
        <v>10399</v>
      </c>
    </row>
    <row r="415" spans="1:7" ht="30" x14ac:dyDescent="0.25">
      <c r="A415" s="136" t="s">
        <v>405</v>
      </c>
      <c r="B415" s="136">
        <v>47</v>
      </c>
      <c r="C415" s="145">
        <v>25934</v>
      </c>
      <c r="D415" s="136">
        <v>19</v>
      </c>
      <c r="E415" s="144">
        <v>11809</v>
      </c>
      <c r="F415" s="136">
        <v>995</v>
      </c>
      <c r="G415" s="145">
        <v>38804</v>
      </c>
    </row>
    <row r="416" spans="1:7" ht="45" x14ac:dyDescent="0.25">
      <c r="A416" s="136" t="s">
        <v>406</v>
      </c>
      <c r="B416" s="136">
        <v>13</v>
      </c>
      <c r="C416" s="145">
        <v>5898</v>
      </c>
      <c r="D416" s="136">
        <v>3</v>
      </c>
      <c r="E416" s="144">
        <v>1373</v>
      </c>
      <c r="F416" s="136">
        <v>225</v>
      </c>
      <c r="G416" s="145">
        <v>7512</v>
      </c>
    </row>
    <row r="417" spans="1:7" x14ac:dyDescent="0.25">
      <c r="A417" s="136" t="s">
        <v>407</v>
      </c>
      <c r="B417" s="136">
        <v>66</v>
      </c>
      <c r="C417" s="145">
        <v>19232</v>
      </c>
      <c r="D417" s="136">
        <v>7</v>
      </c>
      <c r="E417" s="144">
        <v>2796</v>
      </c>
      <c r="F417" s="136">
        <v>398</v>
      </c>
      <c r="G417" s="145">
        <v>22499</v>
      </c>
    </row>
    <row r="418" spans="1:7" x14ac:dyDescent="0.25">
      <c r="A418" s="136" t="s">
        <v>408</v>
      </c>
      <c r="B418" s="136">
        <v>56</v>
      </c>
      <c r="C418" s="145">
        <v>19634</v>
      </c>
      <c r="D418" s="136">
        <v>8</v>
      </c>
      <c r="E418" s="144">
        <v>3323</v>
      </c>
      <c r="F418" s="136">
        <v>387</v>
      </c>
      <c r="G418" s="145">
        <v>23408</v>
      </c>
    </row>
    <row r="419" spans="1:7" x14ac:dyDescent="0.25">
      <c r="A419" s="136" t="s">
        <v>409</v>
      </c>
      <c r="B419" s="136">
        <v>39</v>
      </c>
      <c r="C419" s="145">
        <v>20899</v>
      </c>
      <c r="D419" s="136">
        <v>11</v>
      </c>
      <c r="E419" s="144">
        <v>3948</v>
      </c>
      <c r="F419" s="136">
        <v>426</v>
      </c>
      <c r="G419" s="145">
        <v>25323</v>
      </c>
    </row>
    <row r="420" spans="1:7" x14ac:dyDescent="0.25">
      <c r="A420" s="136" t="s">
        <v>410</v>
      </c>
      <c r="B420" s="136">
        <v>181</v>
      </c>
      <c r="C420" s="145">
        <v>72617</v>
      </c>
      <c r="D420" s="136">
        <v>61</v>
      </c>
      <c r="E420" s="144">
        <v>16053</v>
      </c>
      <c r="F420" s="145">
        <v>1674</v>
      </c>
      <c r="G420" s="145">
        <v>90586</v>
      </c>
    </row>
    <row r="421" spans="1:7" ht="30" x14ac:dyDescent="0.25">
      <c r="A421" s="136" t="s">
        <v>411</v>
      </c>
      <c r="B421" s="136">
        <v>8</v>
      </c>
      <c r="C421" s="145">
        <v>2095</v>
      </c>
      <c r="E421" s="136">
        <v>515</v>
      </c>
      <c r="F421" s="136">
        <v>49</v>
      </c>
      <c r="G421" s="145">
        <v>2667</v>
      </c>
    </row>
    <row r="422" spans="1:7" x14ac:dyDescent="0.25">
      <c r="A422" s="136" t="s">
        <v>412</v>
      </c>
      <c r="B422" s="136">
        <v>54</v>
      </c>
      <c r="C422" s="145">
        <v>21093</v>
      </c>
      <c r="D422" s="136">
        <v>13</v>
      </c>
      <c r="E422" s="144">
        <v>3862</v>
      </c>
      <c r="F422" s="136">
        <v>467</v>
      </c>
      <c r="G422" s="145">
        <v>25489</v>
      </c>
    </row>
    <row r="423" spans="1:7" ht="30" x14ac:dyDescent="0.25">
      <c r="A423" s="136" t="s">
        <v>413</v>
      </c>
      <c r="B423" s="136">
        <v>20</v>
      </c>
      <c r="C423" s="145">
        <v>8171</v>
      </c>
      <c r="D423" s="136">
        <v>2</v>
      </c>
      <c r="E423" s="144">
        <v>1386</v>
      </c>
      <c r="F423" s="136">
        <v>233</v>
      </c>
      <c r="G423" s="145">
        <v>9812</v>
      </c>
    </row>
    <row r="424" spans="1:7" x14ac:dyDescent="0.25">
      <c r="A424" s="136" t="s">
        <v>414</v>
      </c>
      <c r="B424" s="136">
        <v>24</v>
      </c>
      <c r="C424" s="145">
        <v>9511</v>
      </c>
      <c r="D424" s="136">
        <v>2</v>
      </c>
      <c r="E424" s="144">
        <v>1446</v>
      </c>
      <c r="F424" s="136">
        <v>258</v>
      </c>
      <c r="G424" s="145">
        <v>11241</v>
      </c>
    </row>
    <row r="425" spans="1:7" ht="45" x14ac:dyDescent="0.25">
      <c r="A425" s="136" t="s">
        <v>415</v>
      </c>
      <c r="B425" s="136">
        <v>49</v>
      </c>
      <c r="C425" s="145">
        <v>22381</v>
      </c>
      <c r="D425" s="136">
        <v>17</v>
      </c>
      <c r="E425" s="144">
        <v>3608</v>
      </c>
      <c r="F425" s="136">
        <v>479</v>
      </c>
      <c r="G425" s="145">
        <v>26534</v>
      </c>
    </row>
    <row r="426" spans="1:7" x14ac:dyDescent="0.25">
      <c r="A426" s="136" t="s">
        <v>497</v>
      </c>
      <c r="B426" s="136">
        <v>22</v>
      </c>
      <c r="C426" s="145">
        <v>13162</v>
      </c>
      <c r="D426" s="136">
        <v>7</v>
      </c>
      <c r="E426" s="144">
        <v>2639</v>
      </c>
      <c r="F426" s="136">
        <v>275</v>
      </c>
      <c r="G426" s="145">
        <v>16105</v>
      </c>
    </row>
    <row r="427" spans="1:7" x14ac:dyDescent="0.25">
      <c r="A427" s="136" t="s">
        <v>498</v>
      </c>
      <c r="B427" s="136">
        <v>78</v>
      </c>
      <c r="C427" s="145">
        <v>34107</v>
      </c>
      <c r="D427" s="136">
        <v>13</v>
      </c>
      <c r="E427" s="144">
        <v>5884</v>
      </c>
      <c r="F427" s="136">
        <v>805</v>
      </c>
      <c r="G427" s="145">
        <v>40887</v>
      </c>
    </row>
    <row r="428" spans="1:7" x14ac:dyDescent="0.25">
      <c r="A428" s="136" t="s">
        <v>416</v>
      </c>
      <c r="B428" s="136">
        <v>7</v>
      </c>
      <c r="C428" s="145">
        <v>3175</v>
      </c>
      <c r="D428" s="136">
        <v>1</v>
      </c>
      <c r="E428">
        <v>611</v>
      </c>
      <c r="F428" s="136">
        <v>103</v>
      </c>
      <c r="G428" s="145">
        <v>3897</v>
      </c>
    </row>
    <row r="429" spans="1:7" ht="30" x14ac:dyDescent="0.25">
      <c r="A429" s="136" t="s">
        <v>417</v>
      </c>
      <c r="B429" s="136">
        <v>22</v>
      </c>
      <c r="C429" s="145">
        <v>12602</v>
      </c>
      <c r="D429" s="136">
        <v>7</v>
      </c>
      <c r="E429" s="144">
        <v>4503</v>
      </c>
      <c r="F429" s="136">
        <v>493</v>
      </c>
      <c r="G429" s="145">
        <v>17627</v>
      </c>
    </row>
    <row r="430" spans="1:7" x14ac:dyDescent="0.25">
      <c r="A430" s="136" t="s">
        <v>418</v>
      </c>
      <c r="B430" s="136">
        <v>82</v>
      </c>
      <c r="C430" s="145">
        <v>31452</v>
      </c>
      <c r="D430" s="136">
        <v>25</v>
      </c>
      <c r="E430" s="144">
        <v>5262</v>
      </c>
      <c r="F430" s="136">
        <v>839</v>
      </c>
      <c r="G430" s="145">
        <v>37660</v>
      </c>
    </row>
    <row r="431" spans="1:7" ht="30" x14ac:dyDescent="0.25">
      <c r="A431" s="136" t="s">
        <v>419</v>
      </c>
      <c r="B431" s="136">
        <v>139</v>
      </c>
      <c r="C431" s="145">
        <v>71068</v>
      </c>
      <c r="D431" s="136">
        <v>25</v>
      </c>
      <c r="E431" s="144">
        <v>11252</v>
      </c>
      <c r="F431" s="145">
        <v>1837</v>
      </c>
      <c r="G431" s="145">
        <v>84321</v>
      </c>
    </row>
    <row r="432" spans="1:7" x14ac:dyDescent="0.25">
      <c r="A432" s="136" t="s">
        <v>420</v>
      </c>
      <c r="B432" s="136">
        <v>46</v>
      </c>
      <c r="C432" s="145">
        <v>18143</v>
      </c>
      <c r="D432" s="136">
        <v>6</v>
      </c>
      <c r="E432" s="144">
        <v>3143</v>
      </c>
      <c r="F432" s="136">
        <v>568</v>
      </c>
      <c r="G432" s="145">
        <v>21906</v>
      </c>
    </row>
    <row r="433" spans="1:7" ht="30" x14ac:dyDescent="0.25">
      <c r="A433" s="136" t="s">
        <v>421</v>
      </c>
      <c r="B433" s="136">
        <v>49</v>
      </c>
      <c r="C433" s="145">
        <v>21030</v>
      </c>
      <c r="D433" s="136">
        <v>4</v>
      </c>
      <c r="E433" s="144">
        <v>3207</v>
      </c>
      <c r="F433" s="136">
        <v>438</v>
      </c>
      <c r="G433" s="145">
        <v>24728</v>
      </c>
    </row>
    <row r="434" spans="1:7" x14ac:dyDescent="0.25">
      <c r="A434" s="136" t="s">
        <v>422</v>
      </c>
      <c r="B434" s="136">
        <v>89</v>
      </c>
      <c r="C434" s="145">
        <v>28084</v>
      </c>
      <c r="D434" s="136">
        <v>6</v>
      </c>
      <c r="E434" s="144">
        <v>4734</v>
      </c>
      <c r="F434" s="136">
        <v>625</v>
      </c>
      <c r="G434" s="145">
        <v>33538</v>
      </c>
    </row>
    <row r="435" spans="1:7" x14ac:dyDescent="0.25">
      <c r="A435" s="136" t="s">
        <v>423</v>
      </c>
      <c r="B435" s="136">
        <v>50</v>
      </c>
      <c r="C435" s="145">
        <v>23517</v>
      </c>
      <c r="D435" s="136">
        <v>10</v>
      </c>
      <c r="E435" s="144">
        <v>3534</v>
      </c>
      <c r="F435" s="136">
        <v>544</v>
      </c>
      <c r="G435" s="145">
        <v>27655</v>
      </c>
    </row>
    <row r="436" spans="1:7" ht="30" x14ac:dyDescent="0.25">
      <c r="A436" s="136" t="s">
        <v>424</v>
      </c>
      <c r="B436" s="136">
        <v>87</v>
      </c>
      <c r="C436" s="145">
        <v>40881</v>
      </c>
      <c r="D436" s="136">
        <v>25</v>
      </c>
      <c r="E436" s="144">
        <v>6718</v>
      </c>
      <c r="F436" s="145">
        <v>1025</v>
      </c>
      <c r="G436" s="145">
        <v>48736</v>
      </c>
    </row>
    <row r="437" spans="1:7" ht="30" x14ac:dyDescent="0.25">
      <c r="A437" s="136" t="s">
        <v>425</v>
      </c>
      <c r="B437" s="136">
        <v>50</v>
      </c>
      <c r="C437" s="145">
        <v>19809</v>
      </c>
      <c r="D437" s="136">
        <v>8</v>
      </c>
      <c r="E437" s="144">
        <v>2971</v>
      </c>
      <c r="F437" s="136">
        <v>448</v>
      </c>
      <c r="G437" s="145">
        <v>23286</v>
      </c>
    </row>
    <row r="438" spans="1:7" ht="30" x14ac:dyDescent="0.25">
      <c r="A438" s="136" t="s">
        <v>426</v>
      </c>
      <c r="B438" s="136">
        <v>3</v>
      </c>
      <c r="C438" s="145">
        <v>2383</v>
      </c>
      <c r="D438" s="136">
        <v>1</v>
      </c>
      <c r="E438">
        <v>492</v>
      </c>
      <c r="F438" s="136">
        <v>53</v>
      </c>
      <c r="G438" s="145">
        <v>2932</v>
      </c>
    </row>
    <row r="439" spans="1:7" ht="30" x14ac:dyDescent="0.25">
      <c r="A439" s="136" t="s">
        <v>427</v>
      </c>
      <c r="B439" s="136">
        <v>49</v>
      </c>
      <c r="C439" s="145">
        <v>16683</v>
      </c>
      <c r="D439" s="136">
        <v>5</v>
      </c>
      <c r="E439" s="144">
        <v>3202</v>
      </c>
      <c r="F439" s="136">
        <v>431</v>
      </c>
      <c r="G439" s="145">
        <v>20370</v>
      </c>
    </row>
    <row r="440" spans="1:7" x14ac:dyDescent="0.25">
      <c r="A440" s="136" t="s">
        <v>428</v>
      </c>
      <c r="B440" s="136">
        <v>6</v>
      </c>
      <c r="C440" s="145">
        <v>1653</v>
      </c>
      <c r="D440" s="136">
        <v>2</v>
      </c>
      <c r="E440">
        <v>321</v>
      </c>
      <c r="F440" s="136">
        <v>47</v>
      </c>
      <c r="G440" s="145">
        <v>2029</v>
      </c>
    </row>
    <row r="441" spans="1:7" ht="30" x14ac:dyDescent="0.25">
      <c r="A441" s="136" t="s">
        <v>429</v>
      </c>
      <c r="B441" s="136">
        <v>45</v>
      </c>
      <c r="C441" s="145">
        <v>17432</v>
      </c>
      <c r="D441" s="136">
        <v>5</v>
      </c>
      <c r="E441" s="144">
        <v>2147</v>
      </c>
      <c r="F441" s="136">
        <v>292</v>
      </c>
      <c r="G441" s="145">
        <v>19921</v>
      </c>
    </row>
    <row r="442" spans="1:7" x14ac:dyDescent="0.25">
      <c r="A442" s="136" t="s">
        <v>430</v>
      </c>
      <c r="B442" s="136">
        <v>420</v>
      </c>
      <c r="C442" s="145">
        <v>53928</v>
      </c>
      <c r="D442" s="136">
        <v>14</v>
      </c>
      <c r="E442" s="144">
        <v>10554</v>
      </c>
      <c r="F442" s="145">
        <v>1765</v>
      </c>
      <c r="G442" s="145">
        <v>66681</v>
      </c>
    </row>
    <row r="443" spans="1:7" x14ac:dyDescent="0.25">
      <c r="A443" s="136" t="s">
        <v>431</v>
      </c>
      <c r="B443" s="136">
        <v>22</v>
      </c>
      <c r="C443" s="145">
        <v>10410</v>
      </c>
      <c r="D443" s="136">
        <v>10</v>
      </c>
      <c r="E443" s="144">
        <v>1956</v>
      </c>
      <c r="F443" s="136">
        <v>255</v>
      </c>
      <c r="G443" s="145">
        <v>12653</v>
      </c>
    </row>
    <row r="444" spans="1:7" x14ac:dyDescent="0.25">
      <c r="A444" s="136" t="s">
        <v>432</v>
      </c>
      <c r="B444" s="136">
        <v>6</v>
      </c>
      <c r="C444" s="145">
        <v>2581</v>
      </c>
      <c r="E444" s="136">
        <v>416</v>
      </c>
      <c r="F444" s="136">
        <v>58</v>
      </c>
      <c r="G444" s="145">
        <v>3061</v>
      </c>
    </row>
    <row r="445" spans="1:7" x14ac:dyDescent="0.25">
      <c r="A445" s="136" t="s">
        <v>433</v>
      </c>
      <c r="B445" s="136">
        <v>7</v>
      </c>
      <c r="C445" s="145">
        <v>4977</v>
      </c>
      <c r="E445" s="145">
        <v>2219</v>
      </c>
      <c r="F445" s="136">
        <v>223</v>
      </c>
      <c r="G445" s="145">
        <v>7426</v>
      </c>
    </row>
    <row r="446" spans="1:7" x14ac:dyDescent="0.25">
      <c r="A446" s="136" t="s">
        <v>499</v>
      </c>
      <c r="B446" s="136">
        <v>56</v>
      </c>
      <c r="C446" s="145">
        <v>28379</v>
      </c>
      <c r="D446" s="136">
        <v>13</v>
      </c>
      <c r="E446" s="144">
        <v>7415</v>
      </c>
      <c r="F446" s="136">
        <v>772</v>
      </c>
      <c r="G446" s="145">
        <v>36635</v>
      </c>
    </row>
    <row r="447" spans="1:7" x14ac:dyDescent="0.25">
      <c r="A447" s="136"/>
      <c r="G447" s="142"/>
    </row>
    <row r="448" spans="1:7" x14ac:dyDescent="0.25">
      <c r="A448" s="136" t="s">
        <v>25</v>
      </c>
      <c r="B448" s="145">
        <f>SUM(B395:B447)</f>
        <v>2681</v>
      </c>
      <c r="C448" s="145">
        <f t="shared" ref="C448:G448" si="10">SUM(C395:C447)</f>
        <v>1018313</v>
      </c>
      <c r="D448" s="145">
        <f t="shared" si="10"/>
        <v>495</v>
      </c>
      <c r="E448" s="145">
        <f t="shared" si="10"/>
        <v>194353</v>
      </c>
      <c r="F448" s="145">
        <f t="shared" si="10"/>
        <v>25287</v>
      </c>
      <c r="G448" s="145">
        <f t="shared" si="10"/>
        <v>1241129</v>
      </c>
    </row>
    <row r="449" spans="1:7" x14ac:dyDescent="0.25">
      <c r="A449" s="136"/>
      <c r="B449" s="136"/>
      <c r="C449" s="136"/>
      <c r="D449" s="146"/>
      <c r="F449" s="146"/>
      <c r="G449" s="143"/>
    </row>
    <row r="454" spans="1:7" ht="45" x14ac:dyDescent="0.25">
      <c r="A454" s="136" t="s">
        <v>434</v>
      </c>
      <c r="B454" s="153"/>
      <c r="C454" s="153"/>
      <c r="D454" s="153"/>
      <c r="E454" s="153"/>
      <c r="F454" s="154"/>
    </row>
    <row r="455" spans="1:7" x14ac:dyDescent="0.25">
      <c r="A455" s="136"/>
      <c r="B455" s="136"/>
      <c r="C455" s="136"/>
      <c r="F455" s="142"/>
    </row>
    <row r="456" spans="1:7" ht="30" x14ac:dyDescent="0.25">
      <c r="A456" s="136"/>
      <c r="B456" s="136" t="s">
        <v>500</v>
      </c>
      <c r="C456" s="136"/>
      <c r="F456" s="142"/>
    </row>
    <row r="457" spans="1:7" x14ac:dyDescent="0.25">
      <c r="A457" s="136" t="s">
        <v>126</v>
      </c>
      <c r="B457" s="136" t="s">
        <v>479</v>
      </c>
      <c r="C457" s="136" t="s">
        <v>480</v>
      </c>
      <c r="D457" s="136" t="s">
        <v>481</v>
      </c>
      <c r="E457" s="136" t="s">
        <v>482</v>
      </c>
      <c r="F457" s="136" t="s">
        <v>483</v>
      </c>
      <c r="G457" s="136" t="s">
        <v>25</v>
      </c>
    </row>
    <row r="458" spans="1:7" x14ac:dyDescent="0.25">
      <c r="A458" s="136"/>
      <c r="B458" s="136"/>
      <c r="C458" s="136"/>
      <c r="G458" s="142"/>
    </row>
    <row r="459" spans="1:7" x14ac:dyDescent="0.25">
      <c r="A459" s="136" t="s">
        <v>435</v>
      </c>
      <c r="B459" s="136">
        <v>2</v>
      </c>
      <c r="C459" s="145">
        <v>1040</v>
      </c>
      <c r="D459" s="136">
        <v>1</v>
      </c>
      <c r="E459" s="136">
        <v>159</v>
      </c>
      <c r="F459" s="136">
        <v>13</v>
      </c>
      <c r="G459" s="145">
        <v>1215</v>
      </c>
    </row>
    <row r="460" spans="1:7" x14ac:dyDescent="0.25">
      <c r="A460" s="136" t="s">
        <v>436</v>
      </c>
      <c r="B460" s="136">
        <v>9</v>
      </c>
      <c r="C460" s="145">
        <v>2600</v>
      </c>
      <c r="D460" s="136">
        <v>2</v>
      </c>
      <c r="E460" s="136">
        <v>421</v>
      </c>
      <c r="F460" s="136">
        <v>81</v>
      </c>
      <c r="G460" s="145">
        <v>3113</v>
      </c>
    </row>
    <row r="461" spans="1:7" x14ac:dyDescent="0.25">
      <c r="A461" s="136" t="s">
        <v>437</v>
      </c>
      <c r="B461" s="136">
        <v>22</v>
      </c>
      <c r="C461" s="145">
        <v>8352</v>
      </c>
      <c r="D461" s="136">
        <v>8</v>
      </c>
      <c r="E461" s="145">
        <v>1465</v>
      </c>
      <c r="F461" s="136">
        <v>187</v>
      </c>
      <c r="G461" s="145">
        <v>10034</v>
      </c>
    </row>
    <row r="462" spans="1:7" ht="30" x14ac:dyDescent="0.25">
      <c r="A462" s="136" t="s">
        <v>438</v>
      </c>
      <c r="B462" s="136">
        <v>5</v>
      </c>
      <c r="C462" s="145">
        <v>1993</v>
      </c>
      <c r="D462" s="136">
        <v>1</v>
      </c>
      <c r="E462" s="136">
        <v>282</v>
      </c>
      <c r="F462" s="136">
        <v>48</v>
      </c>
      <c r="G462" s="145">
        <v>2329</v>
      </c>
    </row>
    <row r="463" spans="1:7" x14ac:dyDescent="0.25">
      <c r="A463" s="136" t="s">
        <v>439</v>
      </c>
      <c r="B463" s="136">
        <v>17</v>
      </c>
      <c r="C463" s="145">
        <v>3454</v>
      </c>
      <c r="D463" s="136">
        <v>5</v>
      </c>
      <c r="E463" s="136">
        <v>556</v>
      </c>
      <c r="F463" s="136">
        <v>66</v>
      </c>
      <c r="G463" s="145">
        <v>4098</v>
      </c>
    </row>
    <row r="464" spans="1:7" x14ac:dyDescent="0.25">
      <c r="A464" s="136" t="s">
        <v>440</v>
      </c>
      <c r="B464" s="136">
        <v>10</v>
      </c>
      <c r="C464" s="145">
        <v>3912</v>
      </c>
      <c r="D464" s="136">
        <v>2</v>
      </c>
      <c r="E464" s="136">
        <v>567</v>
      </c>
      <c r="F464" s="136">
        <v>98</v>
      </c>
      <c r="G464" s="145">
        <v>4589</v>
      </c>
    </row>
    <row r="465" spans="1:7" x14ac:dyDescent="0.25">
      <c r="A465" s="136" t="s">
        <v>441</v>
      </c>
      <c r="B465" s="136">
        <v>7</v>
      </c>
      <c r="C465" s="145">
        <v>1486</v>
      </c>
      <c r="D465" s="136">
        <v>1</v>
      </c>
      <c r="E465" s="136">
        <v>250</v>
      </c>
      <c r="F465" s="136">
        <v>24</v>
      </c>
      <c r="G465" s="145">
        <v>1768</v>
      </c>
    </row>
    <row r="466" spans="1:7" x14ac:dyDescent="0.25">
      <c r="A466" s="136" t="s">
        <v>442</v>
      </c>
      <c r="B466" s="136">
        <v>19</v>
      </c>
      <c r="C466" s="145">
        <v>4468</v>
      </c>
      <c r="D466" s="136">
        <v>2</v>
      </c>
      <c r="E466" s="136">
        <v>955</v>
      </c>
      <c r="F466" s="136">
        <v>104</v>
      </c>
      <c r="G466" s="145">
        <v>5548</v>
      </c>
    </row>
    <row r="467" spans="1:7" ht="30" x14ac:dyDescent="0.25">
      <c r="A467" s="136" t="s">
        <v>443</v>
      </c>
      <c r="B467" s="136">
        <v>12</v>
      </c>
      <c r="C467" s="145">
        <v>6294</v>
      </c>
      <c r="D467" s="136">
        <v>5</v>
      </c>
      <c r="E467" s="145">
        <v>1104</v>
      </c>
      <c r="F467" s="136">
        <v>155</v>
      </c>
      <c r="G467" s="145">
        <v>7570</v>
      </c>
    </row>
    <row r="468" spans="1:7" x14ac:dyDescent="0.25">
      <c r="A468" s="136" t="s">
        <v>444</v>
      </c>
      <c r="B468" s="136">
        <v>20</v>
      </c>
      <c r="C468" s="145">
        <v>6998</v>
      </c>
      <c r="D468" s="136">
        <v>11</v>
      </c>
      <c r="E468" s="145">
        <v>1159</v>
      </c>
      <c r="F468" s="136">
        <v>156</v>
      </c>
      <c r="G468" s="145">
        <v>8344</v>
      </c>
    </row>
    <row r="469" spans="1:7" ht="60" x14ac:dyDescent="0.25">
      <c r="A469" s="136" t="s">
        <v>503</v>
      </c>
      <c r="B469" s="136">
        <v>13</v>
      </c>
      <c r="C469" s="145">
        <v>3804</v>
      </c>
      <c r="D469" s="136">
        <v>1</v>
      </c>
      <c r="E469" s="136">
        <v>560</v>
      </c>
      <c r="F469" s="136">
        <v>88</v>
      </c>
      <c r="G469" s="145">
        <v>4466</v>
      </c>
    </row>
    <row r="470" spans="1:7" x14ac:dyDescent="0.25">
      <c r="A470" s="136" t="s">
        <v>446</v>
      </c>
      <c r="B470" s="136">
        <v>97</v>
      </c>
      <c r="C470" s="145">
        <v>27778</v>
      </c>
      <c r="D470" s="136">
        <v>29</v>
      </c>
      <c r="E470" s="145">
        <v>4913</v>
      </c>
      <c r="F470" s="136">
        <v>600</v>
      </c>
      <c r="G470" s="145">
        <v>33417</v>
      </c>
    </row>
    <row r="471" spans="1:7" x14ac:dyDescent="0.25">
      <c r="A471" s="136"/>
      <c r="G471" s="142"/>
    </row>
    <row r="472" spans="1:7" x14ac:dyDescent="0.25">
      <c r="A472" s="136" t="s">
        <v>25</v>
      </c>
      <c r="B472" s="136">
        <v>233</v>
      </c>
      <c r="C472" s="145">
        <v>72179</v>
      </c>
      <c r="D472" s="136">
        <v>68</v>
      </c>
      <c r="E472" s="145">
        <v>12391</v>
      </c>
      <c r="F472" s="145">
        <v>1620</v>
      </c>
      <c r="G472" s="145">
        <v>86491</v>
      </c>
    </row>
    <row r="473" spans="1:7" x14ac:dyDescent="0.25">
      <c r="A473" s="136"/>
      <c r="B473" s="136"/>
      <c r="C473" s="136"/>
      <c r="F473" s="142"/>
    </row>
    <row r="474" spans="1:7" x14ac:dyDescent="0.25">
      <c r="A474" s="136"/>
      <c r="B474" s="146"/>
      <c r="C474" s="146"/>
      <c r="D474" s="146"/>
      <c r="E474" s="146"/>
      <c r="F474" s="143"/>
    </row>
    <row r="478" spans="1:7" ht="45" x14ac:dyDescent="0.25">
      <c r="A478" s="136" t="s">
        <v>501</v>
      </c>
      <c r="B478" s="136" t="s">
        <v>502</v>
      </c>
      <c r="C478" s="136">
        <v>15</v>
      </c>
      <c r="D478" s="153"/>
      <c r="E478" s="153"/>
      <c r="F478" s="154"/>
    </row>
    <row r="479" spans="1:7" x14ac:dyDescent="0.25">
      <c r="A479" s="136"/>
      <c r="B479" s="136"/>
      <c r="C479" s="136"/>
      <c r="D479" s="136"/>
      <c r="F479" s="142"/>
    </row>
    <row r="480" spans="1:7" ht="30" x14ac:dyDescent="0.25">
      <c r="A480" s="136"/>
      <c r="B480" s="136"/>
      <c r="C480" s="136" t="s">
        <v>500</v>
      </c>
      <c r="D480" s="136"/>
      <c r="F480" s="142"/>
    </row>
    <row r="481" spans="1:7" x14ac:dyDescent="0.25">
      <c r="A481" s="136" t="s">
        <v>126</v>
      </c>
      <c r="B481" s="136" t="s">
        <v>479</v>
      </c>
      <c r="C481" s="136" t="s">
        <v>480</v>
      </c>
      <c r="D481" s="136" t="s">
        <v>481</v>
      </c>
      <c r="E481" s="136" t="s">
        <v>482</v>
      </c>
      <c r="F481" s="136" t="s">
        <v>483</v>
      </c>
      <c r="G481" s="136" t="s">
        <v>25</v>
      </c>
    </row>
    <row r="482" spans="1:7" x14ac:dyDescent="0.25">
      <c r="A482" s="136"/>
      <c r="B482" s="136"/>
      <c r="C482" s="136"/>
      <c r="G482" s="142"/>
    </row>
    <row r="483" spans="1:7" x14ac:dyDescent="0.25">
      <c r="A483" s="136" t="s">
        <v>447</v>
      </c>
      <c r="B483" s="136">
        <v>109</v>
      </c>
      <c r="C483" s="145">
        <v>34285</v>
      </c>
      <c r="D483" s="136">
        <v>16</v>
      </c>
      <c r="E483" s="145">
        <v>5811</v>
      </c>
      <c r="F483" s="136">
        <v>828</v>
      </c>
      <c r="G483" s="145">
        <v>41049</v>
      </c>
    </row>
    <row r="484" spans="1:7" ht="30" x14ac:dyDescent="0.25">
      <c r="A484" s="136" t="s">
        <v>448</v>
      </c>
      <c r="B484" s="136"/>
      <c r="C484" s="136">
        <v>75</v>
      </c>
      <c r="E484" s="136">
        <v>15</v>
      </c>
      <c r="F484" s="136">
        <v>1</v>
      </c>
      <c r="G484" s="136">
        <v>91</v>
      </c>
    </row>
    <row r="485" spans="1:7" ht="30" x14ac:dyDescent="0.25">
      <c r="A485" s="136" t="s">
        <v>449</v>
      </c>
      <c r="B485" s="136">
        <v>1</v>
      </c>
      <c r="C485" s="136">
        <v>62</v>
      </c>
      <c r="E485" s="136">
        <v>21</v>
      </c>
      <c r="G485" s="136">
        <v>84</v>
      </c>
    </row>
    <row r="486" spans="1:7" x14ac:dyDescent="0.25">
      <c r="A486" s="136" t="s">
        <v>450</v>
      </c>
      <c r="B486" s="136"/>
      <c r="C486" s="136">
        <v>218</v>
      </c>
      <c r="E486" s="136">
        <v>58</v>
      </c>
      <c r="F486" s="136">
        <v>8</v>
      </c>
      <c r="G486" s="136">
        <v>284</v>
      </c>
    </row>
    <row r="487" spans="1:7" x14ac:dyDescent="0.25">
      <c r="A487" s="136" t="s">
        <v>25</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6"/>
      <c r="E488" s="146"/>
      <c r="F488" s="143"/>
    </row>
    <row r="492" spans="1:7" ht="45" x14ac:dyDescent="0.25">
      <c r="A492" s="136" t="s">
        <v>501</v>
      </c>
      <c r="B492" s="136" t="s">
        <v>502</v>
      </c>
      <c r="C492" s="136">
        <v>16</v>
      </c>
      <c r="D492" s="153"/>
      <c r="E492" s="153"/>
      <c r="F492" s="154"/>
    </row>
    <row r="493" spans="1:7" x14ac:dyDescent="0.25">
      <c r="A493" s="136"/>
      <c r="B493" s="136"/>
      <c r="C493" s="136"/>
      <c r="D493" s="136"/>
      <c r="F493" s="142"/>
    </row>
    <row r="494" spans="1:7" ht="30" x14ac:dyDescent="0.25">
      <c r="A494" s="136"/>
      <c r="B494" s="136"/>
      <c r="C494" s="136" t="s">
        <v>500</v>
      </c>
      <c r="D494" s="136"/>
      <c r="F494" s="142"/>
    </row>
    <row r="495" spans="1:7" x14ac:dyDescent="0.25">
      <c r="A495" s="136" t="s">
        <v>126</v>
      </c>
      <c r="B495" s="136" t="s">
        <v>479</v>
      </c>
      <c r="C495" s="136" t="s">
        <v>480</v>
      </c>
      <c r="D495" s="136" t="s">
        <v>481</v>
      </c>
      <c r="E495" s="136" t="s">
        <v>482</v>
      </c>
      <c r="F495" s="136" t="s">
        <v>483</v>
      </c>
      <c r="G495" s="136" t="s">
        <v>25</v>
      </c>
    </row>
    <row r="496" spans="1:7" x14ac:dyDescent="0.25">
      <c r="A496" s="136"/>
      <c r="B496" s="136"/>
      <c r="C496" s="136"/>
      <c r="G496" s="142"/>
    </row>
    <row r="497" spans="1:7" x14ac:dyDescent="0.25">
      <c r="A497" s="136" t="s">
        <v>451</v>
      </c>
      <c r="B497" s="136">
        <v>13</v>
      </c>
      <c r="C497" s="145">
        <v>4610</v>
      </c>
      <c r="D497" s="136">
        <v>1</v>
      </c>
      <c r="E497" s="145">
        <v>1258</v>
      </c>
      <c r="F497" s="136">
        <v>132</v>
      </c>
      <c r="G497" s="145">
        <v>6014</v>
      </c>
    </row>
    <row r="498" spans="1:7" x14ac:dyDescent="0.25">
      <c r="A498" s="136" t="s">
        <v>452</v>
      </c>
      <c r="B498" s="136">
        <v>107</v>
      </c>
      <c r="C498" s="145">
        <v>35823</v>
      </c>
      <c r="D498" s="136">
        <v>9</v>
      </c>
      <c r="E498" s="145">
        <v>8805</v>
      </c>
      <c r="F498" s="136">
        <v>912</v>
      </c>
      <c r="G498" s="145">
        <v>45656</v>
      </c>
    </row>
    <row r="499" spans="1:7" ht="30" x14ac:dyDescent="0.25">
      <c r="A499" s="136" t="s">
        <v>453</v>
      </c>
      <c r="B499" s="136">
        <v>18</v>
      </c>
      <c r="C499" s="145">
        <v>4008</v>
      </c>
      <c r="E499" s="136">
        <v>891</v>
      </c>
      <c r="F499" s="136">
        <v>106</v>
      </c>
      <c r="G499" s="145">
        <v>5023</v>
      </c>
    </row>
    <row r="500" spans="1:7" ht="30" x14ac:dyDescent="0.25">
      <c r="A500" s="136" t="s">
        <v>454</v>
      </c>
      <c r="B500" s="136">
        <v>5</v>
      </c>
      <c r="C500" s="145">
        <v>1172</v>
      </c>
      <c r="E500" s="136">
        <v>277</v>
      </c>
      <c r="F500" s="136">
        <v>24</v>
      </c>
      <c r="G500" s="145">
        <v>1478</v>
      </c>
    </row>
    <row r="501" spans="1:7" x14ac:dyDescent="0.25">
      <c r="A501" s="136" t="s">
        <v>455</v>
      </c>
      <c r="B501" s="136">
        <v>5</v>
      </c>
      <c r="C501" s="145">
        <v>3897</v>
      </c>
      <c r="E501" s="136">
        <v>822</v>
      </c>
      <c r="F501" s="136">
        <v>74</v>
      </c>
      <c r="G501" s="145">
        <v>4798</v>
      </c>
    </row>
    <row r="502" spans="1:7" x14ac:dyDescent="0.25">
      <c r="A502" s="136" t="s">
        <v>456</v>
      </c>
      <c r="B502" s="136">
        <v>18</v>
      </c>
      <c r="C502" s="145">
        <v>4370</v>
      </c>
      <c r="D502" s="136">
        <v>1</v>
      </c>
      <c r="E502" s="145">
        <v>1431</v>
      </c>
      <c r="F502" s="136">
        <v>147</v>
      </c>
      <c r="G502" s="145">
        <v>5967</v>
      </c>
    </row>
    <row r="503" spans="1:7" x14ac:dyDescent="0.25">
      <c r="A503" s="136" t="s">
        <v>457</v>
      </c>
      <c r="B503" s="136">
        <v>10</v>
      </c>
      <c r="C503" s="145">
        <v>2703</v>
      </c>
      <c r="D503" s="136">
        <v>1</v>
      </c>
      <c r="E503" s="136">
        <v>848</v>
      </c>
      <c r="F503" s="136">
        <v>73</v>
      </c>
      <c r="G503" s="145">
        <v>3635</v>
      </c>
    </row>
    <row r="504" spans="1:7" x14ac:dyDescent="0.25">
      <c r="A504" s="136" t="s">
        <v>458</v>
      </c>
      <c r="B504" s="136">
        <v>3</v>
      </c>
      <c r="C504" s="145">
        <v>1384</v>
      </c>
      <c r="E504" s="136">
        <v>494</v>
      </c>
      <c r="F504" s="136">
        <v>28</v>
      </c>
      <c r="G504" s="145">
        <v>1909</v>
      </c>
    </row>
    <row r="505" spans="1:7" x14ac:dyDescent="0.25">
      <c r="A505" s="136" t="s">
        <v>459</v>
      </c>
      <c r="B505" s="136">
        <v>2</v>
      </c>
      <c r="C505" s="145">
        <v>1686</v>
      </c>
      <c r="E505" s="136">
        <v>551</v>
      </c>
      <c r="F505" s="136">
        <v>51</v>
      </c>
      <c r="G505" s="145">
        <v>2290</v>
      </c>
    </row>
    <row r="506" spans="1:7" x14ac:dyDescent="0.25">
      <c r="A506" s="136" t="s">
        <v>460</v>
      </c>
      <c r="B506" s="136">
        <v>5</v>
      </c>
      <c r="C506" s="145">
        <v>2316</v>
      </c>
      <c r="E506" s="136">
        <v>695</v>
      </c>
      <c r="F506" s="136">
        <v>81</v>
      </c>
      <c r="G506" s="145">
        <v>3097</v>
      </c>
    </row>
    <row r="507" spans="1:7" ht="30" x14ac:dyDescent="0.25">
      <c r="A507" s="136" t="s">
        <v>461</v>
      </c>
      <c r="B507" s="136">
        <v>4</v>
      </c>
      <c r="C507" s="145">
        <v>1278</v>
      </c>
      <c r="E507" s="136">
        <v>260</v>
      </c>
      <c r="F507" s="136">
        <v>26</v>
      </c>
      <c r="G507" s="145">
        <v>1568</v>
      </c>
    </row>
    <row r="508" spans="1:7" x14ac:dyDescent="0.25">
      <c r="A508" s="136" t="s">
        <v>462</v>
      </c>
      <c r="B508" s="136">
        <v>15</v>
      </c>
      <c r="C508" s="145">
        <v>4075</v>
      </c>
      <c r="D508" s="136">
        <v>3</v>
      </c>
      <c r="E508" s="136">
        <v>910</v>
      </c>
      <c r="F508" s="136">
        <v>132</v>
      </c>
      <c r="G508" s="145">
        <v>5135</v>
      </c>
    </row>
    <row r="509" spans="1:7" x14ac:dyDescent="0.25">
      <c r="A509" s="136" t="s">
        <v>463</v>
      </c>
      <c r="B509" s="136">
        <v>9</v>
      </c>
      <c r="C509" s="145">
        <v>2735</v>
      </c>
      <c r="E509" s="136">
        <v>605</v>
      </c>
      <c r="F509" s="136">
        <v>57</v>
      </c>
      <c r="G509" s="145">
        <v>3406</v>
      </c>
    </row>
    <row r="510" spans="1:7" x14ac:dyDescent="0.25">
      <c r="A510" s="136" t="s">
        <v>464</v>
      </c>
      <c r="B510" s="136">
        <v>4</v>
      </c>
      <c r="C510" s="145">
        <v>1532</v>
      </c>
      <c r="D510" s="136">
        <v>1</v>
      </c>
      <c r="E510" s="136">
        <v>322</v>
      </c>
      <c r="F510" s="136">
        <v>37</v>
      </c>
      <c r="G510" s="145">
        <v>1896</v>
      </c>
    </row>
    <row r="511" spans="1:7" ht="30" x14ac:dyDescent="0.25">
      <c r="A511" s="136" t="s">
        <v>465</v>
      </c>
      <c r="B511" s="136">
        <v>34</v>
      </c>
      <c r="C511" s="145">
        <v>11662</v>
      </c>
      <c r="D511" s="136">
        <v>6</v>
      </c>
      <c r="E511" s="145">
        <v>2801</v>
      </c>
      <c r="F511" s="136">
        <v>253</v>
      </c>
      <c r="G511" s="145">
        <v>14756</v>
      </c>
    </row>
    <row r="512" spans="1:7" ht="30" x14ac:dyDescent="0.25">
      <c r="A512" s="136" t="s">
        <v>466</v>
      </c>
      <c r="B512" s="136">
        <v>2</v>
      </c>
      <c r="C512" s="136">
        <v>915</v>
      </c>
      <c r="E512" s="136">
        <v>208</v>
      </c>
      <c r="F512" s="136">
        <v>24</v>
      </c>
      <c r="G512" s="145">
        <v>1149</v>
      </c>
    </row>
    <row r="513" spans="1:7" ht="30" x14ac:dyDescent="0.25">
      <c r="A513" s="136" t="s">
        <v>467</v>
      </c>
      <c r="B513" s="136">
        <v>16</v>
      </c>
      <c r="C513" s="145">
        <v>3685</v>
      </c>
      <c r="E513" s="145">
        <v>1109</v>
      </c>
      <c r="F513" s="136">
        <v>141</v>
      </c>
      <c r="G513" s="145">
        <v>4951</v>
      </c>
    </row>
    <row r="514" spans="1:7" ht="30" x14ac:dyDescent="0.25">
      <c r="A514" s="136" t="s">
        <v>468</v>
      </c>
      <c r="B514" s="136">
        <v>10</v>
      </c>
      <c r="C514" s="145">
        <v>2256</v>
      </c>
      <c r="D514" s="136">
        <v>1</v>
      </c>
      <c r="E514" s="136">
        <v>614</v>
      </c>
      <c r="F514" s="136">
        <v>62</v>
      </c>
      <c r="G514" s="145">
        <v>2943</v>
      </c>
    </row>
    <row r="515" spans="1:7" x14ac:dyDescent="0.25">
      <c r="A515" s="136" t="s">
        <v>469</v>
      </c>
      <c r="B515" s="136">
        <v>5</v>
      </c>
      <c r="C515" s="145">
        <v>1271</v>
      </c>
      <c r="D515" s="136">
        <v>1</v>
      </c>
      <c r="E515" s="136">
        <v>240</v>
      </c>
      <c r="F515" s="136">
        <v>33</v>
      </c>
      <c r="G515" s="145">
        <v>1550</v>
      </c>
    </row>
    <row r="516" spans="1:7" x14ac:dyDescent="0.25">
      <c r="A516" s="136" t="s">
        <v>470</v>
      </c>
      <c r="B516" s="136">
        <v>11</v>
      </c>
      <c r="C516" s="145">
        <v>3744</v>
      </c>
      <c r="E516" s="136">
        <v>854</v>
      </c>
      <c r="F516" s="136">
        <v>95</v>
      </c>
      <c r="G516" s="145">
        <v>4704</v>
      </c>
    </row>
    <row r="517" spans="1:7" x14ac:dyDescent="0.25">
      <c r="A517" s="136" t="s">
        <v>471</v>
      </c>
      <c r="B517" s="136">
        <v>3</v>
      </c>
      <c r="C517" s="145">
        <v>2785</v>
      </c>
      <c r="D517" s="136">
        <v>1</v>
      </c>
      <c r="E517" s="136">
        <v>811</v>
      </c>
      <c r="F517" s="136">
        <v>75</v>
      </c>
      <c r="G517" s="145">
        <v>3675</v>
      </c>
    </row>
    <row r="518" spans="1:7" x14ac:dyDescent="0.25">
      <c r="A518" s="136" t="s">
        <v>25</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6"/>
      <c r="E519" s="146"/>
      <c r="F519" s="146"/>
      <c r="G519" s="14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 workbookViewId="1"/>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67</v>
      </c>
      <c r="G2" s="92"/>
      <c r="J2" s="7"/>
    </row>
    <row r="3" spans="1:18" ht="23.25" x14ac:dyDescent="0.25">
      <c r="B3" s="1"/>
      <c r="G3" s="92"/>
      <c r="J3" s="7"/>
    </row>
    <row r="4" spans="1:18" ht="41.25" customHeight="1" x14ac:dyDescent="0.25">
      <c r="B4" s="542" t="s">
        <v>534</v>
      </c>
      <c r="C4" s="542"/>
      <c r="D4" s="542"/>
      <c r="E4" s="542"/>
      <c r="F4" s="542"/>
      <c r="G4" s="92"/>
      <c r="H4" s="542" t="s">
        <v>535</v>
      </c>
      <c r="I4" s="542"/>
      <c r="J4" s="542"/>
      <c r="K4" s="542"/>
      <c r="L4" s="542"/>
      <c r="N4" s="542" t="s">
        <v>536</v>
      </c>
      <c r="O4" s="542"/>
      <c r="P4" s="542"/>
      <c r="Q4" s="542"/>
      <c r="R4" s="542"/>
    </row>
    <row r="5" spans="1:18" x14ac:dyDescent="0.25">
      <c r="B5" s="3" t="s">
        <v>504</v>
      </c>
      <c r="C5" s="9"/>
      <c r="D5" s="9"/>
      <c r="E5" s="9"/>
      <c r="F5" s="9"/>
      <c r="H5" s="3" t="s">
        <v>504</v>
      </c>
      <c r="I5" s="9"/>
      <c r="J5" s="9"/>
      <c r="K5" s="9"/>
      <c r="L5" s="9"/>
      <c r="N5" s="3" t="s">
        <v>504</v>
      </c>
      <c r="O5" s="9"/>
      <c r="P5" s="9"/>
      <c r="Q5" s="9"/>
      <c r="R5" s="9"/>
    </row>
    <row r="6" spans="1:18" x14ac:dyDescent="0.25">
      <c r="B6" s="3"/>
      <c r="C6" s="9"/>
      <c r="D6" s="9"/>
      <c r="E6" s="9"/>
      <c r="F6" s="9"/>
      <c r="H6" s="15"/>
      <c r="I6" s="9"/>
      <c r="J6" s="9"/>
      <c r="K6" s="9"/>
      <c r="L6" s="9"/>
      <c r="N6" s="15"/>
      <c r="O6" s="9"/>
      <c r="P6" s="9"/>
      <c r="Q6" s="9"/>
      <c r="R6" s="9"/>
    </row>
    <row r="7" spans="1:18" x14ac:dyDescent="0.25">
      <c r="B7" s="543" t="s">
        <v>72</v>
      </c>
      <c r="C7" s="192" t="s">
        <v>472</v>
      </c>
      <c r="D7" s="192" t="s">
        <v>73</v>
      </c>
      <c r="E7" s="192" t="s">
        <v>74</v>
      </c>
      <c r="F7" s="147" t="s">
        <v>75</v>
      </c>
      <c r="H7" s="543" t="s">
        <v>72</v>
      </c>
      <c r="I7" s="192" t="s">
        <v>472</v>
      </c>
      <c r="J7" s="192" t="s">
        <v>73</v>
      </c>
      <c r="K7" s="192" t="s">
        <v>74</v>
      </c>
      <c r="L7" s="147" t="s">
        <v>75</v>
      </c>
      <c r="N7" s="543" t="s">
        <v>72</v>
      </c>
      <c r="O7" s="192" t="s">
        <v>472</v>
      </c>
      <c r="P7" s="192" t="s">
        <v>73</v>
      </c>
      <c r="Q7" s="192" t="s">
        <v>74</v>
      </c>
      <c r="R7" s="147" t="s">
        <v>75</v>
      </c>
    </row>
    <row r="8" spans="1:18" x14ac:dyDescent="0.25">
      <c r="B8" s="543"/>
      <c r="C8" s="149">
        <v>44835</v>
      </c>
      <c r="D8" s="87">
        <v>26497</v>
      </c>
      <c r="E8" s="87">
        <v>23095</v>
      </c>
      <c r="F8" s="150">
        <f t="shared" ref="F8:F10" si="0">SUM(D8:E8)</f>
        <v>49592</v>
      </c>
      <c r="H8" s="543"/>
      <c r="I8" s="149">
        <v>44835</v>
      </c>
      <c r="J8" s="87">
        <v>18824</v>
      </c>
      <c r="K8" s="87">
        <v>15337</v>
      </c>
      <c r="L8" s="150">
        <f t="shared" ref="L8:L11" si="1">SUM(J8:K8)</f>
        <v>34161</v>
      </c>
      <c r="N8" s="543"/>
      <c r="O8" s="149">
        <v>44835</v>
      </c>
      <c r="P8" s="87">
        <v>4420</v>
      </c>
      <c r="Q8" s="87">
        <v>4711</v>
      </c>
      <c r="R8" s="150">
        <f t="shared" ref="R8:R11" si="2">SUM(P8:Q8)</f>
        <v>9131</v>
      </c>
    </row>
    <row r="9" spans="1:18" x14ac:dyDescent="0.25">
      <c r="B9" s="543"/>
      <c r="C9" s="149">
        <v>44866</v>
      </c>
      <c r="D9" s="87">
        <v>25410</v>
      </c>
      <c r="E9" s="87">
        <v>22601</v>
      </c>
      <c r="F9" s="150">
        <f t="shared" si="0"/>
        <v>48011</v>
      </c>
      <c r="H9" s="543"/>
      <c r="I9" s="149">
        <v>44866</v>
      </c>
      <c r="J9" s="87">
        <v>12715</v>
      </c>
      <c r="K9" s="87">
        <v>11825</v>
      </c>
      <c r="L9" s="150">
        <f t="shared" si="1"/>
        <v>24540</v>
      </c>
      <c r="N9" s="543"/>
      <c r="O9" s="149">
        <v>44866</v>
      </c>
      <c r="P9" s="87">
        <v>3462</v>
      </c>
      <c r="Q9" s="87">
        <v>4015</v>
      </c>
      <c r="R9" s="150">
        <f t="shared" si="2"/>
        <v>7477</v>
      </c>
    </row>
    <row r="10" spans="1:18" x14ac:dyDescent="0.25">
      <c r="B10" s="543"/>
      <c r="C10" s="149">
        <v>44896</v>
      </c>
      <c r="D10" s="87">
        <v>20337</v>
      </c>
      <c r="E10" s="87">
        <v>18577</v>
      </c>
      <c r="F10" s="150">
        <f t="shared" si="0"/>
        <v>38914</v>
      </c>
      <c r="H10" s="543"/>
      <c r="I10" s="149">
        <v>44896</v>
      </c>
      <c r="J10" s="87">
        <v>6609</v>
      </c>
      <c r="K10" s="87">
        <v>5547</v>
      </c>
      <c r="L10" s="150">
        <f t="shared" si="1"/>
        <v>12156</v>
      </c>
      <c r="N10" s="543"/>
      <c r="O10" s="149">
        <v>44896</v>
      </c>
      <c r="P10" s="87">
        <v>19</v>
      </c>
      <c r="Q10" s="87">
        <v>29</v>
      </c>
      <c r="R10" s="150">
        <f t="shared" si="2"/>
        <v>48</v>
      </c>
    </row>
    <row r="11" spans="1:18" x14ac:dyDescent="0.25">
      <c r="B11" s="543"/>
      <c r="C11" s="148" t="s">
        <v>473</v>
      </c>
      <c r="D11" s="87">
        <f>SUM(D8:D10)</f>
        <v>72244</v>
      </c>
      <c r="E11" s="87">
        <f>SUM(E8:E10)</f>
        <v>64273</v>
      </c>
      <c r="F11" s="150">
        <f>SUM(D11:E11)</f>
        <v>136517</v>
      </c>
      <c r="H11" s="543"/>
      <c r="I11" s="148" t="s">
        <v>473</v>
      </c>
      <c r="J11" s="87">
        <f>SUM(J8:J10)</f>
        <v>38148</v>
      </c>
      <c r="K11" s="87">
        <f>SUM(K8:K10)</f>
        <v>32709</v>
      </c>
      <c r="L11" s="150">
        <f t="shared" si="1"/>
        <v>70857</v>
      </c>
      <c r="N11" s="543"/>
      <c r="O11" s="148" t="s">
        <v>473</v>
      </c>
      <c r="P11" s="87">
        <f>SUM(P8:P10)</f>
        <v>7901</v>
      </c>
      <c r="Q11" s="87">
        <f>SUM(Q8:Q10)</f>
        <v>8755</v>
      </c>
      <c r="R11" s="150">
        <f t="shared" si="2"/>
        <v>16656</v>
      </c>
    </row>
    <row r="15" spans="1:18" ht="39" customHeight="1" x14ac:dyDescent="0.25">
      <c r="B15" s="542" t="s">
        <v>68</v>
      </c>
      <c r="C15" s="542"/>
      <c r="D15" s="542"/>
      <c r="E15" s="542"/>
      <c r="F15" s="542"/>
      <c r="G15" s="9"/>
      <c r="H15" s="542" t="s">
        <v>69</v>
      </c>
      <c r="I15" s="542"/>
      <c r="J15" s="542"/>
      <c r="K15" s="542"/>
      <c r="L15" s="542"/>
      <c r="N15" s="542" t="s">
        <v>70</v>
      </c>
      <c r="O15" s="542"/>
      <c r="P15" s="542"/>
      <c r="Q15" s="542"/>
      <c r="R15" s="542"/>
    </row>
    <row r="16" spans="1:18" x14ac:dyDescent="0.25">
      <c r="A16" s="10"/>
      <c r="B16" s="3" t="s">
        <v>71</v>
      </c>
      <c r="C16" s="9"/>
      <c r="D16" s="9"/>
      <c r="E16" s="9"/>
      <c r="F16" s="9"/>
      <c r="G16" s="10"/>
      <c r="H16" s="15" t="s">
        <v>71</v>
      </c>
      <c r="I16" s="9"/>
      <c r="J16" s="9"/>
      <c r="K16" s="9"/>
      <c r="L16" s="9"/>
      <c r="N16" s="15" t="s">
        <v>71</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545" t="s">
        <v>72</v>
      </c>
      <c r="C18" s="94" t="s">
        <v>57</v>
      </c>
      <c r="D18" s="95" t="s">
        <v>73</v>
      </c>
      <c r="E18" s="96" t="s">
        <v>74</v>
      </c>
      <c r="F18" s="97" t="s">
        <v>75</v>
      </c>
      <c r="G18" s="10"/>
      <c r="H18" s="545" t="s">
        <v>72</v>
      </c>
      <c r="I18" s="98" t="s">
        <v>57</v>
      </c>
      <c r="J18" s="95" t="s">
        <v>73</v>
      </c>
      <c r="K18" s="96" t="s">
        <v>74</v>
      </c>
      <c r="L18" s="97" t="s">
        <v>75</v>
      </c>
      <c r="N18" s="545" t="s">
        <v>72</v>
      </c>
      <c r="O18" s="99" t="s">
        <v>57</v>
      </c>
      <c r="P18" s="100" t="s">
        <v>73</v>
      </c>
      <c r="Q18" s="101" t="s">
        <v>74</v>
      </c>
      <c r="R18" s="102" t="s">
        <v>75</v>
      </c>
    </row>
    <row r="19" spans="1:18" x14ac:dyDescent="0.25">
      <c r="B19" s="546"/>
      <c r="C19" s="103">
        <v>2008</v>
      </c>
      <c r="D19" s="104">
        <v>107640</v>
      </c>
      <c r="E19" s="105">
        <v>31722</v>
      </c>
      <c r="F19" s="106">
        <f t="shared" ref="F19:F25" si="3">SUM(D19:E19)</f>
        <v>139362</v>
      </c>
      <c r="G19" s="10"/>
      <c r="H19" s="546"/>
      <c r="I19" s="107">
        <v>2008</v>
      </c>
      <c r="J19" s="104">
        <v>88629</v>
      </c>
      <c r="K19" s="105">
        <v>26452</v>
      </c>
      <c r="L19" s="106">
        <f>SUM(J19:K19)</f>
        <v>115081</v>
      </c>
      <c r="N19" s="546"/>
      <c r="O19" s="108">
        <v>2008</v>
      </c>
      <c r="P19" s="109">
        <v>18804</v>
      </c>
      <c r="Q19" s="110">
        <v>5186</v>
      </c>
      <c r="R19" s="111">
        <v>23990</v>
      </c>
    </row>
    <row r="20" spans="1:18" x14ac:dyDescent="0.25">
      <c r="B20" s="546"/>
      <c r="C20" s="112">
        <v>2009</v>
      </c>
      <c r="D20" s="113">
        <v>256079</v>
      </c>
      <c r="E20" s="114">
        <v>148361</v>
      </c>
      <c r="F20" s="115">
        <f t="shared" si="3"/>
        <v>404440</v>
      </c>
      <c r="G20" s="10"/>
      <c r="H20" s="546"/>
      <c r="I20" s="116">
        <v>2009</v>
      </c>
      <c r="J20" s="113">
        <v>225147</v>
      </c>
      <c r="K20" s="114">
        <v>140811</v>
      </c>
      <c r="L20" s="115">
        <f t="shared" ref="L20:L32" si="4">SUM(J20:K20)</f>
        <v>365958</v>
      </c>
      <c r="N20" s="546"/>
      <c r="O20" s="116">
        <v>2009</v>
      </c>
      <c r="P20" s="113">
        <v>30542</v>
      </c>
      <c r="Q20" s="117">
        <v>7415</v>
      </c>
      <c r="R20" s="115">
        <v>37957</v>
      </c>
    </row>
    <row r="21" spans="1:18" x14ac:dyDescent="0.25">
      <c r="B21" s="546"/>
      <c r="C21" s="112">
        <v>2010</v>
      </c>
      <c r="D21" s="113">
        <v>152798</v>
      </c>
      <c r="E21" s="114">
        <v>92877</v>
      </c>
      <c r="F21" s="115">
        <f t="shared" si="3"/>
        <v>245675</v>
      </c>
      <c r="G21" s="10"/>
      <c r="H21" s="546"/>
      <c r="I21" s="116">
        <v>2010</v>
      </c>
      <c r="J21" s="113">
        <v>119671</v>
      </c>
      <c r="K21" s="114">
        <v>77499</v>
      </c>
      <c r="L21" s="115">
        <f t="shared" si="4"/>
        <v>197170</v>
      </c>
      <c r="N21" s="546"/>
      <c r="O21" s="116">
        <v>2010</v>
      </c>
      <c r="P21" s="113">
        <v>32361</v>
      </c>
      <c r="Q21" s="117">
        <v>14916</v>
      </c>
      <c r="R21" s="115">
        <v>47277</v>
      </c>
    </row>
    <row r="22" spans="1:18" x14ac:dyDescent="0.25">
      <c r="B22" s="546"/>
      <c r="C22" s="112">
        <v>2011</v>
      </c>
      <c r="D22" s="113">
        <v>123376</v>
      </c>
      <c r="E22" s="114">
        <v>71415</v>
      </c>
      <c r="F22" s="115">
        <f t="shared" si="3"/>
        <v>194791</v>
      </c>
      <c r="G22" s="10"/>
      <c r="H22" s="546"/>
      <c r="I22" s="116">
        <v>2011</v>
      </c>
      <c r="J22" s="113">
        <v>84838</v>
      </c>
      <c r="K22" s="114">
        <v>54466</v>
      </c>
      <c r="L22" s="115">
        <f t="shared" si="4"/>
        <v>139304</v>
      </c>
      <c r="N22" s="546"/>
      <c r="O22" s="116">
        <v>2011</v>
      </c>
      <c r="P22" s="113">
        <v>37699</v>
      </c>
      <c r="Q22" s="117">
        <v>16497</v>
      </c>
      <c r="R22" s="115">
        <v>54196</v>
      </c>
    </row>
    <row r="23" spans="1:18" x14ac:dyDescent="0.25">
      <c r="B23" s="546"/>
      <c r="C23" s="112">
        <v>2012</v>
      </c>
      <c r="D23" s="113">
        <v>118771</v>
      </c>
      <c r="E23" s="114">
        <v>73499</v>
      </c>
      <c r="F23" s="115">
        <f t="shared" si="3"/>
        <v>192270</v>
      </c>
      <c r="G23" s="10"/>
      <c r="H23" s="546"/>
      <c r="I23" s="116">
        <v>2012</v>
      </c>
      <c r="J23" s="113">
        <v>95751</v>
      </c>
      <c r="K23" s="114">
        <v>64376</v>
      </c>
      <c r="L23" s="115">
        <f t="shared" si="4"/>
        <v>160127</v>
      </c>
      <c r="N23" s="546"/>
      <c r="O23" s="116">
        <v>2012</v>
      </c>
      <c r="P23" s="113">
        <v>22288</v>
      </c>
      <c r="Q23" s="117">
        <v>8812</v>
      </c>
      <c r="R23" s="115">
        <v>31100</v>
      </c>
    </row>
    <row r="24" spans="1:18" x14ac:dyDescent="0.25">
      <c r="B24" s="546"/>
      <c r="C24" s="112">
        <v>2013</v>
      </c>
      <c r="D24" s="113">
        <v>82046</v>
      </c>
      <c r="E24" s="114">
        <v>51988</v>
      </c>
      <c r="F24" s="115">
        <f t="shared" si="3"/>
        <v>134034</v>
      </c>
      <c r="G24" s="10"/>
      <c r="H24" s="546"/>
      <c r="I24" s="116">
        <v>2013</v>
      </c>
      <c r="J24" s="113">
        <v>65748</v>
      </c>
      <c r="K24" s="114">
        <v>44360</v>
      </c>
      <c r="L24" s="115">
        <f t="shared" si="4"/>
        <v>110108</v>
      </c>
      <c r="N24" s="546"/>
      <c r="O24" s="116">
        <v>2013</v>
      </c>
      <c r="P24" s="113">
        <v>15792</v>
      </c>
      <c r="Q24" s="117">
        <v>7374</v>
      </c>
      <c r="R24" s="115">
        <v>23166</v>
      </c>
    </row>
    <row r="25" spans="1:18" x14ac:dyDescent="0.25">
      <c r="B25" s="546"/>
      <c r="C25" s="112">
        <v>2014</v>
      </c>
      <c r="D25" s="113">
        <v>92858</v>
      </c>
      <c r="E25" s="114">
        <v>58706</v>
      </c>
      <c r="F25" s="115">
        <f t="shared" si="3"/>
        <v>151564</v>
      </c>
      <c r="G25" s="10"/>
      <c r="H25" s="546"/>
      <c r="I25" s="116">
        <v>2014</v>
      </c>
      <c r="J25" s="113">
        <v>70004</v>
      </c>
      <c r="K25" s="114">
        <v>47881</v>
      </c>
      <c r="L25" s="115">
        <f t="shared" si="4"/>
        <v>117885</v>
      </c>
      <c r="N25" s="546"/>
      <c r="O25" s="116">
        <v>2014</v>
      </c>
      <c r="P25" s="113">
        <v>22698</v>
      </c>
      <c r="Q25" s="117">
        <v>10710</v>
      </c>
      <c r="R25" s="115">
        <v>33408</v>
      </c>
    </row>
    <row r="26" spans="1:18" x14ac:dyDescent="0.25">
      <c r="B26" s="546"/>
      <c r="C26" s="112">
        <v>2015</v>
      </c>
      <c r="D26" s="113">
        <v>86238</v>
      </c>
      <c r="E26" s="114">
        <v>54740</v>
      </c>
      <c r="F26" s="115">
        <f>SUM(D26:E26)</f>
        <v>140978</v>
      </c>
      <c r="G26" s="10"/>
      <c r="H26" s="546"/>
      <c r="I26" s="116">
        <v>2015</v>
      </c>
      <c r="J26" s="113">
        <v>65990</v>
      </c>
      <c r="K26" s="114">
        <v>45355</v>
      </c>
      <c r="L26" s="115">
        <f t="shared" si="4"/>
        <v>111345</v>
      </c>
      <c r="N26" s="546"/>
      <c r="O26" s="116">
        <v>2015</v>
      </c>
      <c r="P26" s="113">
        <v>20102</v>
      </c>
      <c r="Q26" s="117">
        <v>9307</v>
      </c>
      <c r="R26" s="115">
        <v>29409</v>
      </c>
    </row>
    <row r="27" spans="1:18" x14ac:dyDescent="0.25">
      <c r="B27" s="546"/>
      <c r="C27" s="112">
        <v>2016</v>
      </c>
      <c r="D27" s="113">
        <v>86383</v>
      </c>
      <c r="E27" s="114">
        <v>52405</v>
      </c>
      <c r="F27" s="115">
        <f t="shared" ref="F27:F33" si="5">SUM(D27:E27)</f>
        <v>138788</v>
      </c>
      <c r="G27" s="10"/>
      <c r="H27" s="546"/>
      <c r="I27" s="116">
        <v>2016</v>
      </c>
      <c r="J27" s="113">
        <v>64506</v>
      </c>
      <c r="K27" s="114">
        <v>42193</v>
      </c>
      <c r="L27" s="115">
        <f t="shared" si="4"/>
        <v>106699</v>
      </c>
      <c r="N27" s="546"/>
      <c r="O27" s="116">
        <v>2016</v>
      </c>
      <c r="P27" s="113">
        <v>21719</v>
      </c>
      <c r="Q27" s="117">
        <v>10118</v>
      </c>
      <c r="R27" s="115">
        <v>31837</v>
      </c>
    </row>
    <row r="28" spans="1:18" x14ac:dyDescent="0.25">
      <c r="B28" s="546"/>
      <c r="C28" s="112">
        <v>2017</v>
      </c>
      <c r="D28" s="113">
        <v>95362</v>
      </c>
      <c r="E28" s="114">
        <v>61704</v>
      </c>
      <c r="F28" s="115">
        <f t="shared" si="5"/>
        <v>157066</v>
      </c>
      <c r="G28" s="10"/>
      <c r="H28" s="546"/>
      <c r="I28" s="116">
        <v>2017</v>
      </c>
      <c r="J28" s="113">
        <v>72374</v>
      </c>
      <c r="K28" s="114">
        <v>50736</v>
      </c>
      <c r="L28" s="115">
        <f t="shared" si="4"/>
        <v>123110</v>
      </c>
      <c r="N28" s="546"/>
      <c r="O28" s="116">
        <v>2017</v>
      </c>
      <c r="P28" s="113">
        <v>22804</v>
      </c>
      <c r="Q28" s="117">
        <v>10855</v>
      </c>
      <c r="R28" s="115">
        <v>33659</v>
      </c>
    </row>
    <row r="29" spans="1:18" x14ac:dyDescent="0.25">
      <c r="B29" s="546"/>
      <c r="C29" s="112">
        <v>2018</v>
      </c>
      <c r="D29" s="113">
        <v>107375</v>
      </c>
      <c r="E29" s="114">
        <v>71026</v>
      </c>
      <c r="F29" s="115">
        <f t="shared" si="5"/>
        <v>178401</v>
      </c>
      <c r="G29" s="10"/>
      <c r="H29" s="546"/>
      <c r="I29" s="116">
        <v>2018</v>
      </c>
      <c r="J29" s="113">
        <v>91770</v>
      </c>
      <c r="K29" s="114">
        <v>65379</v>
      </c>
      <c r="L29" s="115">
        <f t="shared" si="4"/>
        <v>157149</v>
      </c>
      <c r="N29" s="546"/>
      <c r="O29" s="116">
        <v>2018</v>
      </c>
      <c r="P29" s="113">
        <v>15382</v>
      </c>
      <c r="Q29" s="117">
        <v>5540</v>
      </c>
      <c r="R29" s="115">
        <v>20922</v>
      </c>
    </row>
    <row r="30" spans="1:18" x14ac:dyDescent="0.25">
      <c r="B30" s="546"/>
      <c r="C30" s="112">
        <v>2019</v>
      </c>
      <c r="D30" s="113">
        <v>98722</v>
      </c>
      <c r="E30" s="114">
        <v>66590</v>
      </c>
      <c r="F30" s="115">
        <f t="shared" si="5"/>
        <v>165312</v>
      </c>
      <c r="G30" s="10"/>
      <c r="H30" s="546"/>
      <c r="I30" s="116">
        <v>2019</v>
      </c>
      <c r="J30" s="113">
        <v>83709</v>
      </c>
      <c r="K30" s="114">
        <v>61500</v>
      </c>
      <c r="L30" s="115">
        <f t="shared" si="4"/>
        <v>145209</v>
      </c>
      <c r="N30" s="546"/>
      <c r="O30" s="116">
        <v>2019</v>
      </c>
      <c r="P30" s="113">
        <v>14748</v>
      </c>
      <c r="Q30" s="117">
        <v>4976</v>
      </c>
      <c r="R30" s="115">
        <v>19724</v>
      </c>
    </row>
    <row r="31" spans="1:18" x14ac:dyDescent="0.25">
      <c r="B31" s="546"/>
      <c r="C31" s="112">
        <v>2020</v>
      </c>
      <c r="D31" s="113">
        <v>126382</v>
      </c>
      <c r="E31" s="114">
        <v>93427</v>
      </c>
      <c r="F31" s="115">
        <f t="shared" si="5"/>
        <v>219809</v>
      </c>
      <c r="G31" s="10"/>
      <c r="H31" s="546"/>
      <c r="I31" s="116">
        <v>2020</v>
      </c>
      <c r="J31" s="113">
        <v>107846</v>
      </c>
      <c r="K31" s="114">
        <v>85846</v>
      </c>
      <c r="L31" s="115">
        <f t="shared" si="4"/>
        <v>193692</v>
      </c>
      <c r="N31" s="546"/>
      <c r="O31" s="116">
        <v>2020</v>
      </c>
      <c r="P31" s="113">
        <v>18220</v>
      </c>
      <c r="Q31" s="117">
        <v>7384</v>
      </c>
      <c r="R31" s="115">
        <v>25604</v>
      </c>
    </row>
    <row r="32" spans="1:18" x14ac:dyDescent="0.25">
      <c r="B32" s="546"/>
      <c r="C32" s="112">
        <v>2021</v>
      </c>
      <c r="D32" s="113">
        <v>165351</v>
      </c>
      <c r="E32" s="114">
        <v>114859</v>
      </c>
      <c r="F32" s="115">
        <f t="shared" si="5"/>
        <v>280210</v>
      </c>
      <c r="G32" s="10"/>
      <c r="H32" s="546"/>
      <c r="I32" s="116">
        <v>2021</v>
      </c>
      <c r="J32" s="113">
        <v>133904</v>
      </c>
      <c r="K32" s="114">
        <v>103140</v>
      </c>
      <c r="L32" s="115">
        <f t="shared" si="4"/>
        <v>237044</v>
      </c>
      <c r="N32" s="546"/>
      <c r="O32" s="116">
        <v>2021</v>
      </c>
      <c r="P32" s="113">
        <v>30908</v>
      </c>
      <c r="Q32" s="117">
        <v>11467</v>
      </c>
      <c r="R32" s="115">
        <v>42375</v>
      </c>
    </row>
    <row r="33" spans="1:23" ht="15.75" thickBot="1" x14ac:dyDescent="0.3">
      <c r="B33" s="546"/>
      <c r="C33" s="118">
        <v>2022</v>
      </c>
      <c r="D33" s="119">
        <v>331479</v>
      </c>
      <c r="E33" s="120">
        <v>322108</v>
      </c>
      <c r="F33" s="121">
        <f t="shared" si="5"/>
        <v>653587</v>
      </c>
      <c r="G33" s="10"/>
      <c r="H33" s="546"/>
      <c r="I33" s="122">
        <v>2022</v>
      </c>
      <c r="J33" s="119">
        <v>242068</v>
      </c>
      <c r="K33" s="120">
        <v>240971</v>
      </c>
      <c r="L33" s="121">
        <f>SUM(J33:K33)</f>
        <v>483039</v>
      </c>
      <c r="N33" s="546"/>
      <c r="O33" s="116">
        <v>2022</v>
      </c>
      <c r="P33" s="113">
        <v>50840</v>
      </c>
      <c r="Q33" s="117">
        <v>52551</v>
      </c>
      <c r="R33" s="115">
        <v>103391</v>
      </c>
    </row>
    <row r="34" spans="1:23" ht="15.75" thickBot="1" x14ac:dyDescent="0.3">
      <c r="A34" s="123"/>
      <c r="B34" s="547"/>
      <c r="C34" s="122" t="s">
        <v>25</v>
      </c>
      <c r="D34" s="119">
        <f>SUM(D19:D33)</f>
        <v>2030860</v>
      </c>
      <c r="E34" s="124">
        <f>SUM(E19:E33)</f>
        <v>1365427</v>
      </c>
      <c r="F34" s="121">
        <f t="shared" ref="F34" si="6">SUM(F19:F33)</f>
        <v>3396287</v>
      </c>
      <c r="G34" s="10"/>
      <c r="H34" s="547"/>
      <c r="I34" s="122" t="s">
        <v>25</v>
      </c>
      <c r="J34" s="119">
        <f>SUM(J19:J33)</f>
        <v>1611955</v>
      </c>
      <c r="K34" s="124">
        <f>SUM(K19:K33)</f>
        <v>1150965</v>
      </c>
      <c r="L34" s="121">
        <f t="shared" ref="L34" si="7">SUM(L19:L33)</f>
        <v>2762920</v>
      </c>
      <c r="M34" s="5"/>
      <c r="N34" s="547"/>
      <c r="O34" s="122" t="s">
        <v>25</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17</v>
      </c>
      <c r="T36" s="544"/>
      <c r="U36" s="544"/>
      <c r="V36" s="544"/>
      <c r="W36" s="544"/>
    </row>
    <row r="37" spans="1:23" ht="14.45" customHeight="1" x14ac:dyDescent="0.25">
      <c r="B37" s="468" t="s">
        <v>76</v>
      </c>
      <c r="C37" s="468"/>
      <c r="D37" s="468"/>
      <c r="E37" s="468"/>
      <c r="F37" s="468"/>
      <c r="G37" s="468"/>
      <c r="H37" s="468"/>
      <c r="I37" s="468"/>
      <c r="J37" s="468"/>
      <c r="K37" s="468"/>
      <c r="L37" s="468"/>
      <c r="M37" s="468"/>
      <c r="N37" s="468"/>
      <c r="O37" s="468"/>
      <c r="P37" s="468"/>
      <c r="Q37" s="468"/>
      <c r="R37" s="468"/>
      <c r="T37" s="544"/>
      <c r="U37" s="544"/>
      <c r="V37" s="544"/>
      <c r="W37" s="544"/>
    </row>
    <row r="38" spans="1:23" x14ac:dyDescent="0.25">
      <c r="B38" s="468"/>
      <c r="C38" s="468"/>
      <c r="D38" s="468"/>
      <c r="E38" s="468"/>
      <c r="F38" s="468"/>
      <c r="G38" s="468"/>
      <c r="H38" s="468"/>
      <c r="I38" s="468"/>
      <c r="J38" s="468"/>
      <c r="K38" s="468"/>
      <c r="L38" s="468"/>
      <c r="M38" s="468"/>
      <c r="N38" s="468"/>
      <c r="O38" s="468"/>
      <c r="P38" s="468"/>
      <c r="Q38" s="468"/>
      <c r="R38" s="468"/>
      <c r="T38" s="544"/>
      <c r="U38" s="544"/>
      <c r="V38" s="544"/>
      <c r="W38" s="544"/>
    </row>
    <row r="39" spans="1:23" x14ac:dyDescent="0.25">
      <c r="B39" s="468"/>
      <c r="C39" s="468"/>
      <c r="D39" s="468"/>
      <c r="E39" s="468"/>
      <c r="F39" s="468"/>
      <c r="G39" s="468"/>
      <c r="H39" s="468"/>
      <c r="I39" s="468"/>
      <c r="J39" s="468"/>
      <c r="K39" s="468"/>
      <c r="L39" s="468"/>
      <c r="M39" s="468"/>
      <c r="N39" s="468"/>
      <c r="O39" s="468"/>
      <c r="P39" s="468"/>
      <c r="Q39" s="468"/>
      <c r="R39" s="468"/>
      <c r="T39" s="544"/>
      <c r="U39" s="544"/>
      <c r="V39" s="544"/>
      <c r="W39" s="544"/>
    </row>
    <row r="40" spans="1:23" x14ac:dyDescent="0.25">
      <c r="B40" s="468"/>
      <c r="C40" s="468"/>
      <c r="D40" s="468"/>
      <c r="E40" s="468"/>
      <c r="F40" s="468"/>
      <c r="G40" s="468"/>
      <c r="H40" s="468"/>
      <c r="I40" s="468"/>
      <c r="J40" s="468"/>
      <c r="K40" s="468"/>
      <c r="L40" s="468"/>
      <c r="M40" s="468"/>
      <c r="N40" s="468"/>
      <c r="O40" s="468"/>
      <c r="P40" s="468"/>
      <c r="Q40" s="468"/>
      <c r="R40" s="468"/>
    </row>
    <row r="41" spans="1:23" x14ac:dyDescent="0.25">
      <c r="B41" s="468"/>
      <c r="C41" s="468"/>
      <c r="D41" s="468"/>
      <c r="E41" s="468"/>
      <c r="F41" s="468"/>
      <c r="G41" s="468"/>
      <c r="H41" s="468"/>
      <c r="I41" s="468"/>
      <c r="J41" s="468"/>
      <c r="K41" s="468"/>
      <c r="L41" s="468"/>
      <c r="M41" s="468"/>
      <c r="N41" s="468"/>
      <c r="O41" s="468"/>
      <c r="P41" s="468"/>
      <c r="Q41" s="468"/>
      <c r="R41" s="468"/>
    </row>
  </sheetData>
  <mergeCells count="14">
    <mergeCell ref="T36:W39"/>
    <mergeCell ref="B37:R41"/>
    <mergeCell ref="B15:F15"/>
    <mergeCell ref="H15:L15"/>
    <mergeCell ref="N15:R15"/>
    <mergeCell ref="B18:B34"/>
    <mergeCell ref="H18:H34"/>
    <mergeCell ref="N18:N34"/>
    <mergeCell ref="B4:F4"/>
    <mergeCell ref="H4:L4"/>
    <mergeCell ref="N4:R4"/>
    <mergeCell ref="B7:B11"/>
    <mergeCell ref="H7:H11"/>
    <mergeCell ref="N7:N11"/>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 workbookViewId="1"/>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77</v>
      </c>
      <c r="C2" s="126"/>
      <c r="D2" s="126"/>
      <c r="E2" s="126"/>
      <c r="F2" s="126"/>
      <c r="G2" s="126"/>
      <c r="H2" s="126"/>
      <c r="I2" s="126"/>
      <c r="J2" s="126"/>
      <c r="K2" s="126"/>
      <c r="L2" s="126"/>
      <c r="M2" s="126"/>
      <c r="N2" s="127"/>
      <c r="O2" s="127"/>
      <c r="P2" s="127"/>
    </row>
    <row r="3" spans="2:16" x14ac:dyDescent="0.25">
      <c r="B3" s="15" t="s">
        <v>78</v>
      </c>
    </row>
    <row r="5" spans="2:16" ht="20.45" customHeight="1" x14ac:dyDescent="0.25">
      <c r="B5" s="549" t="s">
        <v>79</v>
      </c>
      <c r="C5" s="549"/>
      <c r="D5" s="549"/>
      <c r="E5" s="549"/>
      <c r="F5" s="549"/>
      <c r="G5" s="128"/>
      <c r="H5" s="128"/>
      <c r="I5" s="550" t="s">
        <v>80</v>
      </c>
      <c r="J5" s="550"/>
      <c r="K5" s="550"/>
    </row>
    <row r="6" spans="2:16" x14ac:dyDescent="0.25">
      <c r="B6" s="129"/>
      <c r="C6" s="129"/>
      <c r="D6" s="129"/>
      <c r="E6" s="129"/>
      <c r="F6" s="129"/>
    </row>
    <row r="7" spans="2:16" ht="45" x14ac:dyDescent="0.25">
      <c r="B7" s="130" t="s">
        <v>81</v>
      </c>
      <c r="C7" s="130" t="s">
        <v>82</v>
      </c>
      <c r="D7" s="130" t="s">
        <v>83</v>
      </c>
      <c r="E7" s="130" t="s">
        <v>84</v>
      </c>
      <c r="F7" s="130" t="s">
        <v>85</v>
      </c>
      <c r="I7" s="130" t="s">
        <v>81</v>
      </c>
      <c r="J7" s="130" t="s">
        <v>83</v>
      </c>
      <c r="K7" s="130" t="s">
        <v>86</v>
      </c>
    </row>
    <row r="8" spans="2:16" ht="30" x14ac:dyDescent="0.25">
      <c r="B8" s="131" t="s">
        <v>87</v>
      </c>
      <c r="C8" s="132" t="s">
        <v>88</v>
      </c>
      <c r="D8" s="132" t="s">
        <v>89</v>
      </c>
      <c r="E8" s="133">
        <v>70000</v>
      </c>
      <c r="F8" s="133">
        <v>60000</v>
      </c>
      <c r="I8" s="134" t="s">
        <v>90</v>
      </c>
      <c r="J8" s="132" t="s">
        <v>91</v>
      </c>
      <c r="K8" s="133">
        <v>193935</v>
      </c>
    </row>
    <row r="9" spans="2:16" ht="30" x14ac:dyDescent="0.25">
      <c r="B9" s="131" t="s">
        <v>92</v>
      </c>
      <c r="C9" s="132" t="s">
        <v>88</v>
      </c>
      <c r="D9" s="132" t="s">
        <v>93</v>
      </c>
      <c r="E9" s="133">
        <v>120000</v>
      </c>
      <c r="F9" s="133">
        <v>75000</v>
      </c>
      <c r="I9" s="134" t="s">
        <v>94</v>
      </c>
      <c r="J9" s="132" t="s">
        <v>91</v>
      </c>
      <c r="K9" s="133">
        <v>206173</v>
      </c>
    </row>
    <row r="10" spans="2:16" ht="30" x14ac:dyDescent="0.25">
      <c r="B10" s="131" t="s">
        <v>95</v>
      </c>
      <c r="C10" s="132" t="s">
        <v>88</v>
      </c>
      <c r="D10" s="132" t="s">
        <v>96</v>
      </c>
      <c r="E10" s="133">
        <v>150000</v>
      </c>
      <c r="F10" s="133">
        <v>75000</v>
      </c>
      <c r="I10" s="134" t="s">
        <v>97</v>
      </c>
      <c r="J10" s="132" t="s">
        <v>98</v>
      </c>
      <c r="K10" s="133">
        <v>206173</v>
      </c>
    </row>
    <row r="11" spans="2:16" ht="30" x14ac:dyDescent="0.25">
      <c r="B11" s="131" t="s">
        <v>99</v>
      </c>
      <c r="C11" s="132" t="s">
        <v>88</v>
      </c>
      <c r="D11" s="132" t="s">
        <v>100</v>
      </c>
      <c r="E11" s="133">
        <v>200000</v>
      </c>
      <c r="F11" s="133">
        <v>75840</v>
      </c>
      <c r="I11" s="135" t="s">
        <v>101</v>
      </c>
    </row>
    <row r="12" spans="2:16" ht="30" x14ac:dyDescent="0.25">
      <c r="B12" s="131" t="s">
        <v>102</v>
      </c>
      <c r="C12" s="132" t="s">
        <v>88</v>
      </c>
      <c r="D12" s="132" t="s">
        <v>103</v>
      </c>
      <c r="E12" s="133">
        <v>255000</v>
      </c>
      <c r="F12" s="133">
        <v>78449</v>
      </c>
    </row>
    <row r="13" spans="2:16" ht="30" x14ac:dyDescent="0.25">
      <c r="B13" s="131" t="s">
        <v>104</v>
      </c>
      <c r="C13" s="132" t="s">
        <v>88</v>
      </c>
      <c r="D13" s="132" t="s">
        <v>103</v>
      </c>
      <c r="E13" s="133">
        <v>261758</v>
      </c>
      <c r="F13" s="133">
        <v>80528</v>
      </c>
    </row>
    <row r="14" spans="2:16" ht="30" x14ac:dyDescent="0.25">
      <c r="B14" s="131" t="s">
        <v>105</v>
      </c>
      <c r="C14" s="132" t="s">
        <v>88</v>
      </c>
      <c r="D14" s="132" t="s">
        <v>103</v>
      </c>
      <c r="E14" s="133">
        <v>266731</v>
      </c>
      <c r="F14" s="133">
        <v>82058</v>
      </c>
    </row>
    <row r="15" spans="2:16" ht="30" x14ac:dyDescent="0.25">
      <c r="B15" s="131" t="s">
        <v>106</v>
      </c>
      <c r="C15" s="132" t="s">
        <v>88</v>
      </c>
      <c r="D15" s="132" t="s">
        <v>103</v>
      </c>
      <c r="E15" s="133">
        <v>279427</v>
      </c>
      <c r="F15" s="133">
        <v>85964</v>
      </c>
    </row>
    <row r="16" spans="2:16" ht="30" x14ac:dyDescent="0.25">
      <c r="B16" s="131" t="s">
        <v>107</v>
      </c>
      <c r="C16" s="132" t="s">
        <v>88</v>
      </c>
      <c r="D16" s="132" t="s">
        <v>103</v>
      </c>
      <c r="E16" s="133">
        <v>291778</v>
      </c>
      <c r="F16" s="133">
        <v>89764</v>
      </c>
    </row>
    <row r="17" spans="2:6" ht="30" x14ac:dyDescent="0.25">
      <c r="B17" s="131" t="s">
        <v>108</v>
      </c>
      <c r="C17" s="132" t="s">
        <v>88</v>
      </c>
      <c r="D17" s="132" t="s">
        <v>103</v>
      </c>
      <c r="E17" s="133">
        <v>304062</v>
      </c>
      <c r="F17" s="133">
        <v>93543</v>
      </c>
    </row>
    <row r="18" spans="2:6" ht="30" x14ac:dyDescent="0.25">
      <c r="B18" s="131" t="s">
        <v>109</v>
      </c>
      <c r="C18" s="132" t="s">
        <v>88</v>
      </c>
      <c r="D18" s="132" t="s">
        <v>103</v>
      </c>
      <c r="E18" s="133">
        <v>304062</v>
      </c>
      <c r="F18" s="133">
        <v>102897</v>
      </c>
    </row>
    <row r="19" spans="2:6" ht="30" x14ac:dyDescent="0.25">
      <c r="B19" s="131" t="s">
        <v>110</v>
      </c>
      <c r="C19" s="132" t="s">
        <v>88</v>
      </c>
      <c r="D19" s="132" t="s">
        <v>103</v>
      </c>
      <c r="E19" s="133">
        <v>309231</v>
      </c>
      <c r="F19" s="133">
        <v>104646</v>
      </c>
    </row>
    <row r="20" spans="2:6" ht="30" x14ac:dyDescent="0.25">
      <c r="B20" s="131" t="s">
        <v>111</v>
      </c>
      <c r="C20" s="132" t="s">
        <v>88</v>
      </c>
      <c r="D20" s="132" t="s">
        <v>103</v>
      </c>
      <c r="E20" s="133">
        <v>317085</v>
      </c>
      <c r="F20" s="133">
        <v>107304</v>
      </c>
    </row>
    <row r="21" spans="2:6" ht="30" x14ac:dyDescent="0.25">
      <c r="B21" s="131" t="s">
        <v>112</v>
      </c>
      <c r="C21" s="132" t="s">
        <v>88</v>
      </c>
      <c r="D21" s="132" t="s">
        <v>103</v>
      </c>
      <c r="E21" s="133">
        <v>325656</v>
      </c>
      <c r="F21" s="133">
        <v>110201</v>
      </c>
    </row>
    <row r="22" spans="2:6" x14ac:dyDescent="0.25">
      <c r="B22" s="551" t="s">
        <v>113</v>
      </c>
      <c r="C22" s="132" t="s">
        <v>114</v>
      </c>
      <c r="D22" s="132" t="s">
        <v>103</v>
      </c>
      <c r="E22" s="133">
        <v>407058</v>
      </c>
      <c r="F22" s="133">
        <v>137751</v>
      </c>
    </row>
    <row r="23" spans="2:6" ht="30" x14ac:dyDescent="0.25">
      <c r="B23" s="552"/>
      <c r="C23" s="132" t="s">
        <v>115</v>
      </c>
      <c r="D23" s="132" t="s">
        <v>103</v>
      </c>
      <c r="E23" s="133">
        <v>423340</v>
      </c>
      <c r="F23" s="133">
        <v>143261</v>
      </c>
    </row>
    <row r="24" spans="2:6" x14ac:dyDescent="0.25">
      <c r="B24" s="553"/>
      <c r="C24" s="132" t="s">
        <v>116</v>
      </c>
      <c r="D24" s="132" t="s">
        <v>103</v>
      </c>
      <c r="E24" s="133">
        <v>488469</v>
      </c>
      <c r="F24" s="133">
        <v>165302</v>
      </c>
    </row>
    <row r="25" spans="2:6" x14ac:dyDescent="0.25">
      <c r="B25" s="548" t="s">
        <v>117</v>
      </c>
      <c r="C25" s="132" t="s">
        <v>114</v>
      </c>
      <c r="D25" s="132" t="s">
        <v>103</v>
      </c>
      <c r="E25" s="133">
        <v>417764</v>
      </c>
      <c r="F25" s="133">
        <v>141374</v>
      </c>
    </row>
    <row r="26" spans="2:6" ht="30" x14ac:dyDescent="0.25">
      <c r="B26" s="548"/>
      <c r="C26" s="132" t="s">
        <v>115</v>
      </c>
      <c r="D26" s="132" t="s">
        <v>103</v>
      </c>
      <c r="E26" s="133">
        <v>434474</v>
      </c>
      <c r="F26" s="133">
        <v>147029</v>
      </c>
    </row>
    <row r="27" spans="2:6" x14ac:dyDescent="0.25">
      <c r="B27" s="548"/>
      <c r="C27" s="132" t="s">
        <v>116</v>
      </c>
      <c r="D27" s="132" t="s">
        <v>103</v>
      </c>
      <c r="E27" s="133">
        <v>501316</v>
      </c>
      <c r="F27" s="133">
        <v>169649</v>
      </c>
    </row>
    <row r="28" spans="2:6" x14ac:dyDescent="0.25">
      <c r="B28" s="548" t="s">
        <v>118</v>
      </c>
      <c r="C28" s="132" t="s">
        <v>119</v>
      </c>
      <c r="D28" s="132" t="s">
        <v>103</v>
      </c>
      <c r="E28" s="133">
        <v>467894</v>
      </c>
      <c r="F28" s="133">
        <v>158339</v>
      </c>
    </row>
    <row r="29" spans="2:6" x14ac:dyDescent="0.25">
      <c r="B29" s="548"/>
      <c r="C29" s="132" t="s">
        <v>120</v>
      </c>
      <c r="D29" s="132" t="s">
        <v>103</v>
      </c>
      <c r="E29" s="133">
        <v>501316</v>
      </c>
      <c r="F29" s="133">
        <v>169649</v>
      </c>
    </row>
    <row r="30" spans="2:6" ht="21" customHeight="1" x14ac:dyDescent="0.25">
      <c r="B30" s="548" t="s">
        <v>121</v>
      </c>
      <c r="C30" s="132" t="s">
        <v>119</v>
      </c>
      <c r="D30" s="132" t="s">
        <v>103</v>
      </c>
      <c r="E30" s="133">
        <v>485674</v>
      </c>
      <c r="F30" s="133">
        <v>164356</v>
      </c>
    </row>
    <row r="31" spans="2:6" x14ac:dyDescent="0.25">
      <c r="B31" s="548"/>
      <c r="C31" s="132" t="s">
        <v>120</v>
      </c>
      <c r="D31" s="132" t="s">
        <v>103</v>
      </c>
      <c r="E31" s="133">
        <v>520366</v>
      </c>
      <c r="F31" s="133">
        <v>176096</v>
      </c>
    </row>
    <row r="32" spans="2:6" ht="30" x14ac:dyDescent="0.25">
      <c r="B32" s="131" t="s">
        <v>122</v>
      </c>
      <c r="C32" s="132" t="s">
        <v>88</v>
      </c>
      <c r="D32" s="132" t="s">
        <v>103</v>
      </c>
      <c r="E32" s="133">
        <v>520366</v>
      </c>
      <c r="F32" s="133">
        <v>176096</v>
      </c>
    </row>
    <row r="33" spans="2:6" ht="30" x14ac:dyDescent="0.25">
      <c r="B33" s="131" t="s">
        <v>123</v>
      </c>
      <c r="C33" s="132" t="s">
        <v>88</v>
      </c>
      <c r="D33" s="132" t="s">
        <v>103</v>
      </c>
      <c r="E33" s="133">
        <v>520366</v>
      </c>
      <c r="F33" s="133">
        <v>185000</v>
      </c>
    </row>
    <row r="34" spans="2:6" ht="30" x14ac:dyDescent="0.25">
      <c r="B34" s="131" t="s">
        <v>124</v>
      </c>
      <c r="C34" s="132" t="s">
        <v>88</v>
      </c>
      <c r="D34" s="132" t="s">
        <v>103</v>
      </c>
      <c r="E34" s="133">
        <v>573079</v>
      </c>
      <c r="F34" s="133">
        <v>193935</v>
      </c>
    </row>
    <row r="35" spans="2:6" ht="30" x14ac:dyDescent="0.25">
      <c r="B35" s="131" t="s">
        <v>125</v>
      </c>
      <c r="C35" s="132" t="s">
        <v>88</v>
      </c>
      <c r="D35" s="132" t="s">
        <v>103</v>
      </c>
      <c r="E35" s="133">
        <v>573079</v>
      </c>
      <c r="F35" s="133">
        <v>206173</v>
      </c>
    </row>
    <row r="36" spans="2:6" x14ac:dyDescent="0.25">
      <c r="B36" s="5" t="s">
        <v>101</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Indice General</vt:lpstr>
      <vt:lpstr>I. Beneficios pagados</vt:lpstr>
      <vt:lpstr>dinamica pgu</vt:lpstr>
      <vt:lpstr>N PBS</vt:lpstr>
      <vt:lpstr>MONTOS PBS</vt:lpstr>
      <vt:lpstr>1.1</vt:lpstr>
      <vt:lpstr>1.2</vt:lpstr>
      <vt:lpstr>1.3</vt:lpstr>
      <vt:lpstr>1.4</vt:lpstr>
      <vt:lpstr>DINAMICA APS</vt:lpstr>
      <vt:lpstr>1.5</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2025-01-23T13:36:36Z</dcterms:modified>
</cp:coreProperties>
</file>